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659ef2410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cd2e4c4f332424a"/>
    <x:sheet xmlns:r="http://schemas.openxmlformats.org/officeDocument/2006/relationships" name="Inventory Risk" sheetId="2" r:id="R3f0d1aa8ada843cc"/>
    <x:sheet xmlns:r="http://schemas.openxmlformats.org/officeDocument/2006/relationships" name="Forecast Results" sheetId="3" r:id="R105389fe1c6d445d"/>
    <x:sheet xmlns:r="http://schemas.openxmlformats.org/officeDocument/2006/relationships" name="Product Master" sheetId="4" r:id="R9d723dcac65e481a"/>
    <x:sheet xmlns:r="http://schemas.openxmlformats.org/officeDocument/2006/relationships" name="Demand History" sheetId="5" r:id="R0e14f5ac56234467"/>
    <x:sheet xmlns:r="http://schemas.openxmlformats.org/officeDocument/2006/relationships" name="KPI Validation" sheetId="6" r:id="R16690904c9e040d7"/>
    <x:sheet xmlns:r="http://schemas.openxmlformats.org/officeDocument/2006/relationships" name="Data Dictionary" sheetId="7" r:id="R46b25084e8014a8e"/>
    <x:sheet xmlns:r="http://schemas.openxmlformats.org/officeDocument/2006/relationships" name="Capacity Planning" sheetId="8" r:id="Rda8b7492296947b1"/>
    <x:sheet xmlns:r="http://schemas.openxmlformats.org/officeDocument/2006/relationships" name="Forecast Study" sheetId="9" r:id="R59b93bc6d1cd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-mmm-yy"/>
    <x:numFmt numFmtId="201" formatCode="#,##0.00"/>
    <x:numFmt numFmtId="202" formatCode="0.0%"/>
    <x:numFmt numFmtId="203" formatCode="#,##0"/>
    <x:numFmt numFmtId="204" formatCode="#,##0.0"/>
    <x:numFmt numFmtId="205" formatCode="0"/>
    <x:numFmt numFmtId="206" formatCode="0.0"/>
    <x:numFmt numFmtId="207" formatCode="0.00%"/>
  </x:numFmts>
  <x:fonts count="5">
    <x:font>
      <x:sz val="11"/>
      <x:name val="Carlito"/>
    </x:font>
    <x:font>
      <x:sz val="10"/>
      <x:color rgb="FF17324D"/>
      <x:name val="Arial"/>
    </x:font>
    <x:font>
      <x:b/>
      <x:sz val="16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CD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204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B91C1C"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f57deeef34b56" /><Relationship Type="http://schemas.openxmlformats.org/officeDocument/2006/relationships/theme" Target="/xl/theme/theme1.xml" Id="Rdba7b77a37934bf8" /><Relationship Type="http://schemas.microsoft.com/office/2022/11/relationships/FeaturePropertyBag" Target="/xl/featurePropertyBag/featurePropertyBag.xml" Id="R765213ea2b234536" /><Relationship Type="http://schemas.openxmlformats.org/officeDocument/2006/relationships/sharedStrings" Target="/xl/sharedStrings.xml" Id="R4d4d3b1287954492" /><Relationship Type="http://schemas.openxmlformats.org/officeDocument/2006/relationships/worksheet" Target="/xl/worksheets/sheet1.xml" Id="R7cd2e4c4f332424a" /><Relationship Type="http://schemas.openxmlformats.org/officeDocument/2006/relationships/worksheet" Target="/xl/worksheets/sheet2.xml" Id="R3f0d1aa8ada843cc" /><Relationship Type="http://schemas.openxmlformats.org/officeDocument/2006/relationships/worksheet" Target="/xl/worksheets/sheet3.xml" Id="R105389fe1c6d445d" /><Relationship Type="http://schemas.openxmlformats.org/officeDocument/2006/relationships/worksheet" Target="/xl/worksheets/sheet4.xml" Id="R9d723dcac65e481a" /><Relationship Type="http://schemas.openxmlformats.org/officeDocument/2006/relationships/worksheet" Target="/xl/worksheets/sheet5.xml" Id="R0e14f5ac56234467" /><Relationship Type="http://schemas.openxmlformats.org/officeDocument/2006/relationships/worksheet" Target="/xl/worksheets/sheet6.xml" Id="R16690904c9e040d7" /><Relationship Type="http://schemas.openxmlformats.org/officeDocument/2006/relationships/worksheet" Target="/xl/worksheets/sheet7.xml" Id="R46b25084e8014a8e" /><Relationship Type="http://schemas.openxmlformats.org/officeDocument/2006/relationships/worksheet" Target="/xl/worksheets/sheet8.xml" Id="Rda8b7492296947b1" /><Relationship Type="http://schemas.openxmlformats.org/officeDocument/2006/relationships/worksheet" Target="/xl/worksheets/sheet9.xml" Id="R59b93bc6d1cd4b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e2846e457849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5e3e6b91956490a" /><Relationship Type="http://schemas.openxmlformats.org/officeDocument/2006/relationships/chart" Target="/xl/drawings/charts/chart3.xml" Id="R7b92716c0f6e49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Backtest WAPE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WAPE</c:v>
          </c:tx>
          <c:spPr>
            <a:solidFill xmlns:a="http://schemas.openxmlformats.org/drawingml/2006/main">
              <a:srgbClr val="0D9488"/>
            </a:solidFill>
          </c:spPr>
          <c:invertIfNegative val="0"/>
          <c:cat>
            <c:strRef>
              <c:f>'Executive Summary'!$A$14:$A$16</c:f>
              <c:strCache>
                <c:ptCount val="0"/>
              </c:strCache>
            </c:strRef>
          </c:cat>
          <c:val>
            <c:numRef>
              <c:f>'Executive Summary'!$C$14:$C$16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Pooled WAPE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WAPE</c:v>
          </c:tx>
          <c:invertIfNegative val="0"/>
          <c:cat>
            <c:strRef>
              <c:f>'Forecast Study'!$A$6:$A$9</c:f>
              <c:strCache>
                <c:ptCount val="0"/>
              </c:strCache>
            </c:strRef>
          </c:cat>
          <c:val>
            <c:numRef>
              <c:f>'Forecast Study'!$C$6:$C$9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Final-origin total units across all products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 units</c:v>
          </c:tx>
          <c:spPr>
            <a:ln xmlns:a="http://schemas.openxmlformats.org/drawingml/2006/main"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'Forecast Study'!$A$19:$A$32</c:f>
              <c:strCache>
                <c:ptCount val="0"/>
              </c:strCache>
            </c:strRef>
          </c:cat>
          <c:val>
            <c:numRef>
              <c:f>'Forecast Study'!$B$19:$B$32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Croston SBA</c:v>
          </c:tx>
          <c:spPr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'Forecast Study'!$A$19:$A$32</c:f>
              <c:strCache>
                <c:ptCount val="0"/>
              </c:strCache>
            </c:strRef>
          </c:cat>
          <c:val>
            <c:numRef>
              <c:f>'Forecast Study'!$C$19:$C$32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Naive</c:v>
          </c:tx>
          <c:spPr>
            <a:ln xmlns:a="http://schemas.openxmlformats.org/drawingml/2006/main" w="19050">
              <a:solidFill>
                <a:srgbClr val="94A3B8"/>
              </a:solidFill>
              <a:prstDash val="solid"/>
            </a:ln>
          </c:spPr>
          <c:marker>
            <c:symbol val="none"/>
          </c:marker>
          <c:cat>
            <c:strRef>
              <c:f>'Forecast Study'!$A$19:$A$32</c:f>
              <c:strCache>
                <c:ptCount val="0"/>
              </c:strCache>
            </c:strRef>
          </c:cat>
          <c:val>
            <c:numRef>
              <c:f>'Forecast Study'!$D$19:$D$32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Ridge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'Forecast Study'!$A$19:$A$32</c:f>
              <c:strCache>
                <c:ptCount val="0"/>
              </c:strCache>
            </c:strRef>
          </c:cat>
          <c:val>
            <c:numRef>
              <c:f>'Forecast Study'!$E$19:$E$32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Seasonal naive</c:v>
          </c:tx>
          <c:spPr>
            <a:ln xmlns:a="http://schemas.openxmlformats.org/drawingml/2006/main" w="1905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'Forecast Study'!$A$19:$A$32</c:f>
              <c:strCache>
                <c:ptCount val="0"/>
              </c:strCache>
            </c:strRef>
          </c:cat>
          <c:val>
            <c:numRef>
              <c:f>'Forecast Study'!$F$19:$F$32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e2846e457849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e3e6b91956490a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92716c0f6e496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RiskTable" displayName="InventoryRiskTable" ref="A5:P25" headerRowCount="1" totalsRowCount="0" totalsRowShown="0">
  <x:tableColumns count="16">
    <x:tableColumn id="1" name="product_id"/>
    <x:tableColumn id="2" name="as_of"/>
    <x:tableColumn id="3" name="mean_daily_28d"/>
    <x:tableColumn id="4" name="std_daily_28d"/>
    <x:tableColumn id="5" name="on_hand"/>
    <x:tableColumn id="6" name="lead_days"/>
    <x:tableColumn id="7" name="weekly_capacity"/>
    <x:tableColumn id="8" name="forecast_daily"/>
    <x:tableColumn id="9" name="days_cover"/>
    <x:tableColumn id="10" name="reorder_point"/>
    <x:tableColumn id="11" name="stock_risk"/>
    <x:tableColumn id="12" name="overstock"/>
    <x:tableColumn id="13" name="planned_utilization"/>
    <x:tableColumn id="14" name="demand_cv"/>
    <x:tableColumn id="15" name="wow_change"/>
    <x:tableColumn id="16" name="planning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ecastResultsTable" displayName="ForecastResultsTable" ref="A5:I2525" headerRowCount="1" totalsRowCount="0" totalsRowShown="0">
  <x:tableColumns count="9">
    <x:tableColumn id="1" name="product_id"/>
    <x:tableColumn id="2" name="fold"/>
    <x:tableColumn id="3" name="train_end"/>
    <x:tableColumn id="4" name="date"/>
    <x:tableColumn id="5" name="model"/>
    <x:tableColumn id="6" name="actual"/>
    <x:tableColumn id="7" name="predicted"/>
    <x:tableColumn id="8" name="absolute_error"/>
    <x:tableColumn id="9" name="signed_err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MasterTable" displayName="ProductMasterTable" ref="A5:B25" headerRowCount="1" totalsRowCount="0" totalsRowShown="0">
  <x:tableColumns count="2">
    <x:tableColumn id="1" name="product_id"/>
    <x:tableColumn id="2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HistoryTable" displayName="DemandHistoryTable" ref="A5:C7305" headerRowCount="1" totalsRowCount="0" totalsRowShown="0">
  <x:tableColumns count="3">
    <x:tableColumn id="1" name="product_id"/>
    <x:tableColumn id="2" name="date"/>
    <x:tableColumn id="3" name="uni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PIValidationTable" displayName="KPIValidationTable" ref="A5:E19" headerRowCount="1" totalsRowCount="0" totalsRowShown="0">
  <x:tableColumns count="5">
    <x:tableColumn id="1" name="kpi"/>
    <x:tableColumn id="2" name="reference"/>
    <x:tableColumn id="3" name="duckdb_sql"/>
    <x:tableColumn id="4" name="difference"/>
    <x:tableColumn id="5" name="pas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5:F57" headerRowCount="1" totalsRowCount="0" totalsRowShown="0">
  <x:tableColumns count="6">
    <x:tableColumn id="1" name="dataset"/>
    <x:tableColumn id="2" name="grain"/>
    <x:tableColumn id="3" name="column"/>
    <x:tableColumn id="4" name="type"/>
    <x:tableColumn id="5" name="nullable_in_run"/>
    <x:tableColumn id="6" name="line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cityPlanningTable" displayName="CapacityPlanningTable" ref="A5:P25" headerRowCount="1" totalsRowCount="0" totalsRowShown="0">
  <x:tableColumns count="16">
    <x:tableColumn id="1" name="Product"/>
    <x:tableColumn id="2" name="Weekly demand"/>
    <x:tableColumn id="3" name="Weekly capacity"/>
    <x:tableColumn id="4" name="Demand / capacity"/>
    <x:tableColumn id="5" name="Shortfall flag"/>
    <x:tableColumn id="6" name="Shortfall units"/>
    <x:tableColumn id="7" name="On hand"/>
    <x:tableColumn id="8" name="Lead days"/>
    <x:tableColumn id="9" name="Daily forecast"/>
    <x:tableColumn id="10" name="Daily std dev"/>
    <x:tableColumn id="11" name="Lead demand"/>
    <x:tableColumn id="12" name="Lead stock risk"/>
    <x:tableColumn id="13" name="Forecast cover days"/>
    <x:tableColumn id="14" name="Reorder threshold"/>
    <x:tableColumn id="15" name="Reorder flag"/>
    <x:tableColumn id="16" name="Any excep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StudyScores" displayName="ProductStudyScores" ref="A35:G115" headerRowCount="1" totalsRowCount="0" totalsRowShown="0">
  <x:tableColumns count="7">
    <x:tableColumn id="1" name="Product"/>
    <x:tableColumn id="2" name="Model"/>
    <x:tableColumn id="3" name="MAE units"/>
    <x:tableColumn id="4" name="WAPE"/>
    <x:tableColumn id="5" name="Bias"/>
    <x:tableColumn id="6" name="Actual units"/>
    <x:tableColumn id="7" name="Underforecast 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9908dbf03f47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c5de3c4bd740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e7592f439342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ec59d9c29245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68f747410644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b1bf11f0445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313684f6b947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c2801b1e7b40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6126478a4440418f" /><Relationship Type="http://schemas.openxmlformats.org/officeDocument/2006/relationships/table" Target="/xl/tables/table8.xml" Id="R19a435266e4140d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SupplySight Operations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Historical retail sales, Dec 2010–Nov 2011. Inventory and capacity are synthetic.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Measure</x:v>
      </x:c>
      <x:c r="B5" s="8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Total sales units</x:v>
      </x:c>
      <x:c r="B6" s="13" t="n">
        <x:f>SUM('Demand History'!C6:C7305)</x:f>
        <x:v>350997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Products monitored</x:v>
      </x:c>
      <x:c r="B7" s="13" t="n">
        <x:f>COUNTA('Product Master'!A6:A25)</x:f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At-risk products (synthetic)</x:v>
      </x:c>
      <x:c r="B8" s="13" t="n">
        <x:f>SUM('Inventory Risk'!K6:K25)</x:f>
        <x:v>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Overstock products (synthetic)</x:v>
      </x:c>
      <x:c r="B9" s="13" t="n">
        <x:f>SUM('Inventory Risk'!L6:L25)</x:f>
        <x:v>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Mean days cover (synthetic)</x:v>
      </x:c>
      <x:c r="B10" s="15" t="n">
        <x:f>AVERAGE('Inventory Risk'!I6:I25)</x:f>
        <x:v>34.85676332325109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2" customHeight="1">
      <x:c r="A13" s="8" t="str">
        <x:v>Model</x:v>
      </x:c>
      <x:c r="B13" s="8" t="str">
        <x:v>MAE units</x:v>
      </x:c>
      <x:c r="C13" s="8" t="str">
        <x:v>WAPE</x:v>
      </x:c>
      <x:c r="D13" s="8" t="str">
        <x:v>Bias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naive</x:v>
      </x:c>
      <x:c r="B14" s="15" t="n">
        <x:f>AVERAGEIF('Forecast Results'!$E$6:$E$2525,A14,'Forecast Results'!$H$6:$H$2525)</x:f>
        <x:v>67.06428571428572</x:v>
      </x:c>
      <x:c r="C14" s="11" t="n">
        <x:f>SUMIF('Forecast Results'!$E$6:$E$2525,A14,'Forecast Results'!$H$6:$H$2525)/SUMIF('Forecast Results'!$E$6:$E$2525,A14,'Forecast Results'!$F$6:$F$2525)</x:f>
        <x:v>0.9253285151116951</x:v>
      </x:c>
      <x:c r="D14" s="11" t="n">
        <x:f>SUMIF('Forecast Results'!$E$6:$E$2525,A14,'Forecast Results'!$I$6:$I$2525)/SUMIF('Forecast Results'!$E$6:$E$2525,A14,'Forecast Results'!$F$6:$F$2525)</x:f>
        <x:v>-0.11879106438896189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ridge</x:v>
      </x:c>
      <x:c r="B15" s="15" t="n">
        <x:f>AVERAGEIF('Forecast Results'!$E$6:$E$2525,A15,'Forecast Results'!$H$6:$H$2525)</x:f>
        <x:v>55.547882441926596</x:v>
      </x:c>
      <x:c r="C15" s="11" t="n">
        <x:f>SUMIF('Forecast Results'!$E$6:$E$2525,A15,'Forecast Results'!$H$6:$H$2525)/SUMIF('Forecast Results'!$E$6:$E$2525,A15,'Forecast Results'!$F$6:$F$2525)</x:f>
        <x:v>0.7664293898031922</x:v>
      </x:c>
      <x:c r="D15" s="11" t="n">
        <x:f>SUMIF('Forecast Results'!$E$6:$E$2525,A15,'Forecast Results'!$I$6:$I$2525)/SUMIF('Forecast Results'!$E$6:$E$2525,A15,'Forecast Results'!$F$6:$F$2525)</x:f>
        <x:v>-0.31549984615549564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seasonal_naive</x:v>
      </x:c>
      <x:c r="B16" s="15" t="n">
        <x:f>AVERAGEIF('Forecast Results'!$E$6:$E$2525,A16,'Forecast Results'!$H$6:$H$2525)</x:f>
        <x:v>71.79523809523809</x:v>
      </x:c>
      <x:c r="C16" s="11" t="n">
        <x:f>SUMIF('Forecast Results'!$E$6:$E$2525,A16,'Forecast Results'!$H$6:$H$2525)/SUMIF('Forecast Results'!$E$6:$E$2525,A16,'Forecast Results'!$F$6:$F$2525)</x:f>
        <x:v>0.990604467805519</x:v>
      </x:c>
      <x:c r="D16" s="11" t="n">
        <x:f>SUMIF('Forecast Results'!$E$6:$E$2525,A16,'Forecast Results'!$I$6:$I$2525)/SUMIF('Forecast Results'!$E$6:$E$2525,A16,'Forecast Results'!$F$6:$F$2525)</x:f>
        <x:v>-0.09471090670170827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Planning uses seasonal-naive, chosen before holdout evaluation.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Change scenario inputs on Inventory Risk to review flags.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4" customHeight="1">
      <x:c r="A23" s="1" t="str">
        <x:v>Capacity shortfalls (synthetic)</x:v>
      </x:c>
      <x:c r="B23" s="20" t="n">
        <x:f>SUM('Capacity Planning'!E6:E25)</x:f>
        <x:v>5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4" customHeight="1">
      <x:c r="A24" s="1" t="str">
        <x:v>Lead-time stock risks (synthetic)</x:v>
      </x:c>
      <x:c r="B24" s="20" t="n">
        <x:f>SUM('Capacity Planning'!L6:L25)</x:f>
        <x:v>6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4" customHeight="1">
      <x:c r="A25" s="1" t="str">
        <x:v>Any planning exception (synthetic)</x:v>
      </x:c>
      <x:c r="B25" s="20" t="n">
        <x:f>SUM('Capacity Planning'!P6:P25)</x:f>
        <x:v>10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  <x:drawing xmlns:r="http://schemas.openxmlformats.org/officeDocument/2006/relationships" r:id="R459908dbf03f47f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64" hidden="0" customWidth="1"/>
    <x:col min="17" max="17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Inventory Risk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SYNTHETIC planning scenario. Editable inputs E:H. Historical demand C:D.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as_of</x:v>
      </x:c>
      <x:c r="C5" s="8" t="str">
        <x:v>mean_daily_28d</x:v>
      </x:c>
      <x:c r="D5" s="8" t="str">
        <x:v>std_daily_28d</x:v>
      </x:c>
      <x:c r="E5" s="8" t="str">
        <x:v>on_hand</x:v>
      </x:c>
      <x:c r="F5" s="8" t="str">
        <x:v>lead_days</x:v>
      </x:c>
      <x:c r="G5" s="8" t="str">
        <x:v>weekly_capacity</x:v>
      </x:c>
      <x:c r="H5" s="8" t="str">
        <x:v>forecast_daily</x:v>
      </x:c>
      <x:c r="I5" s="8" t="str">
        <x:v>days_cover</x:v>
      </x:c>
      <x:c r="J5" s="8" t="str">
        <x:v>reorder_point</x:v>
      </x:c>
      <x:c r="K5" s="8" t="str">
        <x:v>stock_risk</x:v>
      </x:c>
      <x:c r="L5" s="8" t="str">
        <x:v>overstock</x:v>
      </x:c>
      <x:c r="M5" s="8" t="str">
        <x:v>planned_utilization</x:v>
      </x:c>
      <x:c r="N5" s="8" t="str">
        <x:v>demand_cv</x:v>
      </x:c>
      <x:c r="O5" s="8" t="str">
        <x:v>wow_change</x:v>
      </x:c>
      <x:c r="P5" s="8" t="str">
        <x:v>planning_source</x:v>
      </x:c>
      <x:c r="Q5" s="8" t="str">
        <x:v>description</x:v>
      </x:c>
    </x:row>
    <x:row r="6" ht="20" customHeight="1">
      <x:c r="A6" s="1" t="str">
        <x:v>20725</x:v>
      </x:c>
      <x:c r="B6" s="9" t="d">
        <x:v>2011-11-30T00:00:00.000Z</x:v>
      </x:c>
      <x:c r="C6" s="10" t="n">
        <x:v>66.75</x:v>
      </x:c>
      <x:c r="D6" s="10" t="n">
        <x:v>53.8719546703</x:v>
      </x:c>
      <x:c r="E6" s="12" t="n">
        <x:v>4054</x:v>
      </x:c>
      <x:c r="F6" s="12" t="n">
        <x:v>20</x:v>
      </x:c>
      <x:c r="G6" s="12" t="n">
        <x:v>525</x:v>
      </x:c>
      <x:c r="H6" s="12" t="n">
        <x:v>50.4285714286</x:v>
      </x:c>
      <x:c r="I6" s="10" t="n">
        <x:f>IF(C6=0,"",E6/C6)</x:f>
        <x:v>60.734082397003746</x:v>
      </x:c>
      <x:c r="J6" s="10" t="n">
        <x:f>H6*F6+1.65*D6*SQRT(F6)</x:f>
        <x:v>1406.0938925598077</x:v>
      </x:c>
      <x:c r="K6" s="1" t="n">
        <x:f>IF(E6&lt;J6,1,0)</x:f>
        <x:v>0</x:v>
      </x:c>
      <x:c r="L6" s="1" t="n">
        <x:f>IF(C6=0,0,IF(I6&gt;60,1,0))</x:f>
        <x:v>1</x:v>
      </x:c>
      <x:c r="M6" s="11" t="n">
        <x:f>H6*7/G6</x:f>
        <x:v>0.6723809523813334</x:v>
      </x:c>
      <x:c r="N6" s="11" t="n">
        <x:f>IF(C6=0,"",D6/C6)</x:f>
        <x:v>0.8070704819520599</x:v>
      </x:c>
      <x:c r="O6" s="11" t="n">
        <x:v>0.1135646688</x:v>
      </x:c>
      <x:c r="P6" s="1" t="str">
        <x:v>SYNTHETIC scenario; seed 52316; not observed inventory</x:v>
      </x:c>
      <x:c r="Q6" s="1" t="str">
        <x:f>_xlfn.XLOOKUP(A6,'Product Master'!$A$6:$A$25,'Product Master'!$B$6:$B$25,"Missing product")</x:f>
        <x:v>LUNCH BAG RED RETROSPOT</x:v>
      </x:c>
    </x:row>
    <x:row r="7" ht="20" customHeight="1">
      <x:c r="A7" s="1" t="str">
        <x:v>21181</x:v>
      </x:c>
      <x:c r="B7" s="9" t="d">
        <x:v>2011-11-30T00:00:00.000Z</x:v>
      </x:c>
      <x:c r="C7" s="10" t="n">
        <x:v>35.3214285714</x:v>
      </x:c>
      <x:c r="D7" s="10" t="n">
        <x:v>86.0432007654</x:v>
      </x:c>
      <x:c r="E7" s="12" t="n">
        <x:v>1303</x:v>
      </x:c>
      <x:c r="F7" s="12" t="n">
        <x:v>5</x:v>
      </x:c>
      <x:c r="G7" s="12" t="n">
        <x:v>342</x:v>
      </x:c>
      <x:c r="H7" s="12" t="n">
        <x:v>108.8571428571</x:v>
      </x:c>
      <x:c r="I7" s="10" t="n">
        <x:f>IF(C7=0,"",E7/C7)</x:f>
        <x:v>36.88978766433722</x:v>
      </x:c>
      <x:c r="J7" s="10" t="n">
        <x:f>H7*F7+1.65*D7*SQRT(F7)</x:f>
        <x:v>861.7431500421089</x:v>
      </x:c>
      <x:c r="K7" s="1" t="n">
        <x:f>IF(E7&lt;J7,1,0)</x:f>
        <x:v>0</x:v>
      </x:c>
      <x:c r="L7" s="1" t="n">
        <x:f>IF(C7=0,0,IF(I7&gt;60,1,0))</x:f>
        <x:v>0</x:v>
      </x:c>
      <x:c r="M7" s="11" t="n">
        <x:f>H7*7/G7</x:f>
        <x:v>2.2280701754377192</x:v>
      </x:c>
      <x:c r="N7" s="11" t="n">
        <x:f>IF(C7=0,"",D7/C7)</x:f>
        <x:v>2.4360056839566724</x:v>
      </x:c>
      <x:c r="O7" s="11" t="n">
        <x:v>43.8235294118</x:v>
      </x:c>
      <x:c r="P7" s="1" t="str">
        <x:v>SYNTHETIC scenario; seed 52316; not observed inventory</x:v>
      </x:c>
      <x:c r="Q7" s="1" t="str">
        <x:f>_xlfn.XLOOKUP(A7,'Product Master'!$A$6:$A$25,'Product Master'!$B$6:$B$25,"Missing product")</x:f>
        <x:v>PLEASE ONE PERSON METAL SIGN</x:v>
      </x:c>
    </x:row>
    <x:row r="8" ht="20" customHeight="1">
      <x:c r="A8" s="1" t="str">
        <x:v>21212</x:v>
      </x:c>
      <x:c r="B8" s="9" t="d">
        <x:v>2011-11-30T00:00:00.000Z</x:v>
      </x:c>
      <x:c r="C8" s="10" t="n">
        <x:v>84.7857142857</x:v>
      </x:c>
      <x:c r="D8" s="10" t="n">
        <x:v>101.1248722912</x:v>
      </x:c>
      <x:c r="E8" s="12" t="n">
        <x:v>3363</x:v>
      </x:c>
      <x:c r="F8" s="12" t="n">
        <x:v>5</x:v>
      </x:c>
      <x:c r="G8" s="12" t="n">
        <x:v>588</x:v>
      </x:c>
      <x:c r="H8" s="12" t="n">
        <x:v>59.1428571429</x:v>
      </x:c>
      <x:c r="I8" s="10" t="n">
        <x:f>IF(C8=0,"",E8/C8)</x:f>
        <x:v>39.66470092671267</x:v>
      </x:c>
      <x:c r="J8" s="10" t="n">
        <x:f>H8*F8+1.65*D8*SQRT(F8)</x:f>
        <x:v>668.8157320020283</x:v>
      </x:c>
      <x:c r="K8" s="1" t="n">
        <x:f>IF(E8&lt;J8,1,0)</x:f>
        <x:v>0</x:v>
      </x:c>
      <x:c r="L8" s="1" t="n">
        <x:f>IF(C8=0,0,IF(I8&gt;60,1,0))</x:f>
        <x:v>0</x:v>
      </x:c>
      <x:c r="M8" s="11" t="n">
        <x:f>H8*7/G8</x:f>
        <x:v>0.7040816326535715</x:v>
      </x:c>
      <x:c r="N8" s="11" t="n">
        <x:f>IF(C8=0,"",D8/C8)</x:f>
        <x:v>1.1927112148921977</x:v>
      </x:c>
      <x:c r="O8" s="11" t="n">
        <x:v>-0.2527075812</x:v>
      </x:c>
      <x:c r="P8" s="1" t="str">
        <x:v>SYNTHETIC scenario; seed 52316; not observed inventory</x:v>
      </x:c>
      <x:c r="Q8" s="1" t="str">
        <x:f>_xlfn.XLOOKUP(A8,'Product Master'!$A$6:$A$25,'Product Master'!$B$6:$B$25,"Missing product")</x:f>
        <x:v>PACK OF 72 RETROSPOT CAKE CASES</x:v>
      </x:c>
    </x:row>
    <x:row r="9" ht="20" customHeight="1">
      <x:c r="A9" s="1" t="str">
        <x:v>21733</x:v>
      </x:c>
      <x:c r="B9" s="9" t="d">
        <x:v>2011-11-30T00:00:00.000Z</x:v>
      </x:c>
      <x:c r="C9" s="10" t="n">
        <x:v>54.6785714286</x:v>
      </x:c>
      <x:c r="D9" s="10" t="n">
        <x:v>99.5063004364</x:v>
      </x:c>
      <x:c r="E9" s="12" t="n">
        <x:v>2312</x:v>
      </x:c>
      <x:c r="F9" s="12" t="n">
        <x:v>7</x:v>
      </x:c>
      <x:c r="G9" s="12" t="n">
        <x:v>458</x:v>
      </x:c>
      <x:c r="H9" s="12" t="n">
        <x:v>51.7142857143</x:v>
      </x:c>
      <x:c r="I9" s="10" t="n">
        <x:f>IF(C9=0,"",E9/C9)</x:f>
        <x:v>42.283474853015136</x:v>
      </x:c>
      <x:c r="J9" s="10" t="n">
        <x:f>H9*F9+1.65*D9*SQRT(F9)</x:f>
        <x:v>796.3937259841073</x:v>
      </x:c>
      <x:c r="K9" s="1" t="n">
        <x:f>IF(E9&lt;J9,1,0)</x:f>
        <x:v>0</x:v>
      </x:c>
      <x:c r="L9" s="1" t="n">
        <x:f>IF(C9=0,0,IF(I9&gt;60,1,0))</x:f>
        <x:v>0</x:v>
      </x:c>
      <x:c r="M9" s="11" t="n">
        <x:f>H9*7/G9</x:f>
        <x:v>0.790393013100655</x:v>
      </x:c>
      <x:c r="N9" s="11" t="n">
        <x:f>IF(C9=0,"",D9/C9)</x:f>
        <x:v>1.8198408962885328</x:v>
      </x:c>
      <x:c r="O9" s="11" t="n">
        <x:v>0.2354948805</x:v>
      </x:c>
      <x:c r="P9" s="1" t="str">
        <x:v>SYNTHETIC scenario; seed 52316; not observed inventory</x:v>
      </x:c>
      <x:c r="Q9" s="1" t="str">
        <x:f>_xlfn.XLOOKUP(A9,'Product Master'!$A$6:$A$25,'Product Master'!$B$6:$B$25,"Missing product")</x:f>
        <x:v>RED HANGING HEART T-LIGHT HOLDER</x:v>
      </x:c>
    </x:row>
    <x:row r="10" ht="20" customHeight="1">
      <x:c r="A10" s="1" t="str">
        <x:v>21754</x:v>
      </x:c>
      <x:c r="B10" s="9" t="d">
        <x:v>2011-11-30T00:00:00.000Z</x:v>
      </x:c>
      <x:c r="C10" s="10" t="n">
        <x:v>7.9285714286</x:v>
      </x:c>
      <x:c r="D10" s="10" t="n">
        <x:v>7.1560592279</x:v>
      </x:c>
      <x:c r="E10" s="12" t="n">
        <x:v>211</x:v>
      </x:c>
      <x:c r="F10" s="12" t="n">
        <x:v>15</x:v>
      </x:c>
      <x:c r="G10" s="12" t="n">
        <x:v>59</x:v>
      </x:c>
      <x:c r="H10" s="12" t="n">
        <x:v>7.4285714286</x:v>
      </x:c>
      <x:c r="I10" s="10" t="n">
        <x:f>IF(C10=0,"",E10/C10)</x:f>
        <x:v>26.612612612516713</x:v>
      </x:c>
      <x:c r="J10" s="10" t="n">
        <x:f>H10*F10+1.65*D10*SQRT(F10)</x:f>
        <x:v>157.1588134823155</x:v>
      </x:c>
      <x:c r="K10" s="1" t="n">
        <x:f>IF(E10&lt;J10,1,0)</x:f>
        <x:v>0</x:v>
      </x:c>
      <x:c r="L10" s="1" t="n">
        <x:f>IF(C10=0,0,IF(I10&gt;60,1,0))</x:f>
        <x:v>0</x:v>
      </x:c>
      <x:c r="M10" s="11" t="n">
        <x:f>H10*7/G10</x:f>
        <x:v>0.8813559322067795</x:v>
      </x:c>
      <x:c r="N10" s="11" t="n">
        <x:f>IF(C10=0,"",D10/C10)</x:f>
        <x:v>0.9025660287408918</x:v>
      </x:c>
      <x:c r="O10" s="11" t="n">
        <x:v>-0.3157894737</x:v>
      </x:c>
      <x:c r="P10" s="1" t="str">
        <x:v>SYNTHETIC scenario; seed 52316; not observed inventory</x:v>
      </x:c>
      <x:c r="Q10" s="1" t="str">
        <x:f>_xlfn.XLOOKUP(A10,'Product Master'!$A$6:$A$25,'Product Master'!$B$6:$B$25,"Missing product")</x:f>
        <x:v>HOME BUILDING BLOCK WORD</x:v>
      </x:c>
    </x:row>
    <x:row r="11" ht="20" customHeight="1">
      <x:c r="A11" s="1" t="str">
        <x:v>22111</x:v>
      </x:c>
      <x:c r="B11" s="9" t="d">
        <x:v>2011-11-30T00:00:00.000Z</x:v>
      </x:c>
      <x:c r="C11" s="10" t="n">
        <x:v>33.7857142857</x:v>
      </x:c>
      <x:c r="D11" s="10" t="n">
        <x:v>28.9955133757</x:v>
      </x:c>
      <x:c r="E11" s="12" t="n">
        <x:v>280</x:v>
      </x:c>
      <x:c r="F11" s="12" t="n">
        <x:v>13</x:v>
      </x:c>
      <x:c r="G11" s="12" t="n">
        <x:v>199</x:v>
      </x:c>
      <x:c r="H11" s="12" t="n">
        <x:v>25.2857142857</x:v>
      </x:c>
      <x:c r="I11" s="10" t="n">
        <x:f>IF(C11=0,"",E11/C11)</x:f>
        <x:v>8.287526427064813</x:v>
      </x:c>
      <x:c r="J11" s="10" t="n">
        <x:f>H11*F11+1.65*D11*SQRT(F11)</x:f>
        <x:v>501.21322260100567</x:v>
      </x:c>
      <x:c r="K11" s="1" t="n">
        <x:f>IF(E11&lt;J11,1,0)</x:f>
        <x:v>1</x:v>
      </x:c>
      <x:c r="L11" s="1" t="n">
        <x:f>IF(C11=0,0,IF(I11&gt;60,1,0))</x:f>
        <x:v>0</x:v>
      </x:c>
      <x:c r="M11" s="11" t="n">
        <x:f>H11*7/G11</x:f>
        <x:v>0.8894472361804019</x:v>
      </x:c>
      <x:c r="N11" s="11" t="n">
        <x:f>IF(C11=0,"",D11/C11)</x:f>
        <x:v>0.8582181548836609</x:v>
      </x:c>
      <x:c r="O11" s="11" t="n">
        <x:v>-0.1571428571</x:v>
      </x:c>
      <x:c r="P11" s="1" t="str">
        <x:v>SYNTHETIC scenario; seed 52316; not observed inventory</x:v>
      </x:c>
      <x:c r="Q11" s="1" t="str">
        <x:f>_xlfn.XLOOKUP(A11,'Product Master'!$A$6:$A$25,'Product Master'!$B$6:$B$25,"Missing product")</x:f>
        <x:v>SCOTTIE DOG HOT WATER BOTTLE</x:v>
      </x:c>
    </x:row>
    <x:row r="12" ht="20" customHeight="1">
      <x:c r="A12" s="1" t="str">
        <x:v>22197</x:v>
      </x:c>
      <x:c r="B12" s="9" t="d">
        <x:v>2011-11-30T00:00:00.000Z</x:v>
      </x:c>
      <x:c r="C12" s="10" t="n">
        <x:v>428.3571428571</x:v>
      </x:c>
      <x:c r="D12" s="10" t="n">
        <x:v>500.3062786424</x:v>
      </x:c>
      <x:c r="E12" s="12" t="n">
        <x:v>10833</x:v>
      </x:c>
      <x:c r="F12" s="12" t="n">
        <x:v>8</x:v>
      </x:c>
      <x:c r="G12" s="12" t="n">
        <x:v>3281</x:v>
      </x:c>
      <x:c r="H12" s="12" t="n">
        <x:v>351</x:v>
      </x:c>
      <x:c r="I12" s="10" t="n">
        <x:f>IF(C12=0,"",E12/C12)</x:f>
        <x:v>25.289644822413738</x:v>
      </x:c>
      <x:c r="J12" s="10" t="n">
        <x:f>H12*F12+1.65*D12*SQRT(F12)</x:f>
        <x:v>5142.881751168434</x:v>
      </x:c>
      <x:c r="K12" s="1" t="n">
        <x:f>IF(E12&lt;J12,1,0)</x:f>
        <x:v>0</x:v>
      </x:c>
      <x:c r="L12" s="1" t="n">
        <x:f>IF(C12=0,0,IF(I12&gt;60,1,0))</x:f>
        <x:v>0</x:v>
      </x:c>
      <x:c r="M12" s="11" t="n">
        <x:f>H12*7/G12</x:f>
        <x:v>0.7488570557756782</x:v>
      </x:c>
      <x:c r="N12" s="11" t="n">
        <x:f>IF(C12=0,"",D12/C12)</x:f>
        <x:v>1.1679652994821246</x:v>
      </x:c>
      <x:c r="O12" s="11" t="n">
        <x:v>-0.1256227758</x:v>
      </x:c>
      <x:c r="P12" s="1" t="str">
        <x:v>SYNTHETIC scenario; seed 52316; not observed inventory</x:v>
      </x:c>
      <x:c r="Q12" s="1" t="str">
        <x:f>_xlfn.XLOOKUP(A12,'Product Master'!$A$6:$A$25,'Product Master'!$B$6:$B$25,"Missing product")</x:f>
        <x:v>POPCORN HOLDER</x:v>
      </x:c>
    </x:row>
    <x:row r="13" ht="20" customHeight="1">
      <x:c r="A13" s="1" t="str">
        <x:v>22423</x:v>
      </x:c>
      <x:c r="B13" s="9" t="d">
        <x:v>2011-11-30T00:00:00.000Z</x:v>
      </x:c>
      <x:c r="C13" s="10" t="n">
        <x:v>36.6428571429</x:v>
      </x:c>
      <x:c r="D13" s="10" t="n">
        <x:v>30.8778865461</x:v>
      </x:c>
      <x:c r="E13" s="12" t="n">
        <x:v>909</x:v>
      </x:c>
      <x:c r="F13" s="12" t="n">
        <x:v>13</x:v>
      </x:c>
      <x:c r="G13" s="12" t="n">
        <x:v>290</x:v>
      </x:c>
      <x:c r="H13" s="12" t="n">
        <x:v>42.2857142857</x:v>
      </x:c>
      <x:c r="I13" s="10" t="n">
        <x:f>IF(C13=0,"",E13/C13)</x:f>
        <x:v>24.807017543830636</x:v>
      </x:c>
      <x:c r="J13" s="10" t="n">
        <x:f>H13*F13+1.65*D13*SQRT(F13)</x:f>
        <x:v>733.4117610269733</x:v>
      </x:c>
      <x:c r="K13" s="1" t="n">
        <x:f>IF(E13&lt;J13,1,0)</x:f>
        <x:v>0</x:v>
      </x:c>
      <x:c r="L13" s="1" t="n">
        <x:f>IF(C13=0,0,IF(I13&gt;60,1,0))</x:f>
        <x:v>0</x:v>
      </x:c>
      <x:c r="M13" s="11" t="n">
        <x:f>H13*7/G13</x:f>
        <x:v>1.020689655172069</x:v>
      </x:c>
      <x:c r="N13" s="11" t="n">
        <x:f>IF(C13=0,"",D13/C13)</x:f>
        <x:v>0.842671367728839</x:v>
      </x:c>
      <x:c r="O13" s="11" t="n">
        <x:v>0.0102389078</x:v>
      </x:c>
      <x:c r="P13" s="1" t="str">
        <x:v>SYNTHETIC scenario; seed 52316; not observed inventory</x:v>
      </x:c>
      <x:c r="Q13" s="1" t="str">
        <x:f>_xlfn.XLOOKUP(A13,'Product Master'!$A$6:$A$25,'Product Master'!$B$6:$B$25,"Missing product")</x:f>
        <x:v>REGENCY CAKESTAND 3 TIER</x:v>
      </x:c>
    </x:row>
    <x:row r="14" ht="20" customHeight="1">
      <x:c r="A14" s="1" t="str">
        <x:v>22457</x:v>
      </x:c>
      <x:c r="B14" s="9" t="d">
        <x:v>2011-11-30T00:00:00.000Z</x:v>
      </x:c>
      <x:c r="C14" s="10" t="n">
        <x:v>28</x:v>
      </x:c>
      <x:c r="D14" s="10" t="n">
        <x:v>21.0645267147</x:v>
      </x:c>
      <x:c r="E14" s="12" t="n">
        <x:v>2338</x:v>
      </x:c>
      <x:c r="F14" s="12" t="n">
        <x:v>14</x:v>
      </x:c>
      <x:c r="G14" s="12" t="n">
        <x:v>285</x:v>
      </x:c>
      <x:c r="H14" s="12" t="n">
        <x:v>34</x:v>
      </x:c>
      <x:c r="I14" s="10" t="n">
        <x:f>IF(C14=0,"",E14/C14)</x:f>
        <x:v>83.5</x:v>
      </x:c>
      <x:c r="J14" s="10" t="n">
        <x:f>H14*F14+1.65*D14*SQRT(F14)</x:f>
        <x:v>606.0467992685745</x:v>
      </x:c>
      <x:c r="K14" s="1" t="n">
        <x:f>IF(E14&lt;J14,1,0)</x:f>
        <x:v>0</x:v>
      </x:c>
      <x:c r="L14" s="1" t="n">
        <x:f>IF(C14=0,0,IF(I14&gt;60,1,0))</x:f>
        <x:v>1</x:v>
      </x:c>
      <x:c r="M14" s="11" t="n">
        <x:f>H14*7/G14</x:f>
        <x:v>0.8350877192982457</x:v>
      </x:c>
      <x:c r="N14" s="11" t="n">
        <x:f>IF(C14=0,"",D14/C14)</x:f>
        <x:v>0.752304525525</x:v>
      </x:c>
      <x:c r="O14" s="11" t="n">
        <x:v>1.1636363636</x:v>
      </x:c>
      <x:c r="P14" s="1" t="str">
        <x:v>SYNTHETIC scenario; seed 52316; not observed inventory</x:v>
      </x:c>
      <x:c r="Q14" s="1" t="str">
        <x:f>_xlfn.XLOOKUP(A14,'Product Master'!$A$6:$A$25,'Product Master'!$B$6:$B$25,"Missing product")</x:f>
        <x:v>NATURAL SLATE HEART CHALKBOARD </x:v>
      </x:c>
    </x:row>
    <x:row r="15" ht="20" customHeight="1">
      <x:c r="A15" s="1" t="str">
        <x:v>22469</x:v>
      </x:c>
      <x:c r="B15" s="9" t="d">
        <x:v>2011-11-30T00:00:00.000Z</x:v>
      </x:c>
      <x:c r="C15" s="10" t="n">
        <x:v>91</x:v>
      </x:c>
      <x:c r="D15" s="10" t="n">
        <x:v>166.2936301503</x:v>
      </x:c>
      <x:c r="E15" s="12" t="n">
        <x:v>3311</x:v>
      </x:c>
      <x:c r="F15" s="12" t="n">
        <x:v>16</x:v>
      </x:c>
      <x:c r="G15" s="12" t="n">
        <x:v>950</x:v>
      </x:c>
      <x:c r="H15" s="12" t="n">
        <x:v>113.2857142857</x:v>
      </x:c>
      <x:c r="I15" s="10" t="n">
        <x:f>IF(C15=0,"",E15/C15)</x:f>
        <x:v>36.38461538461539</x:v>
      </x:c>
      <x:c r="J15" s="10" t="n">
        <x:f>H15*F15+1.65*D15*SQRT(F15)</x:f>
        <x:v>2910.10938756318</x:v>
      </x:c>
      <x:c r="K15" s="1" t="n">
        <x:f>IF(E15&lt;J15,1,0)</x:f>
        <x:v>0</x:v>
      </x:c>
      <x:c r="L15" s="1" t="n">
        <x:f>IF(C15=0,0,IF(I15&gt;60,1,0))</x:f>
        <x:v>0</x:v>
      </x:c>
      <x:c r="M15" s="11" t="n">
        <x:f>H15*7/G15</x:f>
        <x:v>0.8347368421051579</x:v>
      </x:c>
      <x:c r="N15" s="11" t="n">
        <x:f>IF(C15=0,"",D15/C15)</x:f>
        <x:v>1.8274025291241758</x:v>
      </x:c>
      <x:c r="O15" s="11" t="n">
        <x:v>1.353115727</x:v>
      </x:c>
      <x:c r="P15" s="1" t="str">
        <x:v>SYNTHETIC scenario; seed 52316; not observed inventory</x:v>
      </x:c>
      <x:c r="Q15" s="1" t="str">
        <x:f>_xlfn.XLOOKUP(A15,'Product Master'!$A$6:$A$25,'Product Master'!$B$6:$B$25,"Missing product")</x:f>
        <x:v>HEART OF WICKER SMALL</x:v>
      </x:c>
    </x:row>
    <x:row r="16" ht="20" customHeight="1">
      <x:c r="A16" s="1" t="str">
        <x:v>22470</x:v>
      </x:c>
      <x:c r="B16" s="9" t="d">
        <x:v>2011-11-30T00:00:00.000Z</x:v>
      </x:c>
      <x:c r="C16" s="10" t="n">
        <x:v>59.8928571429</x:v>
      </x:c>
      <x:c r="D16" s="10" t="n">
        <x:v>145.794213898</x:v>
      </x:c>
      <x:c r="E16" s="12" t="n">
        <x:v>736</x:v>
      </x:c>
      <x:c r="F16" s="12" t="n">
        <x:v>10</x:v>
      </x:c>
      <x:c r="G16" s="12" t="n">
        <x:v>308</x:v>
      </x:c>
      <x:c r="H16" s="12" t="n">
        <x:v>118.2857142857</x:v>
      </x:c>
      <x:c r="I16" s="10" t="n">
        <x:f>IF(C16=0,"",E16/C16)</x:f>
        <x:v>12.288610614183217</x:v>
      </x:c>
      <x:c r="J16" s="10" t="n">
        <x:f>H16*F16+1.65*D16*SQRT(F16)</x:f>
        <x:v>1943.576089082902</x:v>
      </x:c>
      <x:c r="K16" s="1" t="n">
        <x:f>IF(E16&lt;J16,1,0)</x:f>
        <x:v>1</x:v>
      </x:c>
      <x:c r="L16" s="1" t="n">
        <x:f>IF(C16=0,0,IF(I16&gt;60,1,0))</x:f>
        <x:v>0</x:v>
      </x:c>
      <x:c r="M16" s="11" t="n">
        <x:f>H16*7/G16</x:f>
        <x:v>2.6883116883113636</x:v>
      </x:c>
      <x:c r="N16" s="11" t="n">
        <x:f>IF(C16=0,"",D16/C16)</x:f>
        <x:v>2.434250440751985</x:v>
      </x:c>
      <x:c r="O16" s="11" t="n">
        <x:v>3.4042553191</x:v>
      </x:c>
      <x:c r="P16" s="1" t="str">
        <x:v>SYNTHETIC scenario; seed 52316; not observed inventory</x:v>
      </x:c>
      <x:c r="Q16" s="1" t="str">
        <x:f>_xlfn.XLOOKUP(A16,'Product Master'!$A$6:$A$25,'Product Master'!$B$6:$B$25,"Missing product")</x:f>
        <x:v>HEART OF WICKER LARGE</x:v>
      </x:c>
    </x:row>
    <x:row r="17" ht="20" customHeight="1">
      <x:c r="A17" s="1" t="str">
        <x:v>22666</x:v>
      </x:c>
      <x:c r="B17" s="9" t="d">
        <x:v>2011-11-30T00:00:00.000Z</x:v>
      </x:c>
      <x:c r="C17" s="10" t="n">
        <x:v>40.0714285714</x:v>
      </x:c>
      <x:c r="D17" s="10" t="n">
        <x:v>72.7244940912</x:v>
      </x:c>
      <x:c r="E17" s="12" t="n">
        <x:v>2856</x:v>
      </x:c>
      <x:c r="F17" s="12" t="n">
        <x:v>6</x:v>
      </x:c>
      <x:c r="G17" s="12" t="n">
        <x:v>289</x:v>
      </x:c>
      <x:c r="H17" s="12" t="n">
        <x:v>25.1428571429</x:v>
      </x:c>
      <x:c r="I17" s="10" t="n">
        <x:f>IF(C17=0,"",E17/C17)</x:f>
        <x:v>71.2727272727781</x:v>
      </x:c>
      <x:c r="J17" s="10" t="n">
        <x:f>H17*F17+1.65*D17*SQRT(F17)</x:f>
        <x:v>444.78468169445887</x:v>
      </x:c>
      <x:c r="K17" s="1" t="n">
        <x:f>IF(E17&lt;J17,1,0)</x:f>
        <x:v>0</x:v>
      </x:c>
      <x:c r="L17" s="1" t="n">
        <x:f>IF(C17=0,0,IF(I17&gt;60,1,0))</x:f>
        <x:v>1</x:v>
      </x:c>
      <x:c r="M17" s="11" t="n">
        <x:f>H17*7/G17</x:f>
        <x:v>0.6089965397934256</x:v>
      </x:c>
      <x:c r="N17" s="11" t="n">
        <x:f>IF(C17=0,"",D17/C17)</x:f>
        <x:v>1.8148715102986204</x:v>
      </x:c>
      <x:c r="O17" s="11" t="n">
        <x:v>-0.1414634146</x:v>
      </x:c>
      <x:c r="P17" s="1" t="str">
        <x:v>SYNTHETIC scenario; seed 52316; not observed inventory</x:v>
      </x:c>
      <x:c r="Q17" s="1" t="str">
        <x:f>_xlfn.XLOOKUP(A17,'Product Master'!$A$6:$A$25,'Product Master'!$B$6:$B$25,"Missing product")</x:f>
        <x:v>RECIPE BOX PANTRY YELLOW DESIGN</x:v>
      </x:c>
    </x:row>
    <x:row r="18" ht="20" customHeight="1">
      <x:c r="A18" s="1" t="str">
        <x:v>22720</x:v>
      </x:c>
      <x:c r="B18" s="9" t="d">
        <x:v>2011-11-30T00:00:00.000Z</x:v>
      </x:c>
      <x:c r="C18" s="10" t="n">
        <x:v>16.5</x:v>
      </x:c>
      <x:c r="D18" s="10" t="n">
        <x:v>15.7037302211</x:v>
      </x:c>
      <x:c r="E18" s="12" t="n">
        <x:v>369</x:v>
      </x:c>
      <x:c r="F18" s="12" t="n">
        <x:v>21</x:v>
      </x:c>
      <x:c r="G18" s="12" t="n">
        <x:v>171</x:v>
      </x:c>
      <x:c r="H18" s="12" t="n">
        <x:v>21.8571428571</x:v>
      </x:c>
      <x:c r="I18" s="10" t="n">
        <x:f>IF(C18=0,"",E18/C18)</x:f>
        <x:v>22.363636363636363</x:v>
      </x:c>
      <x:c r="J18" s="10" t="n">
        <x:f>H18*F18+1.65*D18*SQRT(F18)</x:f>
        <x:v>577.739828510838</x:v>
      </x:c>
      <x:c r="K18" s="1" t="n">
        <x:f>IF(E18&lt;J18,1,0)</x:f>
        <x:v>1</x:v>
      </x:c>
      <x:c r="L18" s="1" t="n">
        <x:f>IF(C18=0,0,IF(I18&gt;60,1,0))</x:f>
        <x:v>0</x:v>
      </x:c>
      <x:c r="M18" s="11" t="n">
        <x:f>H18*7/G18</x:f>
        <x:v>0.8947368421035088</x:v>
      </x:c>
      <x:c r="N18" s="11" t="n">
        <x:f>IF(C18=0,"",D18/C18)</x:f>
        <x:v>0.9517412255212122</x:v>
      </x:c>
      <x:c r="O18" s="11" t="n">
        <x:v>0.5612244898</x:v>
      </x:c>
      <x:c r="P18" s="1" t="str">
        <x:v>SYNTHETIC scenario; seed 52316; not observed inventory</x:v>
      </x:c>
      <x:c r="Q18" s="1" t="str">
        <x:f>_xlfn.XLOOKUP(A18,'Product Master'!$A$6:$A$25,'Product Master'!$B$6:$B$25,"Missing product")</x:f>
        <x:v>SET OF 3 CAKE TINS PANTRY DESIGN </x:v>
      </x:c>
    </x:row>
    <x:row r="19" ht="20" customHeight="1">
      <x:c r="A19" s="1" t="str">
        <x:v>22722</x:v>
      </x:c>
      <x:c r="B19" s="9" t="d">
        <x:v>2011-11-30T00:00:00.000Z</x:v>
      </x:c>
      <x:c r="C19" s="10" t="n">
        <x:v>17.8571428571</x:v>
      </x:c>
      <x:c r="D19" s="10" t="n">
        <x:v>16.5264167011</x:v>
      </x:c>
      <x:c r="E19" s="12" t="n">
        <x:v>109</x:v>
      </x:c>
      <x:c r="F19" s="12" t="n">
        <x:v>20</x:v>
      </x:c>
      <x:c r="G19" s="12" t="n">
        <x:v>83</x:v>
      </x:c>
      <x:c r="H19" s="12" t="n">
        <x:v>11.2857142857</x:v>
      </x:c>
      <x:c r="I19" s="10" t="n">
        <x:f>IF(C19=0,"",E19/C19)</x:f>
        <x:v>6.104000000014649</x:v>
      </x:c>
      <x:c r="J19" s="10" t="n">
        <x:f>H19*F19+1.65*D19*SQRT(F19)</x:f>
        <x:v>347.6631165688865</x:v>
      </x:c>
      <x:c r="K19" s="1" t="n">
        <x:f>IF(E19&lt;J19,1,0)</x:f>
        <x:v>1</x:v>
      </x:c>
      <x:c r="L19" s="1" t="n">
        <x:f>IF(C19=0,0,IF(I19&gt;60,1,0))</x:f>
        <x:v>0</x:v>
      </x:c>
      <x:c r="M19" s="11" t="n">
        <x:f>H19*7/G19</x:f>
        <x:v>0.9518072289144578</x:v>
      </x:c>
      <x:c r="N19" s="11" t="n">
        <x:f>IF(C19=0,"",D19/C19)</x:f>
        <x:v>0.9254793352638211</x:v>
      </x:c>
      <x:c r="O19" s="11" t="n">
        <x:v>-0.3875968992</x:v>
      </x:c>
      <x:c r="P19" s="1" t="str">
        <x:v>SYNTHETIC scenario; seed 52316; not observed inventory</x:v>
      </x:c>
      <x:c r="Q19" s="1" t="str">
        <x:f>_xlfn.XLOOKUP(A19,'Product Master'!$A$6:$A$25,'Product Master'!$B$6:$B$25,"Missing product")</x:f>
        <x:v>SET OF 6 SPICE TINS PANTRY DESIGN</x:v>
      </x:c>
    </x:row>
    <x:row r="20" ht="20" customHeight="1">
      <x:c r="A20" s="1" t="str">
        <x:v>22960</x:v>
      </x:c>
      <x:c r="B20" s="9" t="d">
        <x:v>2011-11-30T00:00:00.000Z</x:v>
      </x:c>
      <x:c r="C20" s="10" t="n">
        <x:v>36.6785714286</x:v>
      </x:c>
      <x:c r="D20" s="10" t="n">
        <x:v>49.484523967</x:v>
      </x:c>
      <x:c r="E20" s="12" t="n">
        <x:v>644</x:v>
      </x:c>
      <x:c r="F20" s="12" t="n">
        <x:v>11</x:v>
      </x:c>
      <x:c r="G20" s="12" t="n">
        <x:v>290</x:v>
      </x:c>
      <x:c r="H20" s="12" t="n">
        <x:v>49</x:v>
      </x:c>
      <x:c r="I20" s="10" t="n">
        <x:f>IF(C20=0,"",E20/C20)</x:f>
        <x:v>17.557935735137246</x:v>
      </x:c>
      <x:c r="J20" s="10" t="n">
        <x:f>H20*F20+1.65*D20*SQRT(F20)</x:f>
        <x:v>809.8006382310155</x:v>
      </x:c>
      <x:c r="K20" s="1" t="n">
        <x:f>IF(E20&lt;J20,1,0)</x:f>
        <x:v>1</x:v>
      </x:c>
      <x:c r="L20" s="1" t="n">
        <x:f>IF(C20=0,0,IF(I20&gt;60,1,0))</x:f>
        <x:v>0</x:v>
      </x:c>
      <x:c r="M20" s="11" t="n">
        <x:f>H20*7/G20</x:f>
        <x:v>1.1827586206896552</x:v>
      </x:c>
      <x:c r="N20" s="11" t="n">
        <x:f>IF(C20=0,"",D20/C20)</x:f>
        <x:v>1.349139893938579</x:v>
      </x:c>
      <x:c r="O20" s="11" t="n">
        <x:v>0.681372549</x:v>
      </x:c>
      <x:c r="P20" s="1" t="str">
        <x:v>SYNTHETIC scenario; seed 52316; not observed inventory</x:v>
      </x:c>
      <x:c r="Q20" s="1" t="str">
        <x:f>_xlfn.XLOOKUP(A20,'Product Master'!$A$6:$A$25,'Product Master'!$B$6:$B$25,"Missing product")</x:f>
        <x:v>JAM MAKING SET WITH JARS</x:v>
      </x:c>
    </x:row>
    <x:row r="21" ht="20" customHeight="1">
      <x:c r="A21" s="1" t="str">
        <x:v>22961</x:v>
      </x:c>
      <x:c r="B21" s="9" t="d">
        <x:v>2011-11-30T00:00:00.000Z</x:v>
      </x:c>
      <x:c r="C21" s="10" t="n">
        <x:v>51.3214285714</x:v>
      </x:c>
      <x:c r="D21" s="10" t="n">
        <x:v>51.0455353941</x:v>
      </x:c>
      <x:c r="E21" s="12" t="n">
        <x:v>3522</x:v>
      </x:c>
      <x:c r="F21" s="12" t="n">
        <x:v>7</x:v>
      </x:c>
      <x:c r="G21" s="12" t="n">
        <x:v>506</x:v>
      </x:c>
      <x:c r="H21" s="12" t="n">
        <x:v>45.5714285714</x:v>
      </x:c>
      <x:c r="I21" s="10" t="n">
        <x:f>IF(C21=0,"",E21/C21)</x:f>
        <x:v>68.62630480170836</x:v>
      </x:c>
      <x:c r="J21" s="10" t="n">
        <x:f>H21*F21+1.65*D21*SQRT(F21)</x:f>
        <x:v>541.8387571181411</x:v>
      </x:c>
      <x:c r="K21" s="1" t="n">
        <x:f>IF(E21&lt;J21,1,0)</x:f>
        <x:v>0</x:v>
      </x:c>
      <x:c r="L21" s="1" t="n">
        <x:f>IF(C21=0,0,IF(I21&gt;60,1,0))</x:f>
        <x:v>1</x:v>
      </x:c>
      <x:c r="M21" s="11" t="n">
        <x:f>H21*7/G21</x:f>
        <x:v>0.6304347826083003</x:v>
      </x:c>
      <x:c r="N21" s="11" t="n">
        <x:f>IF(C21=0,"",D21/C21)</x:f>
        <x:v>0.9946242108807207</x:v>
      </x:c>
      <x:c r="O21" s="11" t="n">
        <x:v>-0.3923809524</x:v>
      </x:c>
      <x:c r="P21" s="1" t="str">
        <x:v>SYNTHETIC scenario; seed 52316; not observed inventory</x:v>
      </x:c>
      <x:c r="Q21" s="1" t="str">
        <x:f>_xlfn.XLOOKUP(A21,'Product Master'!$A$6:$A$25,'Product Master'!$B$6:$B$25,"Missing product")</x:f>
        <x:v>JAM MAKING SET PRINTED</x:v>
      </x:c>
    </x:row>
    <x:row r="22" ht="20" customHeight="1">
      <x:c r="A22" s="1" t="str">
        <x:v>84378</x:v>
      </x:c>
      <x:c r="B22" s="9" t="d">
        <x:v>2011-11-30T00:00:00.000Z</x:v>
      </x:c>
      <x:c r="C22" s="10" t="n">
        <x:v>49.5357142857</x:v>
      </x:c>
      <x:c r="D22" s="10" t="n">
        <x:v>143.5676749687</x:v>
      </x:c>
      <x:c r="E22" s="12" t="n">
        <x:v>2946</x:v>
      </x:c>
      <x:c r="F22" s="12" t="n">
        <x:v>20</x:v>
      </x:c>
      <x:c r="G22" s="12" t="n">
        <x:v>262</x:v>
      </x:c>
      <x:c r="H22" s="12" t="n">
        <x:v>123.1428571429</x:v>
      </x:c>
      <x:c r="I22" s="10" t="n">
        <x:f>IF(C22=0,"",E22/C22)</x:f>
        <x:v>59.472242249476416</x:v>
      </x:c>
      <x:c r="J22" s="10" t="n">
        <x:f>H22*F22+1.65*D22*SQRT(F22)</x:f>
        <x:v>3522.246508843307</x:v>
      </x:c>
      <x:c r="K22" s="1" t="n">
        <x:f>IF(E22&lt;J22,1,0)</x:f>
        <x:v>1</x:v>
      </x:c>
      <x:c r="L22" s="1" t="n">
        <x:f>IF(C22=0,0,IF(I22&gt;60,1,0))</x:f>
        <x:v>0</x:v>
      </x:c>
      <x:c r="M22" s="11" t="n">
        <x:f>H22*7/G22</x:f>
        <x:v>3.2900763358790077</x:v>
      </x:c>
      <x:c r="N22" s="11" t="n">
        <x:f>IF(C22=0,"",D22/C22)</x:f>
        <x:v>2.898265969087786</x:v>
      </x:c>
      <x:c r="O22" s="11" t="n">
        <x:v>2.0785714286</x:v>
      </x:c>
      <x:c r="P22" s="1" t="str">
        <x:v>SYNTHETIC scenario; seed 52316; not observed inventory</x:v>
      </x:c>
      <x:c r="Q22" s="1" t="str">
        <x:f>_xlfn.XLOOKUP(A22,'Product Master'!$A$6:$A$25,'Product Master'!$B$6:$B$25,"Missing product")</x:f>
        <x:v>SET OF 3 HEART COOKIE CUTTERS</x:v>
      </x:c>
    </x:row>
    <x:row r="23" ht="20" customHeight="1">
      <x:c r="A23" s="1" t="str">
        <x:v>84879</x:v>
      </x:c>
      <x:c r="B23" s="9" t="d">
        <x:v>2011-11-30T00:00:00.000Z</x:v>
      </x:c>
      <x:c r="C23" s="10" t="n">
        <x:v>171.3214285714</x:v>
      </x:c>
      <x:c r="D23" s="10" t="n">
        <x:v>243.8390941308</x:v>
      </x:c>
      <x:c r="E23" s="12" t="n">
        <x:v>1896</x:v>
      </x:c>
      <x:c r="F23" s="12" t="n">
        <x:v>15</x:v>
      </x:c>
      <x:c r="G23" s="12" t="n">
        <x:v>1534</x:v>
      </x:c>
      <x:c r="H23" s="12" t="n">
        <x:v>132.8571428571</x:v>
      </x:c>
      <x:c r="I23" s="10" t="n">
        <x:f>IF(C23=0,"",E23/C23)</x:f>
        <x:v>11.06691682301623</x:v>
      </x:c>
      <x:c r="J23" s="10" t="n">
        <x:f>H23*F23+1.65*D23*SQRT(F23)</x:f>
        <x:v>3551.0919815492703</x:v>
      </x:c>
      <x:c r="K23" s="1" t="n">
        <x:f>IF(E23&lt;J23,1,0)</x:f>
        <x:v>1</x:v>
      </x:c>
      <x:c r="L23" s="1" t="n">
        <x:f>IF(C23=0,0,IF(I23&gt;60,1,0))</x:f>
        <x:v>0</x:v>
      </x:c>
      <x:c r="M23" s="11" t="n">
        <x:f>H23*7/G23</x:f>
        <x:v>0.6062581486308344</x:v>
      </x:c>
      <x:c r="N23" s="11" t="n">
        <x:f>IF(C23=0,"",D23/C23)</x:f>
        <x:v>1.4232842684310065</x:v>
      </x:c>
      <x:c r="O23" s="11" t="n">
        <x:v>-0.0718562874</x:v>
      </x:c>
      <x:c r="P23" s="1" t="str">
        <x:v>SYNTHETIC scenario; seed 52316; not observed inventory</x:v>
      </x:c>
      <x:c r="Q23" s="1" t="str">
        <x:f>_xlfn.XLOOKUP(A23,'Product Master'!$A$6:$A$25,'Product Master'!$B$6:$B$25,"Missing product")</x:f>
        <x:v>ASSORTED COLOUR BIRD ORNAMENT</x:v>
      </x:c>
    </x:row>
    <x:row r="24" ht="20" customHeight="1">
      <x:c r="A24" s="1" t="str">
        <x:v>85099B</x:v>
      </x:c>
      <x:c r="B24" s="9" t="d">
        <x:v>2011-11-30T00:00:00.000Z</x:v>
      </x:c>
      <x:c r="C24" s="10" t="n">
        <x:v>199.2857142857</x:v>
      </x:c>
      <x:c r="D24" s="10" t="n">
        <x:v>248.5555208374</x:v>
      </x:c>
      <x:c r="E24" s="12" t="n">
        <x:v>7982</x:v>
      </x:c>
      <x:c r="F24" s="12" t="n">
        <x:v>13</x:v>
      </x:c>
      <x:c r="G24" s="12" t="n">
        <x:v>1899</x:v>
      </x:c>
      <x:c r="H24" s="12" t="n">
        <x:v>103.4285714286</x:v>
      </x:c>
      <x:c r="I24" s="10" t="n">
        <x:f>IF(C24=0,"",E24/C24)</x:f>
        <x:v>40.05304659498495</x:v>
      </x:c>
      <x:c r="J24" s="10" t="n">
        <x:f>H24*F24+1.65*D24*SQRT(F24)</x:f>
        <x:v>2823.267892616991</x:v>
      </x:c>
      <x:c r="K24" s="1" t="n">
        <x:f>IF(E24&lt;J24,1,0)</x:f>
        <x:v>0</x:v>
      </x:c>
      <x:c r="L24" s="1" t="n">
        <x:f>IF(C24=0,0,IF(I24&gt;60,1,0))</x:f>
        <x:v>0</x:v>
      </x:c>
      <x:c r="M24" s="11" t="n">
        <x:f>H24*7/G24</x:f>
        <x:v>0.38125329120600315</x:v>
      </x:c>
      <x:c r="N24" s="11" t="n">
        <x:f>IF(C24=0,"",D24/C24)</x:f>
        <x:v>1.2472320042020966</x:v>
      </x:c>
      <x:c r="O24" s="11" t="n">
        <x:v>0.0789865872</x:v>
      </x:c>
      <x:c r="P24" s="1" t="str">
        <x:v>SYNTHETIC scenario; seed 52316; not observed inventory</x:v>
      </x:c>
      <x:c r="Q24" s="1" t="str">
        <x:f>_xlfn.XLOOKUP(A24,'Product Master'!$A$6:$A$25,'Product Master'!$B$6:$B$25,"Missing product")</x:f>
        <x:v>JUMBO BAG RED RETROSPOT</x:v>
      </x:c>
    </x:row>
    <x:row r="25" ht="20" customHeight="1">
      <x:c r="A25" s="1" t="str">
        <x:v>85123A</x:v>
      </x:c>
      <x:c r="B25" s="9" t="d">
        <x:v>2011-11-30T00:00:00.000Z</x:v>
      </x:c>
      <x:c r="C25" s="10" t="n">
        <x:v>171.0357142857</x:v>
      </x:c>
      <x:c r="D25" s="10" t="n">
        <x:v>238.2051160154</x:v>
      </x:c>
      <x:c r="E25" s="12" t="n">
        <x:v>663</x:v>
      </x:c>
      <x:c r="F25" s="12" t="n">
        <x:v>17</x:v>
      </x:c>
      <x:c r="G25" s="12" t="n">
        <x:v>1791</x:v>
      </x:c>
      <x:c r="H25" s="12" t="n">
        <x:v>131.4285714286</x:v>
      </x:c>
      <x:c r="I25" s="10" t="n">
        <x:f>IF(C25=0,"",E25/C25)</x:f>
        <x:v>3.8763833785762265</x:v>
      </x:c>
      <x:c r="J25" s="10" t="n">
        <x:f>H25*F25+1.65*D25*SQRT(F25)</x:f>
        <x:v>3854.8247232113054</x:v>
      </x:c>
      <x:c r="K25" s="1" t="n">
        <x:f>IF(E25&lt;J25,1,0)</x:f>
        <x:v>1</x:v>
      </x:c>
      <x:c r="L25" s="1" t="n">
        <x:f>IF(C25=0,0,IF(I25&gt;60,1,0))</x:f>
        <x:v>0</x:v>
      </x:c>
      <x:c r="M25" s="11" t="n">
        <x:f>H25*7/G25</x:f>
        <x:v>0.5136795086544947</x:v>
      </x:c>
      <x:c r="N25" s="11" t="n">
        <x:f>IF(C25=0,"",D25/C25)</x:f>
        <x:v>1.3927214968535722</x:v>
      </x:c>
      <x:c r="O25" s="11" t="n">
        <x:v>0.0648148148</x:v>
      </x:c>
      <x:c r="P25" s="1" t="str">
        <x:v>SYNTHETIC scenario; seed 52316; not observed inventory</x:v>
      </x:c>
      <x:c r="Q25" s="1" t="str">
        <x:f>_xlfn.XLOOKUP(A25,'Product Master'!$A$6:$A$25,'Product Master'!$B$6:$B$25,"Missing product")</x:f>
        <x:v>WHITE HANGING HEART T-LIGHT HOLDER</x:v>
      </x:c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conditionalFormatting sqref="K6:K25">
    <x:cfRule type="cellIs" dxfId="0" priority="1" operator="equal">
      <x:formula>1</x:formula>
    </x:cfRule>
  </x:conditionalFormatting>
  <x:conditionalFormatting sqref="I6:I25">
    <x:cfRule type="cellIs" dxfId="1" priority="2" operator="greaterThan">
      <x:formula>60</x:formula>
    </x:cfRule>
  </x:conditionalFormatting>
  <x:dataValidations count="3">
    <x:dataValidation type="decimal" operator="greaterThanOrEqual" sqref="E6:E25">
      <x:formula1>0</x:formula1>
    </x:dataValidation>
    <x:dataValidation type="decimal" operator="greaterThanOrEqual" sqref="H6:H25">
      <x:formula1>0</x:formula1>
    </x:dataValidation>
    <x:dataValidation type="decimal" operator="greaterThan" sqref="F6:G2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c5de3c4bd740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Forecast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fold</x:v>
      </x:c>
      <x:c r="C5" s="8" t="str">
        <x:v>train_end</x:v>
      </x:c>
      <x:c r="D5" s="8" t="str">
        <x:v>date</x:v>
      </x:c>
      <x:c r="E5" s="8" t="str">
        <x:v>model</x:v>
      </x:c>
      <x:c r="F5" s="8" t="str">
        <x:v>actual</x:v>
      </x:c>
      <x:c r="G5" s="8" t="str">
        <x:v>predicted</x:v>
      </x:c>
      <x:c r="H5" s="8" t="str">
        <x:v>absolute_error</x:v>
      </x:c>
      <x:c r="I5" s="8" t="str">
        <x:v>signed_error</x:v>
      </x:c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10" t="n">
        <x:v>1</x:v>
      </x:c>
      <x:c r="C6" s="9" t="d">
        <x:v>2011-10-19T00:00:00.000Z</x:v>
      </x:c>
      <x:c r="D6" s="9" t="d">
        <x:v>2011-10-20T00:00:00.000Z</x:v>
      </x:c>
      <x:c r="E6" s="1" t="str">
        <x:v>naive</x:v>
      </x:c>
      <x:c r="F6" s="10" t="n">
        <x:v>110</x:v>
      </x:c>
      <x:c r="G6" s="10" t="n">
        <x:v>26</x:v>
      </x:c>
      <x:c r="H6" s="10" t="n">
        <x:f>ABS(G6-F6)</x:f>
        <x:v>84</x:v>
      </x:c>
      <x:c r="I6" s="10" t="n">
        <x:f>G6-F6</x:f>
        <x:v>-84</x:v>
      </x:c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20725</x:v>
      </x:c>
      <x:c r="B7" s="10" t="n">
        <x:v>1</x:v>
      </x:c>
      <x:c r="C7" s="9" t="d">
        <x:v>2011-10-19T00:00:00.000Z</x:v>
      </x:c>
      <x:c r="D7" s="9" t="d">
        <x:v>2011-10-21T00:00:00.000Z</x:v>
      </x:c>
      <x:c r="E7" s="1" t="str">
        <x:v>naive</x:v>
      </x:c>
      <x:c r="F7" s="10" t="n">
        <x:v>39</x:v>
      </x:c>
      <x:c r="G7" s="10" t="n">
        <x:v>26</x:v>
      </x:c>
      <x:c r="H7" s="10" t="n">
        <x:f>ABS(G7-F7)</x:f>
        <x:v>13</x:v>
      </x:c>
      <x:c r="I7" s="10" t="n">
        <x:f>G7-F7</x:f>
        <x:v>-13</x:v>
      </x:c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20725</x:v>
      </x:c>
      <x:c r="B8" s="10" t="n">
        <x:v>1</x:v>
      </x:c>
      <x:c r="C8" s="9" t="d">
        <x:v>2011-10-19T00:00:00.000Z</x:v>
      </x:c>
      <x:c r="D8" s="9" t="d">
        <x:v>2011-10-22T00:00:00.000Z</x:v>
      </x:c>
      <x:c r="E8" s="1" t="str">
        <x:v>naive</x:v>
      </x:c>
      <x:c r="F8" s="10" t="n">
        <x:v>0</x:v>
      </x:c>
      <x:c r="G8" s="10" t="n">
        <x:v>26</x:v>
      </x:c>
      <x:c r="H8" s="10" t="n">
        <x:f>ABS(G8-F8)</x:f>
        <x:v>26</x:v>
      </x:c>
      <x:c r="I8" s="10" t="n">
        <x:f>G8-F8</x:f>
        <x:v>26</x:v>
      </x:c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20725</x:v>
      </x:c>
      <x:c r="B9" s="10" t="n">
        <x:v>1</x:v>
      </x:c>
      <x:c r="C9" s="9" t="d">
        <x:v>2011-10-19T00:00:00.000Z</x:v>
      </x:c>
      <x:c r="D9" s="9" t="d">
        <x:v>2011-10-23T00:00:00.000Z</x:v>
      </x:c>
      <x:c r="E9" s="1" t="str">
        <x:v>naive</x:v>
      </x:c>
      <x:c r="F9" s="10" t="n">
        <x:v>14</x:v>
      </x:c>
      <x:c r="G9" s="10" t="n">
        <x:v>26</x:v>
      </x:c>
      <x:c r="H9" s="10" t="n">
        <x:f>ABS(G9-F9)</x:f>
        <x:v>12</x:v>
      </x:c>
      <x:c r="I9" s="10" t="n">
        <x:f>G9-F9</x:f>
        <x:v>12</x:v>
      </x:c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20725</x:v>
      </x:c>
      <x:c r="B10" s="10" t="n">
        <x:v>1</x:v>
      </x:c>
      <x:c r="C10" s="9" t="d">
        <x:v>2011-10-19T00:00:00.000Z</x:v>
      </x:c>
      <x:c r="D10" s="9" t="d">
        <x:v>2011-10-24T00:00:00.000Z</x:v>
      </x:c>
      <x:c r="E10" s="1" t="str">
        <x:v>naive</x:v>
      </x:c>
      <x:c r="F10" s="10" t="n">
        <x:v>8</x:v>
      </x:c>
      <x:c r="G10" s="10" t="n">
        <x:v>26</x:v>
      </x:c>
      <x:c r="H10" s="10" t="n">
        <x:f>ABS(G10-F10)</x:f>
        <x:v>18</x:v>
      </x:c>
      <x:c r="I10" s="10" t="n">
        <x:f>G10-F10</x:f>
        <x:v>18</x:v>
      </x:c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20725</x:v>
      </x:c>
      <x:c r="B11" s="10" t="n">
        <x:v>1</x:v>
      </x:c>
      <x:c r="C11" s="9" t="d">
        <x:v>2011-10-19T00:00:00.000Z</x:v>
      </x:c>
      <x:c r="D11" s="9" t="d">
        <x:v>2011-10-25T00:00:00.000Z</x:v>
      </x:c>
      <x:c r="E11" s="1" t="str">
        <x:v>naive</x:v>
      </x:c>
      <x:c r="F11" s="10" t="n">
        <x:v>37</x:v>
      </x:c>
      <x:c r="G11" s="10" t="n">
        <x:v>26</x:v>
      </x:c>
      <x:c r="H11" s="10" t="n">
        <x:f>ABS(G11-F11)</x:f>
        <x:v>11</x:v>
      </x:c>
      <x:c r="I11" s="10" t="n">
        <x:f>G11-F11</x:f>
        <x:v>-11</x:v>
      </x:c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20725</x:v>
      </x:c>
      <x:c r="B12" s="10" t="n">
        <x:v>1</x:v>
      </x:c>
      <x:c r="C12" s="9" t="d">
        <x:v>2011-10-19T00:00:00.000Z</x:v>
      </x:c>
      <x:c r="D12" s="9" t="d">
        <x:v>2011-10-26T00:00:00.000Z</x:v>
      </x:c>
      <x:c r="E12" s="1" t="str">
        <x:v>naive</x:v>
      </x:c>
      <x:c r="F12" s="10" t="n">
        <x:v>52</x:v>
      </x:c>
      <x:c r="G12" s="10" t="n">
        <x:v>26</x:v>
      </x:c>
      <x:c r="H12" s="10" t="n">
        <x:f>ABS(G12-F12)</x:f>
        <x:v>26</x:v>
      </x:c>
      <x:c r="I12" s="10" t="n">
        <x:f>G12-F12</x:f>
        <x:v>-26</x:v>
      </x:c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20725</x:v>
      </x:c>
      <x:c r="B13" s="10" t="n">
        <x:v>1</x:v>
      </x:c>
      <x:c r="C13" s="9" t="d">
        <x:v>2011-10-19T00:00:00.000Z</x:v>
      </x:c>
      <x:c r="D13" s="9" t="d">
        <x:v>2011-10-27T00:00:00.000Z</x:v>
      </x:c>
      <x:c r="E13" s="1" t="str">
        <x:v>naive</x:v>
      </x:c>
      <x:c r="F13" s="10" t="n">
        <x:v>45</x:v>
      </x:c>
      <x:c r="G13" s="10" t="n">
        <x:v>26</x:v>
      </x:c>
      <x:c r="H13" s="10" t="n">
        <x:f>ABS(G13-F13)</x:f>
        <x:v>19</x:v>
      </x:c>
      <x:c r="I13" s="10" t="n">
        <x:f>G13-F13</x:f>
        <x:v>-19</x:v>
      </x:c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20725</x:v>
      </x:c>
      <x:c r="B14" s="10" t="n">
        <x:v>1</x:v>
      </x:c>
      <x:c r="C14" s="9" t="d">
        <x:v>2011-10-19T00:00:00.000Z</x:v>
      </x:c>
      <x:c r="D14" s="9" t="d">
        <x:v>2011-10-28T00:00:00.000Z</x:v>
      </x:c>
      <x:c r="E14" s="1" t="str">
        <x:v>naive</x:v>
      </x:c>
      <x:c r="F14" s="10" t="n">
        <x:v>94</x:v>
      </x:c>
      <x:c r="G14" s="10" t="n">
        <x:v>26</x:v>
      </x:c>
      <x:c r="H14" s="10" t="n">
        <x:f>ABS(G14-F14)</x:f>
        <x:v>68</x:v>
      </x:c>
      <x:c r="I14" s="10" t="n">
        <x:f>G14-F14</x:f>
        <x:v>-68</x:v>
      </x:c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20725</x:v>
      </x:c>
      <x:c r="B15" s="10" t="n">
        <x:v>1</x:v>
      </x:c>
      <x:c r="C15" s="9" t="d">
        <x:v>2011-10-19T00:00:00.000Z</x:v>
      </x:c>
      <x:c r="D15" s="9" t="d">
        <x:v>2011-10-29T00:00:00.000Z</x:v>
      </x:c>
      <x:c r="E15" s="1" t="str">
        <x:v>naive</x:v>
      </x:c>
      <x:c r="F15" s="10" t="n">
        <x:v>0</x:v>
      </x:c>
      <x:c r="G15" s="10" t="n">
        <x:v>26</x:v>
      </x:c>
      <x:c r="H15" s="10" t="n">
        <x:f>ABS(G15-F15)</x:f>
        <x:v>26</x:v>
      </x:c>
      <x:c r="I15" s="10" t="n">
        <x:f>G15-F15</x:f>
        <x:v>26</x:v>
      </x:c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20725</x:v>
      </x:c>
      <x:c r="B16" s="10" t="n">
        <x:v>1</x:v>
      </x:c>
      <x:c r="C16" s="9" t="d">
        <x:v>2011-10-19T00:00:00.000Z</x:v>
      </x:c>
      <x:c r="D16" s="9" t="d">
        <x:v>2011-10-30T00:00:00.000Z</x:v>
      </x:c>
      <x:c r="E16" s="1" t="str">
        <x:v>naive</x:v>
      </x:c>
      <x:c r="F16" s="10" t="n">
        <x:v>78</x:v>
      </x:c>
      <x:c r="G16" s="10" t="n">
        <x:v>26</x:v>
      </x:c>
      <x:c r="H16" s="10" t="n">
        <x:f>ABS(G16-F16)</x:f>
        <x:v>52</x:v>
      </x:c>
      <x:c r="I16" s="10" t="n">
        <x:f>G16-F16</x:f>
        <x:v>-52</x:v>
      </x:c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20725</x:v>
      </x:c>
      <x:c r="B17" s="10" t="n">
        <x:v>1</x:v>
      </x:c>
      <x:c r="C17" s="9" t="d">
        <x:v>2011-10-19T00:00:00.000Z</x:v>
      </x:c>
      <x:c r="D17" s="9" t="d">
        <x:v>2011-10-31T00:00:00.000Z</x:v>
      </x:c>
      <x:c r="E17" s="1" t="str">
        <x:v>naive</x:v>
      </x:c>
      <x:c r="F17" s="10" t="n">
        <x:v>10</x:v>
      </x:c>
      <x:c r="G17" s="10" t="n">
        <x:v>26</x:v>
      </x:c>
      <x:c r="H17" s="10" t="n">
        <x:f>ABS(G17-F17)</x:f>
        <x:v>16</x:v>
      </x:c>
      <x:c r="I17" s="10" t="n">
        <x:f>G17-F17</x:f>
        <x:v>16</x:v>
      </x:c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20725</x:v>
      </x:c>
      <x:c r="B18" s="10" t="n">
        <x:v>1</x:v>
      </x:c>
      <x:c r="C18" s="9" t="d">
        <x:v>2011-10-19T00:00:00.000Z</x:v>
      </x:c>
      <x:c r="D18" s="9" t="d">
        <x:v>2011-11-01T00:00:00.000Z</x:v>
      </x:c>
      <x:c r="E18" s="1" t="str">
        <x:v>naive</x:v>
      </x:c>
      <x:c r="F18" s="10" t="n">
        <x:v>6</x:v>
      </x:c>
      <x:c r="G18" s="10" t="n">
        <x:v>26</x:v>
      </x:c>
      <x:c r="H18" s="10" t="n">
        <x:f>ABS(G18-F18)</x:f>
        <x:v>20</x:v>
      </x:c>
      <x:c r="I18" s="10" t="n">
        <x:f>G18-F18</x:f>
        <x:v>20</x:v>
      </x:c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20725</x:v>
      </x:c>
      <x:c r="B19" s="10" t="n">
        <x:v>1</x:v>
      </x:c>
      <x:c r="C19" s="9" t="d">
        <x:v>2011-10-19T00:00:00.000Z</x:v>
      </x:c>
      <x:c r="D19" s="9" t="d">
        <x:v>2011-11-02T00:00:00.000Z</x:v>
      </x:c>
      <x:c r="E19" s="1" t="str">
        <x:v>naive</x:v>
      </x:c>
      <x:c r="F19" s="10" t="n">
        <x:v>117</x:v>
      </x:c>
      <x:c r="G19" s="10" t="n">
        <x:v>26</x:v>
      </x:c>
      <x:c r="H19" s="10" t="n">
        <x:f>ABS(G19-F19)</x:f>
        <x:v>91</x:v>
      </x:c>
      <x:c r="I19" s="10" t="n">
        <x:f>G19-F19</x:f>
        <x:v>-91</x:v>
      </x:c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20725</x:v>
      </x:c>
      <x:c r="B20" s="10" t="n">
        <x:v>1</x:v>
      </x:c>
      <x:c r="C20" s="9" t="d">
        <x:v>2011-10-19T00:00:00.000Z</x:v>
      </x:c>
      <x:c r="D20" s="9" t="d">
        <x:v>2011-10-20T00:00:00.000Z</x:v>
      </x:c>
      <x:c r="E20" s="1" t="str">
        <x:v>seasonal_naive</x:v>
      </x:c>
      <x:c r="F20" s="10" t="n">
        <x:v>110</x:v>
      </x:c>
      <x:c r="G20" s="10" t="n">
        <x:v>75</x:v>
      </x:c>
      <x:c r="H20" s="10" t="n">
        <x:f>ABS(G20-F20)</x:f>
        <x:v>35</x:v>
      </x:c>
      <x:c r="I20" s="10" t="n">
        <x:f>G20-F20</x:f>
        <x:v>-35</x:v>
      </x:c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20725</x:v>
      </x:c>
      <x:c r="B21" s="10" t="n">
        <x:v>1</x:v>
      </x:c>
      <x:c r="C21" s="9" t="d">
        <x:v>2011-10-19T00:00:00.000Z</x:v>
      </x:c>
      <x:c r="D21" s="9" t="d">
        <x:v>2011-10-21T00:00:00.000Z</x:v>
      </x:c>
      <x:c r="E21" s="1" t="str">
        <x:v>seasonal_naive</x:v>
      </x:c>
      <x:c r="F21" s="10" t="n">
        <x:v>39</x:v>
      </x:c>
      <x:c r="G21" s="10" t="n">
        <x:v>160</x:v>
      </x:c>
      <x:c r="H21" s="10" t="n">
        <x:f>ABS(G21-F21)</x:f>
        <x:v>121</x:v>
      </x:c>
      <x:c r="I21" s="10" t="n">
        <x:f>G21-F21</x:f>
        <x:v>121</x:v>
      </x:c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20725</x:v>
      </x:c>
      <x:c r="B22" s="10" t="n">
        <x:v>1</x:v>
      </x:c>
      <x:c r="C22" s="9" t="d">
        <x:v>2011-10-19T00:00:00.000Z</x:v>
      </x:c>
      <x:c r="D22" s="9" t="d">
        <x:v>2011-10-22T00:00:00.000Z</x:v>
      </x:c>
      <x:c r="E22" s="1" t="str">
        <x:v>seasonal_naive</x:v>
      </x:c>
      <x:c r="F22" s="10" t="n">
        <x:v>0</x:v>
      </x:c>
      <x:c r="G22" s="10" t="n">
        <x:v>0</x:v>
      </x:c>
      <x:c r="H22" s="10" t="n">
        <x:f>ABS(G22-F22)</x:f>
        <x:v>0</x:v>
      </x:c>
      <x:c r="I22" s="10" t="n">
        <x:f>G22-F22</x:f>
        <x:v>0</x:v>
      </x:c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20725</x:v>
      </x:c>
      <x:c r="B23" s="10" t="n">
        <x:v>1</x:v>
      </x:c>
      <x:c r="C23" s="9" t="d">
        <x:v>2011-10-19T00:00:00.000Z</x:v>
      </x:c>
      <x:c r="D23" s="9" t="d">
        <x:v>2011-10-23T00:00:00.000Z</x:v>
      </x:c>
      <x:c r="E23" s="1" t="str">
        <x:v>seasonal_naive</x:v>
      </x:c>
      <x:c r="F23" s="10" t="n">
        <x:v>14</x:v>
      </x:c>
      <x:c r="G23" s="10" t="n">
        <x:v>6</x:v>
      </x:c>
      <x:c r="H23" s="10" t="n">
        <x:f>ABS(G23-F23)</x:f>
        <x:v>8</x:v>
      </x:c>
      <x:c r="I23" s="10" t="n">
        <x:f>G23-F23</x:f>
        <x:v>-8</x:v>
      </x:c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20725</x:v>
      </x:c>
      <x:c r="B24" s="10" t="n">
        <x:v>1</x:v>
      </x:c>
      <x:c r="C24" s="9" t="d">
        <x:v>2011-10-19T00:00:00.000Z</x:v>
      </x:c>
      <x:c r="D24" s="9" t="d">
        <x:v>2011-10-24T00:00:00.000Z</x:v>
      </x:c>
      <x:c r="E24" s="1" t="str">
        <x:v>seasonal_naive</x:v>
      </x:c>
      <x:c r="F24" s="10" t="n">
        <x:v>8</x:v>
      </x:c>
      <x:c r="G24" s="10" t="n">
        <x:v>22</x:v>
      </x:c>
      <x:c r="H24" s="10" t="n">
        <x:f>ABS(G24-F24)</x:f>
        <x:v>14</x:v>
      </x:c>
      <x:c r="I24" s="10" t="n">
        <x:f>G24-F24</x:f>
        <x:v>14</x:v>
      </x:c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20725</x:v>
      </x:c>
      <x:c r="B25" s="10" t="n">
        <x:v>1</x:v>
      </x:c>
      <x:c r="C25" s="9" t="d">
        <x:v>2011-10-19T00:00:00.000Z</x:v>
      </x:c>
      <x:c r="D25" s="9" t="d">
        <x:v>2011-10-25T00:00:00.000Z</x:v>
      </x:c>
      <x:c r="E25" s="1" t="str">
        <x:v>seasonal_naive</x:v>
      </x:c>
      <x:c r="F25" s="10" t="n">
        <x:v>37</x:v>
      </x:c>
      <x:c r="G25" s="10" t="n">
        <x:v>65</x:v>
      </x:c>
      <x:c r="H25" s="10" t="n">
        <x:f>ABS(G25-F25)</x:f>
        <x:v>28</x:v>
      </x:c>
      <x:c r="I25" s="10" t="n">
        <x:f>G25-F25</x:f>
        <x:v>28</x:v>
      </x:c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20725</x:v>
      </x:c>
      <x:c r="B26" s="10" t="n">
        <x:v>1</x:v>
      </x:c>
      <x:c r="C26" s="9" t="d">
        <x:v>2011-10-19T00:00:00.000Z</x:v>
      </x:c>
      <x:c r="D26" s="9" t="d">
        <x:v>2011-10-26T00:00:00.000Z</x:v>
      </x:c>
      <x:c r="E26" s="1" t="str">
        <x:v>seasonal_naive</x:v>
      </x:c>
      <x:c r="F26" s="10" t="n">
        <x:v>52</x:v>
      </x:c>
      <x:c r="G26" s="10" t="n">
        <x:v>26</x:v>
      </x:c>
      <x:c r="H26" s="10" t="n">
        <x:f>ABS(G26-F26)</x:f>
        <x:v>26</x:v>
      </x:c>
      <x:c r="I26" s="10" t="n">
        <x:f>G26-F26</x:f>
        <x:v>-26</x:v>
      </x:c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20725</x:v>
      </x:c>
      <x:c r="B27" s="10" t="n">
        <x:v>1</x:v>
      </x:c>
      <x:c r="C27" s="9" t="d">
        <x:v>2011-10-19T00:00:00.000Z</x:v>
      </x:c>
      <x:c r="D27" s="9" t="d">
        <x:v>2011-10-27T00:00:00.000Z</x:v>
      </x:c>
      <x:c r="E27" s="1" t="str">
        <x:v>seasonal_naive</x:v>
      </x:c>
      <x:c r="F27" s="10" t="n">
        <x:v>45</x:v>
      </x:c>
      <x:c r="G27" s="10" t="n">
        <x:v>75</x:v>
      </x:c>
      <x:c r="H27" s="10" t="n">
        <x:f>ABS(G27-F27)</x:f>
        <x:v>30</x:v>
      </x:c>
      <x:c r="I27" s="10" t="n">
        <x:f>G27-F27</x:f>
        <x:v>30</x:v>
      </x:c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20725</x:v>
      </x:c>
      <x:c r="B28" s="10" t="n">
        <x:v>1</x:v>
      </x:c>
      <x:c r="C28" s="9" t="d">
        <x:v>2011-10-19T00:00:00.000Z</x:v>
      </x:c>
      <x:c r="D28" s="9" t="d">
        <x:v>2011-10-28T00:00:00.000Z</x:v>
      </x:c>
      <x:c r="E28" s="1" t="str">
        <x:v>seasonal_naive</x:v>
      </x:c>
      <x:c r="F28" s="10" t="n">
        <x:v>94</x:v>
      </x:c>
      <x:c r="G28" s="10" t="n">
        <x:v>160</x:v>
      </x:c>
      <x:c r="H28" s="10" t="n">
        <x:f>ABS(G28-F28)</x:f>
        <x:v>66</x:v>
      </x:c>
      <x:c r="I28" s="10" t="n">
        <x:f>G28-F28</x:f>
        <x:v>66</x:v>
      </x:c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20725</x:v>
      </x:c>
      <x:c r="B29" s="10" t="n">
        <x:v>1</x:v>
      </x:c>
      <x:c r="C29" s="9" t="d">
        <x:v>2011-10-19T00:00:00.000Z</x:v>
      </x:c>
      <x:c r="D29" s="9" t="d">
        <x:v>2011-10-29T00:00:00.000Z</x:v>
      </x:c>
      <x:c r="E29" s="1" t="str">
        <x:v>seasonal_naive</x:v>
      </x:c>
      <x:c r="F29" s="10" t="n">
        <x:v>0</x:v>
      </x:c>
      <x:c r="G29" s="10" t="n">
        <x:v>0</x:v>
      </x:c>
      <x:c r="H29" s="10" t="n">
        <x:f>ABS(G29-F29)</x:f>
        <x:v>0</x:v>
      </x:c>
      <x:c r="I29" s="10" t="n">
        <x:f>G29-F29</x:f>
        <x:v>0</x:v>
      </x:c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20725</x:v>
      </x:c>
      <x:c r="B30" s="10" t="n">
        <x:v>1</x:v>
      </x:c>
      <x:c r="C30" s="9" t="d">
        <x:v>2011-10-19T00:00:00.000Z</x:v>
      </x:c>
      <x:c r="D30" s="9" t="d">
        <x:v>2011-10-30T00:00:00.000Z</x:v>
      </x:c>
      <x:c r="E30" s="1" t="str">
        <x:v>seasonal_naive</x:v>
      </x:c>
      <x:c r="F30" s="10" t="n">
        <x:v>78</x:v>
      </x:c>
      <x:c r="G30" s="10" t="n">
        <x:v>6</x:v>
      </x:c>
      <x:c r="H30" s="10" t="n">
        <x:f>ABS(G30-F30)</x:f>
        <x:v>72</x:v>
      </x:c>
      <x:c r="I30" s="10" t="n">
        <x:f>G30-F30</x:f>
        <x:v>-72</x:v>
      </x:c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20725</x:v>
      </x:c>
      <x:c r="B31" s="10" t="n">
        <x:v>1</x:v>
      </x:c>
      <x:c r="C31" s="9" t="d">
        <x:v>2011-10-19T00:00:00.000Z</x:v>
      </x:c>
      <x:c r="D31" s="9" t="d">
        <x:v>2011-10-31T00:00:00.000Z</x:v>
      </x:c>
      <x:c r="E31" s="1" t="str">
        <x:v>seasonal_naive</x:v>
      </x:c>
      <x:c r="F31" s="10" t="n">
        <x:v>10</x:v>
      </x:c>
      <x:c r="G31" s="10" t="n">
        <x:v>22</x:v>
      </x:c>
      <x:c r="H31" s="10" t="n">
        <x:f>ABS(G31-F31)</x:f>
        <x:v>12</x:v>
      </x:c>
      <x:c r="I31" s="10" t="n">
        <x:f>G31-F31</x:f>
        <x:v>12</x:v>
      </x:c>
    </x:row>
    <x:row r="32" ht="20" customHeight="1">
      <x:c r="A32" s="1" t="str">
        <x:v>20725</x:v>
      </x:c>
      <x:c r="B32" s="10" t="n">
        <x:v>1</x:v>
      </x:c>
      <x:c r="C32" s="9" t="d">
        <x:v>2011-10-19T00:00:00.000Z</x:v>
      </x:c>
      <x:c r="D32" s="9" t="d">
        <x:v>2011-11-01T00:00:00.000Z</x:v>
      </x:c>
      <x:c r="E32" s="1" t="str">
        <x:v>seasonal_naive</x:v>
      </x:c>
      <x:c r="F32" s="10" t="n">
        <x:v>6</x:v>
      </x:c>
      <x:c r="G32" s="10" t="n">
        <x:v>65</x:v>
      </x:c>
      <x:c r="H32" s="10" t="n">
        <x:f>ABS(G32-F32)</x:f>
        <x:v>59</x:v>
      </x:c>
      <x:c r="I32" s="10" t="n">
        <x:f>G32-F32</x:f>
        <x:v>59</x:v>
      </x:c>
    </x:row>
    <x:row r="33" ht="20" customHeight="1">
      <x:c r="A33" s="1" t="str">
        <x:v>20725</x:v>
      </x:c>
      <x:c r="B33" s="10" t="n">
        <x:v>1</x:v>
      </x:c>
      <x:c r="C33" s="9" t="d">
        <x:v>2011-10-19T00:00:00.000Z</x:v>
      </x:c>
      <x:c r="D33" s="9" t="d">
        <x:v>2011-11-02T00:00:00.000Z</x:v>
      </x:c>
      <x:c r="E33" s="1" t="str">
        <x:v>seasonal_naive</x:v>
      </x:c>
      <x:c r="F33" s="10" t="n">
        <x:v>117</x:v>
      </x:c>
      <x:c r="G33" s="10" t="n">
        <x:v>26</x:v>
      </x:c>
      <x:c r="H33" s="10" t="n">
        <x:f>ABS(G33-F33)</x:f>
        <x:v>91</x:v>
      </x:c>
      <x:c r="I33" s="10" t="n">
        <x:f>G33-F33</x:f>
        <x:v>-91</x:v>
      </x:c>
    </x:row>
    <x:row r="34" ht="20" customHeight="1">
      <x:c r="A34" s="1" t="str">
        <x:v>20725</x:v>
      </x:c>
      <x:c r="B34" s="10" t="n">
        <x:v>1</x:v>
      </x:c>
      <x:c r="C34" s="9" t="d">
        <x:v>2011-10-19T00:00:00.000Z</x:v>
      </x:c>
      <x:c r="D34" s="9" t="d">
        <x:v>2011-10-20T00:00:00.000Z</x:v>
      </x:c>
      <x:c r="E34" s="1" t="str">
        <x:v>ridge</x:v>
      </x:c>
      <x:c r="F34" s="10" t="n">
        <x:v>110</x:v>
      </x:c>
      <x:c r="G34" s="10" t="n">
        <x:v>67.5326595655</x:v>
      </x:c>
      <x:c r="H34" s="10" t="n">
        <x:f>ABS(G34-F34)</x:f>
        <x:v>42.4673404345</x:v>
      </x:c>
      <x:c r="I34" s="10" t="n">
        <x:f>G34-F34</x:f>
        <x:v>-42.4673404345</x:v>
      </x:c>
    </x:row>
    <x:row r="35" ht="20" customHeight="1">
      <x:c r="A35" s="1" t="str">
        <x:v>20725</x:v>
      </x:c>
      <x:c r="B35" s="10" t="n">
        <x:v>1</x:v>
      </x:c>
      <x:c r="C35" s="9" t="d">
        <x:v>2011-10-19T00:00:00.000Z</x:v>
      </x:c>
      <x:c r="D35" s="9" t="d">
        <x:v>2011-10-21T00:00:00.000Z</x:v>
      </x:c>
      <x:c r="E35" s="1" t="str">
        <x:v>ridge</x:v>
      </x:c>
      <x:c r="F35" s="10" t="n">
        <x:v>39</x:v>
      </x:c>
      <x:c r="G35" s="10" t="n">
        <x:v>52.4959118693</x:v>
      </x:c>
      <x:c r="H35" s="10" t="n">
        <x:f>ABS(G35-F35)</x:f>
        <x:v>13.495911869300002</x:v>
      </x:c>
      <x:c r="I35" s="10" t="n">
        <x:f>G35-F35</x:f>
        <x:v>13.495911869300002</x:v>
      </x:c>
    </x:row>
    <x:row r="36" ht="20" customHeight="1">
      <x:c r="A36" s="1" t="str">
        <x:v>20725</x:v>
      </x:c>
      <x:c r="B36" s="10" t="n">
        <x:v>1</x:v>
      </x:c>
      <x:c r="C36" s="9" t="d">
        <x:v>2011-10-19T00:00:00.000Z</x:v>
      </x:c>
      <x:c r="D36" s="9" t="d">
        <x:v>2011-10-22T00:00:00.000Z</x:v>
      </x:c>
      <x:c r="E36" s="1" t="str">
        <x:v>ridge</x:v>
      </x:c>
      <x:c r="F36" s="10" t="n">
        <x:v>0</x:v>
      </x:c>
      <x:c r="G36" s="10" t="n">
        <x:v>24.3941608103</x:v>
      </x:c>
      <x:c r="H36" s="10" t="n">
        <x:f>ABS(G36-F36)</x:f>
        <x:v>24.3941608103</x:v>
      </x:c>
      <x:c r="I36" s="10" t="n">
        <x:f>G36-F36</x:f>
        <x:v>24.3941608103</x:v>
      </x:c>
    </x:row>
    <x:row r="37" ht="20" customHeight="1">
      <x:c r="A37" s="1" t="str">
        <x:v>20725</x:v>
      </x:c>
      <x:c r="B37" s="10" t="n">
        <x:v>1</x:v>
      </x:c>
      <x:c r="C37" s="9" t="d">
        <x:v>2011-10-19T00:00:00.000Z</x:v>
      </x:c>
      <x:c r="D37" s="9" t="d">
        <x:v>2011-10-23T00:00:00.000Z</x:v>
      </x:c>
      <x:c r="E37" s="1" t="str">
        <x:v>ridge</x:v>
      </x:c>
      <x:c r="F37" s="10" t="n">
        <x:v>14</x:v>
      </x:c>
      <x:c r="G37" s="10" t="n">
        <x:v>23.8758856666</x:v>
      </x:c>
      <x:c r="H37" s="10" t="n">
        <x:f>ABS(G37-F37)</x:f>
        <x:v>9.875885666599999</x:v>
      </x:c>
      <x:c r="I37" s="10" t="n">
        <x:f>G37-F37</x:f>
        <x:v>9.875885666599999</x:v>
      </x:c>
    </x:row>
    <x:row r="38" ht="20" customHeight="1">
      <x:c r="A38" s="1" t="str">
        <x:v>20725</x:v>
      </x:c>
      <x:c r="B38" s="10" t="n">
        <x:v>1</x:v>
      </x:c>
      <x:c r="C38" s="9" t="d">
        <x:v>2011-10-19T00:00:00.000Z</x:v>
      </x:c>
      <x:c r="D38" s="9" t="d">
        <x:v>2011-10-24T00:00:00.000Z</x:v>
      </x:c>
      <x:c r="E38" s="1" t="str">
        <x:v>ridge</x:v>
      </x:c>
      <x:c r="F38" s="10" t="n">
        <x:v>8</x:v>
      </x:c>
      <x:c r="G38" s="10" t="n">
        <x:v>45.2244621447</x:v>
      </x:c>
      <x:c r="H38" s="10" t="n">
        <x:f>ABS(G38-F38)</x:f>
        <x:v>37.2244621447</x:v>
      </x:c>
      <x:c r="I38" s="10" t="n">
        <x:f>G38-F38</x:f>
        <x:v>37.2244621447</x:v>
      </x:c>
    </x:row>
    <x:row r="39" ht="20" customHeight="1">
      <x:c r="A39" s="1" t="str">
        <x:v>20725</x:v>
      </x:c>
      <x:c r="B39" s="10" t="n">
        <x:v>1</x:v>
      </x:c>
      <x:c r="C39" s="9" t="d">
        <x:v>2011-10-19T00:00:00.000Z</x:v>
      </x:c>
      <x:c r="D39" s="9" t="d">
        <x:v>2011-10-25T00:00:00.000Z</x:v>
      </x:c>
      <x:c r="E39" s="1" t="str">
        <x:v>ridge</x:v>
      </x:c>
      <x:c r="F39" s="10" t="n">
        <x:v>37</x:v>
      </x:c>
      <x:c r="G39" s="10" t="n">
        <x:v>75.8622091717</x:v>
      </x:c>
      <x:c r="H39" s="10" t="n">
        <x:f>ABS(G39-F39)</x:f>
        <x:v>38.8622091717</x:v>
      </x:c>
      <x:c r="I39" s="10" t="n">
        <x:f>G39-F39</x:f>
        <x:v>38.8622091717</x:v>
      </x:c>
    </x:row>
    <x:row r="40" ht="20" customHeight="1">
      <x:c r="A40" s="1" t="str">
        <x:v>20725</x:v>
      </x:c>
      <x:c r="B40" s="10" t="n">
        <x:v>1</x:v>
      </x:c>
      <x:c r="C40" s="9" t="d">
        <x:v>2011-10-19T00:00:00.000Z</x:v>
      </x:c>
      <x:c r="D40" s="9" t="d">
        <x:v>2011-10-26T00:00:00.000Z</x:v>
      </x:c>
      <x:c r="E40" s="1" t="str">
        <x:v>ridge</x:v>
      </x:c>
      <x:c r="F40" s="10" t="n">
        <x:v>52</x:v>
      </x:c>
      <x:c r="G40" s="10" t="n">
        <x:v>79.0261150776</x:v>
      </x:c>
      <x:c r="H40" s="10" t="n">
        <x:f>ABS(G40-F40)</x:f>
        <x:v>27.026115077599997</x:v>
      </x:c>
      <x:c r="I40" s="10" t="n">
        <x:f>G40-F40</x:f>
        <x:v>27.026115077599997</x:v>
      </x:c>
    </x:row>
    <x:row r="41" ht="20" customHeight="1">
      <x:c r="A41" s="1" t="str">
        <x:v>20725</x:v>
      </x:c>
      <x:c r="B41" s="10" t="n">
        <x:v>1</x:v>
      </x:c>
      <x:c r="C41" s="9" t="d">
        <x:v>2011-10-19T00:00:00.000Z</x:v>
      </x:c>
      <x:c r="D41" s="9" t="d">
        <x:v>2011-10-27T00:00:00.000Z</x:v>
      </x:c>
      <x:c r="E41" s="1" t="str">
        <x:v>ridge</x:v>
      </x:c>
      <x:c r="F41" s="10" t="n">
        <x:v>45</x:v>
      </x:c>
      <x:c r="G41" s="10" t="n">
        <x:v>72.5789675596</x:v>
      </x:c>
      <x:c r="H41" s="10" t="n">
        <x:f>ABS(G41-F41)</x:f>
        <x:v>27.578967559600002</x:v>
      </x:c>
      <x:c r="I41" s="10" t="n">
        <x:f>G41-F41</x:f>
        <x:v>27.578967559600002</x:v>
      </x:c>
    </x:row>
    <x:row r="42" ht="20" customHeight="1">
      <x:c r="A42" s="1" t="str">
        <x:v>20725</x:v>
      </x:c>
      <x:c r="B42" s="10" t="n">
        <x:v>1</x:v>
      </x:c>
      <x:c r="C42" s="9" t="d">
        <x:v>2011-10-19T00:00:00.000Z</x:v>
      </x:c>
      <x:c r="D42" s="9" t="d">
        <x:v>2011-10-28T00:00:00.000Z</x:v>
      </x:c>
      <x:c r="E42" s="1" t="str">
        <x:v>ridge</x:v>
      </x:c>
      <x:c r="F42" s="10" t="n">
        <x:v>94</x:v>
      </x:c>
      <x:c r="G42" s="10" t="n">
        <x:v>56.2519424617</x:v>
      </x:c>
      <x:c r="H42" s="10" t="n">
        <x:f>ABS(G42-F42)</x:f>
        <x:v>37.7480575383</x:v>
      </x:c>
      <x:c r="I42" s="10" t="n">
        <x:f>G42-F42</x:f>
        <x:v>-37.7480575383</x:v>
      </x:c>
    </x:row>
    <x:row r="43" ht="20" customHeight="1">
      <x:c r="A43" s="1" t="str">
        <x:v>20725</x:v>
      </x:c>
      <x:c r="B43" s="10" t="n">
        <x:v>1</x:v>
      </x:c>
      <x:c r="C43" s="9" t="d">
        <x:v>2011-10-19T00:00:00.000Z</x:v>
      </x:c>
      <x:c r="D43" s="9" t="d">
        <x:v>2011-10-29T00:00:00.000Z</x:v>
      </x:c>
      <x:c r="E43" s="1" t="str">
        <x:v>ridge</x:v>
      </x:c>
      <x:c r="F43" s="10" t="n">
        <x:v>0</x:v>
      </x:c>
      <x:c r="G43" s="10" t="n">
        <x:v>25.0201903532</x:v>
      </x:c>
      <x:c r="H43" s="10" t="n">
        <x:f>ABS(G43-F43)</x:f>
        <x:v>25.0201903532</x:v>
      </x:c>
      <x:c r="I43" s="10" t="n">
        <x:f>G43-F43</x:f>
        <x:v>25.0201903532</x:v>
      </x:c>
    </x:row>
    <x:row r="44" ht="20" customHeight="1">
      <x:c r="A44" s="1" t="str">
        <x:v>20725</x:v>
      </x:c>
      <x:c r="B44" s="10" t="n">
        <x:v>1</x:v>
      </x:c>
      <x:c r="C44" s="9" t="d">
        <x:v>2011-10-19T00:00:00.000Z</x:v>
      </x:c>
      <x:c r="D44" s="9" t="d">
        <x:v>2011-10-30T00:00:00.000Z</x:v>
      </x:c>
      <x:c r="E44" s="1" t="str">
        <x:v>ridge</x:v>
      </x:c>
      <x:c r="F44" s="10" t="n">
        <x:v>78</x:v>
      </x:c>
      <x:c r="G44" s="10" t="n">
        <x:v>24.3844187742</x:v>
      </x:c>
      <x:c r="H44" s="10" t="n">
        <x:f>ABS(G44-F44)</x:f>
        <x:v>53.6155812258</x:v>
      </x:c>
      <x:c r="I44" s="10" t="n">
        <x:f>G44-F44</x:f>
        <x:v>-53.6155812258</x:v>
      </x:c>
    </x:row>
    <x:row r="45" ht="20" customHeight="1">
      <x:c r="A45" s="1" t="str">
        <x:v>20725</x:v>
      </x:c>
      <x:c r="B45" s="10" t="n">
        <x:v>1</x:v>
      </x:c>
      <x:c r="C45" s="9" t="d">
        <x:v>2011-10-19T00:00:00.000Z</x:v>
      </x:c>
      <x:c r="D45" s="9" t="d">
        <x:v>2011-10-31T00:00:00.000Z</x:v>
      </x:c>
      <x:c r="E45" s="1" t="str">
        <x:v>ridge</x:v>
      </x:c>
      <x:c r="F45" s="10" t="n">
        <x:v>10</x:v>
      </x:c>
      <x:c r="G45" s="10" t="n">
        <x:v>44.6231023526</x:v>
      </x:c>
      <x:c r="H45" s="10" t="n">
        <x:f>ABS(G45-F45)</x:f>
        <x:v>34.6231023526</x:v>
      </x:c>
      <x:c r="I45" s="10" t="n">
        <x:f>G45-F45</x:f>
        <x:v>34.6231023526</x:v>
      </x:c>
    </x:row>
    <x:row r="46" ht="20" customHeight="1">
      <x:c r="A46" s="1" t="str">
        <x:v>20725</x:v>
      </x:c>
      <x:c r="B46" s="10" t="n">
        <x:v>1</x:v>
      </x:c>
      <x:c r="C46" s="9" t="d">
        <x:v>2011-10-19T00:00:00.000Z</x:v>
      </x:c>
      <x:c r="D46" s="9" t="d">
        <x:v>2011-11-01T00:00:00.000Z</x:v>
      </x:c>
      <x:c r="E46" s="1" t="str">
        <x:v>ridge</x:v>
      </x:c>
      <x:c r="F46" s="10" t="n">
        <x:v>6</x:v>
      </x:c>
      <x:c r="G46" s="10" t="n">
        <x:v>72.067229959</x:v>
      </x:c>
      <x:c r="H46" s="10" t="n">
        <x:f>ABS(G46-F46)</x:f>
        <x:v>66.067229959</x:v>
      </x:c>
      <x:c r="I46" s="10" t="n">
        <x:f>G46-F46</x:f>
        <x:v>66.067229959</x:v>
      </x:c>
    </x:row>
    <x:row r="47" ht="20" customHeight="1">
      <x:c r="A47" s="1" t="str">
        <x:v>20725</x:v>
      </x:c>
      <x:c r="B47" s="10" t="n">
        <x:v>1</x:v>
      </x:c>
      <x:c r="C47" s="9" t="d">
        <x:v>2011-10-19T00:00:00.000Z</x:v>
      </x:c>
      <x:c r="D47" s="9" t="d">
        <x:v>2011-11-02T00:00:00.000Z</x:v>
      </x:c>
      <x:c r="E47" s="1" t="str">
        <x:v>ridge</x:v>
      </x:c>
      <x:c r="F47" s="10" t="n">
        <x:v>117</x:v>
      </x:c>
      <x:c r="G47" s="10" t="n">
        <x:v>79.6015302365</x:v>
      </x:c>
      <x:c r="H47" s="10" t="n">
        <x:f>ABS(G47-F47)</x:f>
        <x:v>37.3984697635</x:v>
      </x:c>
      <x:c r="I47" s="10" t="n">
        <x:f>G47-F47</x:f>
        <x:v>-37.3984697635</x:v>
      </x:c>
    </x:row>
    <x:row r="48" ht="20" customHeight="1">
      <x:c r="A48" s="1" t="str">
        <x:v>20725</x:v>
      </x:c>
      <x:c r="B48" s="10" t="n">
        <x:v>2</x:v>
      </x:c>
      <x:c r="C48" s="9" t="d">
        <x:v>2011-11-02T00:00:00.000Z</x:v>
      </x:c>
      <x:c r="D48" s="9" t="d">
        <x:v>2011-11-03T00:00:00.000Z</x:v>
      </x:c>
      <x:c r="E48" s="1" t="str">
        <x:v>naive</x:v>
      </x:c>
      <x:c r="F48" s="10" t="n">
        <x:v>30</x:v>
      </x:c>
      <x:c r="G48" s="10" t="n">
        <x:v>117</x:v>
      </x:c>
      <x:c r="H48" s="10" t="n">
        <x:f>ABS(G48-F48)</x:f>
        <x:v>87</x:v>
      </x:c>
      <x:c r="I48" s="10" t="n">
        <x:f>G48-F48</x:f>
        <x:v>87</x:v>
      </x:c>
    </x:row>
    <x:row r="49" ht="20" customHeight="1">
      <x:c r="A49" s="1" t="str">
        <x:v>20725</x:v>
      </x:c>
      <x:c r="B49" s="10" t="n">
        <x:v>2</x:v>
      </x:c>
      <x:c r="C49" s="9" t="d">
        <x:v>2011-11-02T00:00:00.000Z</x:v>
      </x:c>
      <x:c r="D49" s="9" t="d">
        <x:v>2011-11-04T00:00:00.000Z</x:v>
      </x:c>
      <x:c r="E49" s="1" t="str">
        <x:v>naive</x:v>
      </x:c>
      <x:c r="F49" s="10" t="n">
        <x:v>38</x:v>
      </x:c>
      <x:c r="G49" s="10" t="n">
        <x:v>117</x:v>
      </x:c>
      <x:c r="H49" s="10" t="n">
        <x:f>ABS(G49-F49)</x:f>
        <x:v>79</x:v>
      </x:c>
      <x:c r="I49" s="10" t="n">
        <x:f>G49-F49</x:f>
        <x:v>79</x:v>
      </x:c>
    </x:row>
    <x:row r="50" ht="20" customHeight="1">
      <x:c r="A50" s="1" t="str">
        <x:v>20725</x:v>
      </x:c>
      <x:c r="B50" s="10" t="n">
        <x:v>2</x:v>
      </x:c>
      <x:c r="C50" s="9" t="d">
        <x:v>2011-11-02T00:00:00.000Z</x:v>
      </x:c>
      <x:c r="D50" s="9" t="d">
        <x:v>2011-11-05T00:00:00.000Z</x:v>
      </x:c>
      <x:c r="E50" s="1" t="str">
        <x:v>naive</x:v>
      </x:c>
      <x:c r="F50" s="10" t="n">
        <x:v>0</x:v>
      </x:c>
      <x:c r="G50" s="10" t="n">
        <x:v>117</x:v>
      </x:c>
      <x:c r="H50" s="10" t="n">
        <x:f>ABS(G50-F50)</x:f>
        <x:v>117</x:v>
      </x:c>
      <x:c r="I50" s="10" t="n">
        <x:f>G50-F50</x:f>
        <x:v>117</x:v>
      </x:c>
    </x:row>
    <x:row r="51" ht="20" customHeight="1">
      <x:c r="A51" s="1" t="str">
        <x:v>20725</x:v>
      </x:c>
      <x:c r="B51" s="10" t="n">
        <x:v>2</x:v>
      </x:c>
      <x:c r="C51" s="9" t="d">
        <x:v>2011-11-02T00:00:00.000Z</x:v>
      </x:c>
      <x:c r="D51" s="9" t="d">
        <x:v>2011-11-06T00:00:00.000Z</x:v>
      </x:c>
      <x:c r="E51" s="1" t="str">
        <x:v>naive</x:v>
      </x:c>
      <x:c r="F51" s="10" t="n">
        <x:v>122</x:v>
      </x:c>
      <x:c r="G51" s="10" t="n">
        <x:v>117</x:v>
      </x:c>
      <x:c r="H51" s="10" t="n">
        <x:f>ABS(G51-F51)</x:f>
        <x:v>5</x:v>
      </x:c>
      <x:c r="I51" s="10" t="n">
        <x:f>G51-F51</x:f>
        <x:v>-5</x:v>
      </x:c>
    </x:row>
    <x:row r="52" ht="20" customHeight="1">
      <x:c r="A52" s="1" t="str">
        <x:v>20725</x:v>
      </x:c>
      <x:c r="B52" s="10" t="n">
        <x:v>2</x:v>
      </x:c>
      <x:c r="C52" s="9" t="d">
        <x:v>2011-11-02T00:00:00.000Z</x:v>
      </x:c>
      <x:c r="D52" s="9" t="d">
        <x:v>2011-11-07T00:00:00.000Z</x:v>
      </x:c>
      <x:c r="E52" s="1" t="str">
        <x:v>naive</x:v>
      </x:c>
      <x:c r="F52" s="10" t="n">
        <x:v>130</x:v>
      </x:c>
      <x:c r="G52" s="10" t="n">
        <x:v>117</x:v>
      </x:c>
      <x:c r="H52" s="10" t="n">
        <x:f>ABS(G52-F52)</x:f>
        <x:v>13</x:v>
      </x:c>
      <x:c r="I52" s="10" t="n">
        <x:f>G52-F52</x:f>
        <x:v>-13</x:v>
      </x:c>
    </x:row>
    <x:row r="53" ht="20" customHeight="1">
      <x:c r="A53" s="1" t="str">
        <x:v>20725</x:v>
      </x:c>
      <x:c r="B53" s="10" t="n">
        <x:v>2</x:v>
      </x:c>
      <x:c r="C53" s="9" t="d">
        <x:v>2011-11-02T00:00:00.000Z</x:v>
      </x:c>
      <x:c r="D53" s="9" t="d">
        <x:v>2011-11-08T00:00:00.000Z</x:v>
      </x:c>
      <x:c r="E53" s="1" t="str">
        <x:v>naive</x:v>
      </x:c>
      <x:c r="F53" s="10" t="n">
        <x:v>61</x:v>
      </x:c>
      <x:c r="G53" s="10" t="n">
        <x:v>117</x:v>
      </x:c>
      <x:c r="H53" s="10" t="n">
        <x:f>ABS(G53-F53)</x:f>
        <x:v>56</x:v>
      </x:c>
      <x:c r="I53" s="10" t="n">
        <x:f>G53-F53</x:f>
        <x:v>56</x:v>
      </x:c>
    </x:row>
    <x:row r="54" ht="20" customHeight="1">
      <x:c r="A54" s="1" t="str">
        <x:v>20725</x:v>
      </x:c>
      <x:c r="B54" s="10" t="n">
        <x:v>2</x:v>
      </x:c>
      <x:c r="C54" s="9" t="d">
        <x:v>2011-11-02T00:00:00.000Z</x:v>
      </x:c>
      <x:c r="D54" s="9" t="d">
        <x:v>2011-11-09T00:00:00.000Z</x:v>
      </x:c>
      <x:c r="E54" s="1" t="str">
        <x:v>naive</x:v>
      </x:c>
      <x:c r="F54" s="10" t="n">
        <x:v>161</x:v>
      </x:c>
      <x:c r="G54" s="10" t="n">
        <x:v>117</x:v>
      </x:c>
      <x:c r="H54" s="10" t="n">
        <x:f>ABS(G54-F54)</x:f>
        <x:v>44</x:v>
      </x:c>
      <x:c r="I54" s="10" t="n">
        <x:f>G54-F54</x:f>
        <x:v>-44</x:v>
      </x:c>
    </x:row>
    <x:row r="55" ht="20" customHeight="1">
      <x:c r="A55" s="1" t="str">
        <x:v>20725</x:v>
      </x:c>
      <x:c r="B55" s="10" t="n">
        <x:v>2</x:v>
      </x:c>
      <x:c r="C55" s="9" t="d">
        <x:v>2011-11-02T00:00:00.000Z</x:v>
      </x:c>
      <x:c r="D55" s="9" t="d">
        <x:v>2011-11-10T00:00:00.000Z</x:v>
      </x:c>
      <x:c r="E55" s="1" t="str">
        <x:v>naive</x:v>
      </x:c>
      <x:c r="F55" s="10" t="n">
        <x:v>93</x:v>
      </x:c>
      <x:c r="G55" s="10" t="n">
        <x:v>117</x:v>
      </x:c>
      <x:c r="H55" s="10" t="n">
        <x:f>ABS(G55-F55)</x:f>
        <x:v>24</x:v>
      </x:c>
      <x:c r="I55" s="10" t="n">
        <x:f>G55-F55</x:f>
        <x:v>24</x:v>
      </x:c>
    </x:row>
    <x:row r="56" ht="20" customHeight="1">
      <x:c r="A56" s="1" t="str">
        <x:v>20725</x:v>
      </x:c>
      <x:c r="B56" s="10" t="n">
        <x:v>2</x:v>
      </x:c>
      <x:c r="C56" s="9" t="d">
        <x:v>2011-11-02T00:00:00.000Z</x:v>
      </x:c>
      <x:c r="D56" s="9" t="d">
        <x:v>2011-11-11T00:00:00.000Z</x:v>
      </x:c>
      <x:c r="E56" s="1" t="str">
        <x:v>naive</x:v>
      </x:c>
      <x:c r="F56" s="10" t="n">
        <x:v>88</x:v>
      </x:c>
      <x:c r="G56" s="10" t="n">
        <x:v>117</x:v>
      </x:c>
      <x:c r="H56" s="10" t="n">
        <x:f>ABS(G56-F56)</x:f>
        <x:v>29</x:v>
      </x:c>
      <x:c r="I56" s="10" t="n">
        <x:f>G56-F56</x:f>
        <x:v>29</x:v>
      </x:c>
    </x:row>
    <x:row r="57" ht="20" customHeight="1">
      <x:c r="A57" s="1" t="str">
        <x:v>20725</x:v>
      </x:c>
      <x:c r="B57" s="10" t="n">
        <x:v>2</x:v>
      </x:c>
      <x:c r="C57" s="9" t="d">
        <x:v>2011-11-02T00:00:00.000Z</x:v>
      </x:c>
      <x:c r="D57" s="9" t="d">
        <x:v>2011-11-12T00:00:00.000Z</x:v>
      </x:c>
      <x:c r="E57" s="1" t="str">
        <x:v>naive</x:v>
      </x:c>
      <x:c r="F57" s="10" t="n">
        <x:v>0</x:v>
      </x:c>
      <x:c r="G57" s="10" t="n">
        <x:v>117</x:v>
      </x:c>
      <x:c r="H57" s="10" t="n">
        <x:f>ABS(G57-F57)</x:f>
        <x:v>117</x:v>
      </x:c>
      <x:c r="I57" s="10" t="n">
        <x:f>G57-F57</x:f>
        <x:v>117</x:v>
      </x:c>
    </x:row>
    <x:row r="58" ht="20" customHeight="1">
      <x:c r="A58" s="1" t="str">
        <x:v>20725</x:v>
      </x:c>
      <x:c r="B58" s="10" t="n">
        <x:v>2</x:v>
      </x:c>
      <x:c r="C58" s="9" t="d">
        <x:v>2011-11-02T00:00:00.000Z</x:v>
      </x:c>
      <x:c r="D58" s="9" t="d">
        <x:v>2011-11-13T00:00:00.000Z</x:v>
      </x:c>
      <x:c r="E58" s="1" t="str">
        <x:v>naive</x:v>
      </x:c>
      <x:c r="F58" s="10" t="n">
        <x:v>23</x:v>
      </x:c>
      <x:c r="G58" s="10" t="n">
        <x:v>117</x:v>
      </x:c>
      <x:c r="H58" s="10" t="n">
        <x:f>ABS(G58-F58)</x:f>
        <x:v>94</x:v>
      </x:c>
      <x:c r="I58" s="10" t="n">
        <x:f>G58-F58</x:f>
        <x:v>94</x:v>
      </x:c>
    </x:row>
    <x:row r="59" ht="20" customHeight="1">
      <x:c r="A59" s="1" t="str">
        <x:v>20725</x:v>
      </x:c>
      <x:c r="B59" s="10" t="n">
        <x:v>2</x:v>
      </x:c>
      <x:c r="C59" s="9" t="d">
        <x:v>2011-11-02T00:00:00.000Z</x:v>
      </x:c>
      <x:c r="D59" s="9" t="d">
        <x:v>2011-11-14T00:00:00.000Z</x:v>
      </x:c>
      <x:c r="E59" s="1" t="str">
        <x:v>naive</x:v>
      </x:c>
      <x:c r="F59" s="10" t="n">
        <x:v>155</x:v>
      </x:c>
      <x:c r="G59" s="10" t="n">
        <x:v>117</x:v>
      </x:c>
      <x:c r="H59" s="10" t="n">
        <x:f>ABS(G59-F59)</x:f>
        <x:v>38</x:v>
      </x:c>
      <x:c r="I59" s="10" t="n">
        <x:f>G59-F59</x:f>
        <x:v>-38</x:v>
      </x:c>
    </x:row>
    <x:row r="60" ht="20" customHeight="1">
      <x:c r="A60" s="1" t="str">
        <x:v>20725</x:v>
      </x:c>
      <x:c r="B60" s="10" t="n">
        <x:v>2</x:v>
      </x:c>
      <x:c r="C60" s="9" t="d">
        <x:v>2011-11-02T00:00:00.000Z</x:v>
      </x:c>
      <x:c r="D60" s="9" t="d">
        <x:v>2011-11-15T00:00:00.000Z</x:v>
      </x:c>
      <x:c r="E60" s="1" t="str">
        <x:v>naive</x:v>
      </x:c>
      <x:c r="F60" s="10" t="n">
        <x:v>232</x:v>
      </x:c>
      <x:c r="G60" s="10" t="n">
        <x:v>117</x:v>
      </x:c>
      <x:c r="H60" s="10" t="n">
        <x:f>ABS(G60-F60)</x:f>
        <x:v>115</x:v>
      </x:c>
      <x:c r="I60" s="10" t="n">
        <x:f>G60-F60</x:f>
        <x:v>-115</x:v>
      </x:c>
    </x:row>
    <x:row r="61" ht="20" customHeight="1">
      <x:c r="A61" s="1" t="str">
        <x:v>20725</x:v>
      </x:c>
      <x:c r="B61" s="10" t="n">
        <x:v>2</x:v>
      </x:c>
      <x:c r="C61" s="9" t="d">
        <x:v>2011-11-02T00:00:00.000Z</x:v>
      </x:c>
      <x:c r="D61" s="9" t="d">
        <x:v>2011-11-16T00:00:00.000Z</x:v>
      </x:c>
      <x:c r="E61" s="1" t="str">
        <x:v>naive</x:v>
      </x:c>
      <x:c r="F61" s="10" t="n">
        <x:v>66</x:v>
      </x:c>
      <x:c r="G61" s="10" t="n">
        <x:v>117</x:v>
      </x:c>
      <x:c r="H61" s="10" t="n">
        <x:f>ABS(G61-F61)</x:f>
        <x:v>51</x:v>
      </x:c>
      <x:c r="I61" s="10" t="n">
        <x:f>G61-F61</x:f>
        <x:v>51</x:v>
      </x:c>
    </x:row>
    <x:row r="62" ht="20" customHeight="1">
      <x:c r="A62" s="1" t="str">
        <x:v>20725</x:v>
      </x:c>
      <x:c r="B62" s="10" t="n">
        <x:v>2</x:v>
      </x:c>
      <x:c r="C62" s="9" t="d">
        <x:v>2011-11-02T00:00:00.000Z</x:v>
      </x:c>
      <x:c r="D62" s="9" t="d">
        <x:v>2011-11-03T00:00:00.000Z</x:v>
      </x:c>
      <x:c r="E62" s="1" t="str">
        <x:v>seasonal_naive</x:v>
      </x:c>
      <x:c r="F62" s="10" t="n">
        <x:v>30</x:v>
      </x:c>
      <x:c r="G62" s="10" t="n">
        <x:v>45</x:v>
      </x:c>
      <x:c r="H62" s="10" t="n">
        <x:f>ABS(G62-F62)</x:f>
        <x:v>15</x:v>
      </x:c>
      <x:c r="I62" s="10" t="n">
        <x:f>G62-F62</x:f>
        <x:v>15</x:v>
      </x:c>
    </x:row>
    <x:row r="63" ht="20" customHeight="1">
      <x:c r="A63" s="1" t="str">
        <x:v>20725</x:v>
      </x:c>
      <x:c r="B63" s="10" t="n">
        <x:v>2</x:v>
      </x:c>
      <x:c r="C63" s="9" t="d">
        <x:v>2011-11-02T00:00:00.000Z</x:v>
      </x:c>
      <x:c r="D63" s="9" t="d">
        <x:v>2011-11-04T00:00:00.000Z</x:v>
      </x:c>
      <x:c r="E63" s="1" t="str">
        <x:v>seasonal_naive</x:v>
      </x:c>
      <x:c r="F63" s="10" t="n">
        <x:v>38</x:v>
      </x:c>
      <x:c r="G63" s="10" t="n">
        <x:v>94</x:v>
      </x:c>
      <x:c r="H63" s="10" t="n">
        <x:f>ABS(G63-F63)</x:f>
        <x:v>56</x:v>
      </x:c>
      <x:c r="I63" s="10" t="n">
        <x:f>G63-F63</x:f>
        <x:v>56</x:v>
      </x:c>
    </x:row>
    <x:row r="64" ht="20" customHeight="1">
      <x:c r="A64" s="1" t="str">
        <x:v>20725</x:v>
      </x:c>
      <x:c r="B64" s="10" t="n">
        <x:v>2</x:v>
      </x:c>
      <x:c r="C64" s="9" t="d">
        <x:v>2011-11-02T00:00:00.000Z</x:v>
      </x:c>
      <x:c r="D64" s="9" t="d">
        <x:v>2011-11-05T00:00:00.000Z</x:v>
      </x:c>
      <x:c r="E64" s="1" t="str">
        <x:v>seasonal_naive</x:v>
      </x:c>
      <x:c r="F64" s="10" t="n">
        <x:v>0</x:v>
      </x:c>
      <x:c r="G64" s="10" t="n">
        <x:v>0</x:v>
      </x:c>
      <x:c r="H64" s="10" t="n">
        <x:f>ABS(G64-F64)</x:f>
        <x:v>0</x:v>
      </x:c>
      <x:c r="I64" s="10" t="n">
        <x:f>G64-F64</x:f>
        <x:v>0</x:v>
      </x:c>
    </x:row>
    <x:row r="65" ht="20" customHeight="1">
      <x:c r="A65" s="1" t="str">
        <x:v>20725</x:v>
      </x:c>
      <x:c r="B65" s="10" t="n">
        <x:v>2</x:v>
      </x:c>
      <x:c r="C65" s="9" t="d">
        <x:v>2011-11-02T00:00:00.000Z</x:v>
      </x:c>
      <x:c r="D65" s="9" t="d">
        <x:v>2011-11-06T00:00:00.000Z</x:v>
      </x:c>
      <x:c r="E65" s="1" t="str">
        <x:v>seasonal_naive</x:v>
      </x:c>
      <x:c r="F65" s="10" t="n">
        <x:v>122</x:v>
      </x:c>
      <x:c r="G65" s="10" t="n">
        <x:v>78</x:v>
      </x:c>
      <x:c r="H65" s="10" t="n">
        <x:f>ABS(G65-F65)</x:f>
        <x:v>44</x:v>
      </x:c>
      <x:c r="I65" s="10" t="n">
        <x:f>G65-F65</x:f>
        <x:v>-44</x:v>
      </x:c>
    </x:row>
    <x:row r="66" ht="20" customHeight="1">
      <x:c r="A66" s="1" t="str">
        <x:v>20725</x:v>
      </x:c>
      <x:c r="B66" s="10" t="n">
        <x:v>2</x:v>
      </x:c>
      <x:c r="C66" s="9" t="d">
        <x:v>2011-11-02T00:00:00.000Z</x:v>
      </x:c>
      <x:c r="D66" s="9" t="d">
        <x:v>2011-11-07T00:00:00.000Z</x:v>
      </x:c>
      <x:c r="E66" s="1" t="str">
        <x:v>seasonal_naive</x:v>
      </x:c>
      <x:c r="F66" s="10" t="n">
        <x:v>130</x:v>
      </x:c>
      <x:c r="G66" s="10" t="n">
        <x:v>10</x:v>
      </x:c>
      <x:c r="H66" s="10" t="n">
        <x:f>ABS(G66-F66)</x:f>
        <x:v>120</x:v>
      </x:c>
      <x:c r="I66" s="10" t="n">
        <x:f>G66-F66</x:f>
        <x:v>-120</x:v>
      </x:c>
    </x:row>
    <x:row r="67" ht="20" customHeight="1">
      <x:c r="A67" s="1" t="str">
        <x:v>20725</x:v>
      </x:c>
      <x:c r="B67" s="10" t="n">
        <x:v>2</x:v>
      </x:c>
      <x:c r="C67" s="9" t="d">
        <x:v>2011-11-02T00:00:00.000Z</x:v>
      </x:c>
      <x:c r="D67" s="9" t="d">
        <x:v>2011-11-08T00:00:00.000Z</x:v>
      </x:c>
      <x:c r="E67" s="1" t="str">
        <x:v>seasonal_naive</x:v>
      </x:c>
      <x:c r="F67" s="10" t="n">
        <x:v>61</x:v>
      </x:c>
      <x:c r="G67" s="10" t="n">
        <x:v>6</x:v>
      </x:c>
      <x:c r="H67" s="10" t="n">
        <x:f>ABS(G67-F67)</x:f>
        <x:v>55</x:v>
      </x:c>
      <x:c r="I67" s="10" t="n">
        <x:f>G67-F67</x:f>
        <x:v>-55</x:v>
      </x:c>
    </x:row>
    <x:row r="68" ht="20" customHeight="1">
      <x:c r="A68" s="1" t="str">
        <x:v>20725</x:v>
      </x:c>
      <x:c r="B68" s="10" t="n">
        <x:v>2</x:v>
      </x:c>
      <x:c r="C68" s="9" t="d">
        <x:v>2011-11-02T00:00:00.000Z</x:v>
      </x:c>
      <x:c r="D68" s="9" t="d">
        <x:v>2011-11-09T00:00:00.000Z</x:v>
      </x:c>
      <x:c r="E68" s="1" t="str">
        <x:v>seasonal_naive</x:v>
      </x:c>
      <x:c r="F68" s="10" t="n">
        <x:v>161</x:v>
      </x:c>
      <x:c r="G68" s="10" t="n">
        <x:v>117</x:v>
      </x:c>
      <x:c r="H68" s="10" t="n">
        <x:f>ABS(G68-F68)</x:f>
        <x:v>44</x:v>
      </x:c>
      <x:c r="I68" s="10" t="n">
        <x:f>G68-F68</x:f>
        <x:v>-44</x:v>
      </x:c>
    </x:row>
    <x:row r="69" ht="20" customHeight="1">
      <x:c r="A69" s="1" t="str">
        <x:v>20725</x:v>
      </x:c>
      <x:c r="B69" s="10" t="n">
        <x:v>2</x:v>
      </x:c>
      <x:c r="C69" s="9" t="d">
        <x:v>2011-11-02T00:00:00.000Z</x:v>
      </x:c>
      <x:c r="D69" s="9" t="d">
        <x:v>2011-11-10T00:00:00.000Z</x:v>
      </x:c>
      <x:c r="E69" s="1" t="str">
        <x:v>seasonal_naive</x:v>
      </x:c>
      <x:c r="F69" s="10" t="n">
        <x:v>93</x:v>
      </x:c>
      <x:c r="G69" s="10" t="n">
        <x:v>45</x:v>
      </x:c>
      <x:c r="H69" s="10" t="n">
        <x:f>ABS(G69-F69)</x:f>
        <x:v>48</x:v>
      </x:c>
      <x:c r="I69" s="10" t="n">
        <x:f>G69-F69</x:f>
        <x:v>-48</x:v>
      </x:c>
    </x:row>
    <x:row r="70" ht="20" customHeight="1">
      <x:c r="A70" s="1" t="str">
        <x:v>20725</x:v>
      </x:c>
      <x:c r="B70" s="10" t="n">
        <x:v>2</x:v>
      </x:c>
      <x:c r="C70" s="9" t="d">
        <x:v>2011-11-02T00:00:00.000Z</x:v>
      </x:c>
      <x:c r="D70" s="9" t="d">
        <x:v>2011-11-11T00:00:00.000Z</x:v>
      </x:c>
      <x:c r="E70" s="1" t="str">
        <x:v>seasonal_naive</x:v>
      </x:c>
      <x:c r="F70" s="10" t="n">
        <x:v>88</x:v>
      </x:c>
      <x:c r="G70" s="10" t="n">
        <x:v>94</x:v>
      </x:c>
      <x:c r="H70" s="10" t="n">
        <x:f>ABS(G70-F70)</x:f>
        <x:v>6</x:v>
      </x:c>
      <x:c r="I70" s="10" t="n">
        <x:f>G70-F70</x:f>
        <x:v>6</x:v>
      </x:c>
    </x:row>
    <x:row r="71" ht="20" customHeight="1">
      <x:c r="A71" s="1" t="str">
        <x:v>20725</x:v>
      </x:c>
      <x:c r="B71" s="10" t="n">
        <x:v>2</x:v>
      </x:c>
      <x:c r="C71" s="9" t="d">
        <x:v>2011-11-02T00:00:00.000Z</x:v>
      </x:c>
      <x:c r="D71" s="9" t="d">
        <x:v>2011-11-12T00:00:00.000Z</x:v>
      </x:c>
      <x:c r="E71" s="1" t="str">
        <x:v>seasonal_naive</x:v>
      </x:c>
      <x:c r="F71" s="10" t="n">
        <x:v>0</x:v>
      </x:c>
      <x:c r="G71" s="10" t="n">
        <x:v>0</x:v>
      </x:c>
      <x:c r="H71" s="10" t="n">
        <x:f>ABS(G71-F71)</x:f>
        <x:v>0</x:v>
      </x:c>
      <x:c r="I71" s="10" t="n">
        <x:f>G71-F71</x:f>
        <x:v>0</x:v>
      </x:c>
    </x:row>
    <x:row r="72" ht="20" customHeight="1">
      <x:c r="A72" s="1" t="str">
        <x:v>20725</x:v>
      </x:c>
      <x:c r="B72" s="10" t="n">
        <x:v>2</x:v>
      </x:c>
      <x:c r="C72" s="9" t="d">
        <x:v>2011-11-02T00:00:00.000Z</x:v>
      </x:c>
      <x:c r="D72" s="9" t="d">
        <x:v>2011-11-13T00:00:00.000Z</x:v>
      </x:c>
      <x:c r="E72" s="1" t="str">
        <x:v>seasonal_naive</x:v>
      </x:c>
      <x:c r="F72" s="10" t="n">
        <x:v>23</x:v>
      </x:c>
      <x:c r="G72" s="10" t="n">
        <x:v>78</x:v>
      </x:c>
      <x:c r="H72" s="10" t="n">
        <x:f>ABS(G72-F72)</x:f>
        <x:v>55</x:v>
      </x:c>
      <x:c r="I72" s="10" t="n">
        <x:f>G72-F72</x:f>
        <x:v>55</x:v>
      </x:c>
    </x:row>
    <x:row r="73" ht="20" customHeight="1">
      <x:c r="A73" s="1" t="str">
        <x:v>20725</x:v>
      </x:c>
      <x:c r="B73" s="10" t="n">
        <x:v>2</x:v>
      </x:c>
      <x:c r="C73" s="9" t="d">
        <x:v>2011-11-02T00:00:00.000Z</x:v>
      </x:c>
      <x:c r="D73" s="9" t="d">
        <x:v>2011-11-14T00:00:00.000Z</x:v>
      </x:c>
      <x:c r="E73" s="1" t="str">
        <x:v>seasonal_naive</x:v>
      </x:c>
      <x:c r="F73" s="10" t="n">
        <x:v>155</x:v>
      </x:c>
      <x:c r="G73" s="10" t="n">
        <x:v>10</x:v>
      </x:c>
      <x:c r="H73" s="10" t="n">
        <x:f>ABS(G73-F73)</x:f>
        <x:v>145</x:v>
      </x:c>
      <x:c r="I73" s="10" t="n">
        <x:f>G73-F73</x:f>
        <x:v>-145</x:v>
      </x:c>
    </x:row>
    <x:row r="74" ht="20" customHeight="1">
      <x:c r="A74" s="1" t="str">
        <x:v>20725</x:v>
      </x:c>
      <x:c r="B74" s="10" t="n">
        <x:v>2</x:v>
      </x:c>
      <x:c r="C74" s="9" t="d">
        <x:v>2011-11-02T00:00:00.000Z</x:v>
      </x:c>
      <x:c r="D74" s="9" t="d">
        <x:v>2011-11-15T00:00:00.000Z</x:v>
      </x:c>
      <x:c r="E74" s="1" t="str">
        <x:v>seasonal_naive</x:v>
      </x:c>
      <x:c r="F74" s="10" t="n">
        <x:v>232</x:v>
      </x:c>
      <x:c r="G74" s="10" t="n">
        <x:v>6</x:v>
      </x:c>
      <x:c r="H74" s="10" t="n">
        <x:f>ABS(G74-F74)</x:f>
        <x:v>226</x:v>
      </x:c>
      <x:c r="I74" s="10" t="n">
        <x:f>G74-F74</x:f>
        <x:v>-226</x:v>
      </x:c>
    </x:row>
    <x:row r="75" ht="20" customHeight="1">
      <x:c r="A75" s="1" t="str">
        <x:v>20725</x:v>
      </x:c>
      <x:c r="B75" s="10" t="n">
        <x:v>2</x:v>
      </x:c>
      <x:c r="C75" s="9" t="d">
        <x:v>2011-11-02T00:00:00.000Z</x:v>
      </x:c>
      <x:c r="D75" s="9" t="d">
        <x:v>2011-11-16T00:00:00.000Z</x:v>
      </x:c>
      <x:c r="E75" s="1" t="str">
        <x:v>seasonal_naive</x:v>
      </x:c>
      <x:c r="F75" s="10" t="n">
        <x:v>66</x:v>
      </x:c>
      <x:c r="G75" s="10" t="n">
        <x:v>117</x:v>
      </x:c>
      <x:c r="H75" s="10" t="n">
        <x:f>ABS(G75-F75)</x:f>
        <x:v>51</x:v>
      </x:c>
      <x:c r="I75" s="10" t="n">
        <x:f>G75-F75</x:f>
        <x:v>51</x:v>
      </x:c>
    </x:row>
    <x:row r="76" ht="20" customHeight="1">
      <x:c r="A76" s="1" t="str">
        <x:v>20725</x:v>
      </x:c>
      <x:c r="B76" s="10" t="n">
        <x:v>2</x:v>
      </x:c>
      <x:c r="C76" s="9" t="d">
        <x:v>2011-11-02T00:00:00.000Z</x:v>
      </x:c>
      <x:c r="D76" s="9" t="d">
        <x:v>2011-11-03T00:00:00.000Z</x:v>
      </x:c>
      <x:c r="E76" s="1" t="str">
        <x:v>ridge</x:v>
      </x:c>
      <x:c r="F76" s="10" t="n">
        <x:v>30</x:v>
      </x:c>
      <x:c r="G76" s="10" t="n">
        <x:v>77.8233337973</x:v>
      </x:c>
      <x:c r="H76" s="10" t="n">
        <x:f>ABS(G76-F76)</x:f>
        <x:v>47.823333797299995</x:v>
      </x:c>
      <x:c r="I76" s="10" t="n">
        <x:f>G76-F76</x:f>
        <x:v>47.823333797299995</x:v>
      </x:c>
    </x:row>
    <x:row r="77" ht="20" customHeight="1">
      <x:c r="A77" s="1" t="str">
        <x:v>20725</x:v>
      </x:c>
      <x:c r="B77" s="10" t="n">
        <x:v>2</x:v>
      </x:c>
      <x:c r="C77" s="9" t="d">
        <x:v>2011-11-02T00:00:00.000Z</x:v>
      </x:c>
      <x:c r="D77" s="9" t="d">
        <x:v>2011-11-04T00:00:00.000Z</x:v>
      </x:c>
      <x:c r="E77" s="1" t="str">
        <x:v>ridge</x:v>
      </x:c>
      <x:c r="F77" s="10" t="n">
        <x:v>38</x:v>
      </x:c>
      <x:c r="G77" s="10" t="n">
        <x:v>49.8123295084</x:v>
      </x:c>
      <x:c r="H77" s="10" t="n">
        <x:f>ABS(G77-F77)</x:f>
        <x:v>11.812329508399998</x:v>
      </x:c>
      <x:c r="I77" s="10" t="n">
        <x:f>G77-F77</x:f>
        <x:v>11.812329508399998</x:v>
      </x:c>
    </x:row>
    <x:row r="78" ht="20" customHeight="1">
      <x:c r="A78" s="1" t="str">
        <x:v>20725</x:v>
      </x:c>
      <x:c r="B78" s="10" t="n">
        <x:v>2</x:v>
      </x:c>
      <x:c r="C78" s="9" t="d">
        <x:v>2011-11-02T00:00:00.000Z</x:v>
      </x:c>
      <x:c r="D78" s="9" t="d">
        <x:v>2011-11-05T00:00:00.000Z</x:v>
      </x:c>
      <x:c r="E78" s="1" t="str">
        <x:v>ridge</x:v>
      </x:c>
      <x:c r="F78" s="10" t="n">
        <x:v>0</x:v>
      </x:c>
      <x:c r="G78" s="10" t="n">
        <x:v>23.68032127</x:v>
      </x:c>
      <x:c r="H78" s="10" t="n">
        <x:f>ABS(G78-F78)</x:f>
        <x:v>23.68032127</x:v>
      </x:c>
      <x:c r="I78" s="10" t="n">
        <x:f>G78-F78</x:f>
        <x:v>23.68032127</x:v>
      </x:c>
    </x:row>
    <x:row r="79" ht="20" customHeight="1">
      <x:c r="A79" s="1" t="str">
        <x:v>20725</x:v>
      </x:c>
      <x:c r="B79" s="10" t="n">
        <x:v>2</x:v>
      </x:c>
      <x:c r="C79" s="9" t="d">
        <x:v>2011-11-02T00:00:00.000Z</x:v>
      </x:c>
      <x:c r="D79" s="9" t="d">
        <x:v>2011-11-06T00:00:00.000Z</x:v>
      </x:c>
      <x:c r="E79" s="1" t="str">
        <x:v>ridge</x:v>
      </x:c>
      <x:c r="F79" s="10" t="n">
        <x:v>122</x:v>
      </x:c>
      <x:c r="G79" s="10" t="n">
        <x:v>26.9525847435</x:v>
      </x:c>
      <x:c r="H79" s="10" t="n">
        <x:f>ABS(G79-F79)</x:f>
        <x:v>95.0474152565</x:v>
      </x:c>
      <x:c r="I79" s="10" t="n">
        <x:f>G79-F79</x:f>
        <x:v>-95.0474152565</x:v>
      </x:c>
    </x:row>
    <x:row r="80" ht="20" customHeight="1">
      <x:c r="A80" s="1" t="str">
        <x:v>20725</x:v>
      </x:c>
      <x:c r="B80" s="10" t="n">
        <x:v>2</x:v>
      </x:c>
      <x:c r="C80" s="9" t="d">
        <x:v>2011-11-02T00:00:00.000Z</x:v>
      </x:c>
      <x:c r="D80" s="9" t="d">
        <x:v>2011-11-07T00:00:00.000Z</x:v>
      </x:c>
      <x:c r="E80" s="1" t="str">
        <x:v>ridge</x:v>
      </x:c>
      <x:c r="F80" s="10" t="n">
        <x:v>130</x:v>
      </x:c>
      <x:c r="G80" s="10" t="n">
        <x:v>41.2046471227</x:v>
      </x:c>
      <x:c r="H80" s="10" t="n">
        <x:f>ABS(G80-F80)</x:f>
        <x:v>88.79535287729999</x:v>
      </x:c>
      <x:c r="I80" s="10" t="n">
        <x:f>G80-F80</x:f>
        <x:v>-88.79535287729999</x:v>
      </x:c>
    </x:row>
    <x:row r="81" ht="20" customHeight="1">
      <x:c r="A81" s="1" t="str">
        <x:v>20725</x:v>
      </x:c>
      <x:c r="B81" s="10" t="n">
        <x:v>2</x:v>
      </x:c>
      <x:c r="C81" s="9" t="d">
        <x:v>2011-11-02T00:00:00.000Z</x:v>
      </x:c>
      <x:c r="D81" s="9" t="d">
        <x:v>2011-11-08T00:00:00.000Z</x:v>
      </x:c>
      <x:c r="E81" s="1" t="str">
        <x:v>ridge</x:v>
      </x:c>
      <x:c r="F81" s="10" t="n">
        <x:v>61</x:v>
      </x:c>
      <x:c r="G81" s="10" t="n">
        <x:v>65.4414397579</x:v>
      </x:c>
      <x:c r="H81" s="10" t="n">
        <x:f>ABS(G81-F81)</x:f>
        <x:v>4.4414397579</x:v>
      </x:c>
      <x:c r="I81" s="10" t="n">
        <x:f>G81-F81</x:f>
        <x:v>4.4414397579</x:v>
      </x:c>
    </x:row>
    <x:row r="82" ht="20" customHeight="1">
      <x:c r="A82" s="1" t="str">
        <x:v>20725</x:v>
      </x:c>
      <x:c r="B82" s="10" t="n">
        <x:v>2</x:v>
      </x:c>
      <x:c r="C82" s="9" t="d">
        <x:v>2011-11-02T00:00:00.000Z</x:v>
      </x:c>
      <x:c r="D82" s="9" t="d">
        <x:v>2011-11-09T00:00:00.000Z</x:v>
      </x:c>
      <x:c r="E82" s="1" t="str">
        <x:v>ridge</x:v>
      </x:c>
      <x:c r="F82" s="10" t="n">
        <x:v>161</x:v>
      </x:c>
      <x:c r="G82" s="10" t="n">
        <x:v>82.3866093637</x:v>
      </x:c>
      <x:c r="H82" s="10" t="n">
        <x:f>ABS(G82-F82)</x:f>
        <x:v>78.6133906363</x:v>
      </x:c>
      <x:c r="I82" s="10" t="n">
        <x:f>G82-F82</x:f>
        <x:v>-78.6133906363</x:v>
      </x:c>
    </x:row>
    <x:row r="83" ht="20" customHeight="1">
      <x:c r="A83" s="1" t="str">
        <x:v>20725</x:v>
      </x:c>
      <x:c r="B83" s="10" t="n">
        <x:v>2</x:v>
      </x:c>
      <x:c r="C83" s="9" t="d">
        <x:v>2011-11-02T00:00:00.000Z</x:v>
      </x:c>
      <x:c r="D83" s="9" t="d">
        <x:v>2011-11-10T00:00:00.000Z</x:v>
      </x:c>
      <x:c r="E83" s="1" t="str">
        <x:v>ridge</x:v>
      </x:c>
      <x:c r="F83" s="10" t="n">
        <x:v>93</x:v>
      </x:c>
      <x:c r="G83" s="10" t="n">
        <x:v>71.3127397675</x:v>
      </x:c>
      <x:c r="H83" s="10" t="n">
        <x:f>ABS(G83-F83)</x:f>
        <x:v>21.687260232499995</x:v>
      </x:c>
      <x:c r="I83" s="10" t="n">
        <x:f>G83-F83</x:f>
        <x:v>-21.687260232499995</x:v>
      </x:c>
    </x:row>
    <x:row r="84" ht="20" customHeight="1">
      <x:c r="A84" s="1" t="str">
        <x:v>20725</x:v>
      </x:c>
      <x:c r="B84" s="10" t="n">
        <x:v>2</x:v>
      </x:c>
      <x:c r="C84" s="9" t="d">
        <x:v>2011-11-02T00:00:00.000Z</x:v>
      </x:c>
      <x:c r="D84" s="9" t="d">
        <x:v>2011-11-11T00:00:00.000Z</x:v>
      </x:c>
      <x:c r="E84" s="1" t="str">
        <x:v>ridge</x:v>
      </x:c>
      <x:c r="F84" s="10" t="n">
        <x:v>88</x:v>
      </x:c>
      <x:c r="G84" s="10" t="n">
        <x:v>51.6828640399</x:v>
      </x:c>
      <x:c r="H84" s="10" t="n">
        <x:f>ABS(G84-F84)</x:f>
        <x:v>36.3171359601</x:v>
      </x:c>
      <x:c r="I84" s="10" t="n">
        <x:f>G84-F84</x:f>
        <x:v>-36.3171359601</x:v>
      </x:c>
    </x:row>
    <x:row r="85" ht="20" customHeight="1">
      <x:c r="A85" s="1" t="str">
        <x:v>20725</x:v>
      </x:c>
      <x:c r="B85" s="10" t="n">
        <x:v>2</x:v>
      </x:c>
      <x:c r="C85" s="9" t="d">
        <x:v>2011-11-02T00:00:00.000Z</x:v>
      </x:c>
      <x:c r="D85" s="9" t="d">
        <x:v>2011-11-12T00:00:00.000Z</x:v>
      </x:c>
      <x:c r="E85" s="1" t="str">
        <x:v>ridge</x:v>
      </x:c>
      <x:c r="F85" s="10" t="n">
        <x:v>0</x:v>
      </x:c>
      <x:c r="G85" s="10" t="n">
        <x:v>24.9335106309</x:v>
      </x:c>
      <x:c r="H85" s="10" t="n">
        <x:f>ABS(G85-F85)</x:f>
        <x:v>24.9335106309</x:v>
      </x:c>
      <x:c r="I85" s="10" t="n">
        <x:f>G85-F85</x:f>
        <x:v>24.9335106309</x:v>
      </x:c>
    </x:row>
    <x:row r="86" ht="20" customHeight="1">
      <x:c r="A86" s="1" t="str">
        <x:v>20725</x:v>
      </x:c>
      <x:c r="B86" s="10" t="n">
        <x:v>2</x:v>
      </x:c>
      <x:c r="C86" s="9" t="d">
        <x:v>2011-11-02T00:00:00.000Z</x:v>
      </x:c>
      <x:c r="D86" s="9" t="d">
        <x:v>2011-11-13T00:00:00.000Z</x:v>
      </x:c>
      <x:c r="E86" s="1" t="str">
        <x:v>ridge</x:v>
      </x:c>
      <x:c r="F86" s="10" t="n">
        <x:v>23</x:v>
      </x:c>
      <x:c r="G86" s="10" t="n">
        <x:v>29.8941100336</x:v>
      </x:c>
      <x:c r="H86" s="10" t="n">
        <x:f>ABS(G86-F86)</x:f>
        <x:v>6.8941100336000005</x:v>
      </x:c>
      <x:c r="I86" s="10" t="n">
        <x:f>G86-F86</x:f>
        <x:v>6.8941100336000005</x:v>
      </x:c>
    </x:row>
    <x:row r="87" ht="20" customHeight="1">
      <x:c r="A87" s="1" t="str">
        <x:v>20725</x:v>
      </x:c>
      <x:c r="B87" s="10" t="n">
        <x:v>2</x:v>
      </x:c>
      <x:c r="C87" s="9" t="d">
        <x:v>2011-11-02T00:00:00.000Z</x:v>
      </x:c>
      <x:c r="D87" s="9" t="d">
        <x:v>2011-11-14T00:00:00.000Z</x:v>
      </x:c>
      <x:c r="E87" s="1" t="str">
        <x:v>ridge</x:v>
      </x:c>
      <x:c r="F87" s="10" t="n">
        <x:v>155</x:v>
      </x:c>
      <x:c r="G87" s="10" t="n">
        <x:v>42.925312487</x:v>
      </x:c>
      <x:c r="H87" s="10" t="n">
        <x:f>ABS(G87-F87)</x:f>
        <x:v>112.074687513</x:v>
      </x:c>
      <x:c r="I87" s="10" t="n">
        <x:f>G87-F87</x:f>
        <x:v>-112.074687513</x:v>
      </x:c>
    </x:row>
    <x:row r="88" ht="20" customHeight="1">
      <x:c r="A88" s="1" t="str">
        <x:v>20725</x:v>
      </x:c>
      <x:c r="B88" s="10" t="n">
        <x:v>2</x:v>
      </x:c>
      <x:c r="C88" s="9" t="d">
        <x:v>2011-11-02T00:00:00.000Z</x:v>
      </x:c>
      <x:c r="D88" s="9" t="d">
        <x:v>2011-11-15T00:00:00.000Z</x:v>
      </x:c>
      <x:c r="E88" s="1" t="str">
        <x:v>ridge</x:v>
      </x:c>
      <x:c r="F88" s="10" t="n">
        <x:v>232</x:v>
      </x:c>
      <x:c r="G88" s="10" t="n">
        <x:v>65.831303449</x:v>
      </x:c>
      <x:c r="H88" s="10" t="n">
        <x:f>ABS(G88-F88)</x:f>
        <x:v>166.16869655099998</x:v>
      </x:c>
      <x:c r="I88" s="10" t="n">
        <x:f>G88-F88</x:f>
        <x:v>-166.16869655099998</x:v>
      </x:c>
    </x:row>
    <x:row r="89" ht="20" customHeight="1">
      <x:c r="A89" s="1" t="str">
        <x:v>20725</x:v>
      </x:c>
      <x:c r="B89" s="10" t="n">
        <x:v>2</x:v>
      </x:c>
      <x:c r="C89" s="9" t="d">
        <x:v>2011-11-02T00:00:00.000Z</x:v>
      </x:c>
      <x:c r="D89" s="9" t="d">
        <x:v>2011-11-16T00:00:00.000Z</x:v>
      </x:c>
      <x:c r="E89" s="1" t="str">
        <x:v>ridge</x:v>
      </x:c>
      <x:c r="F89" s="10" t="n">
        <x:v>66</x:v>
      </x:c>
      <x:c r="G89" s="10" t="n">
        <x:v>86.1443203753</x:v>
      </x:c>
      <x:c r="H89" s="10" t="n">
        <x:f>ABS(G89-F89)</x:f>
        <x:v>20.144320375299998</x:v>
      </x:c>
      <x:c r="I89" s="10" t="n">
        <x:f>G89-F89</x:f>
        <x:v>20.144320375299998</x:v>
      </x:c>
    </x:row>
    <x:row r="90" ht="20" customHeight="1">
      <x:c r="A90" s="1" t="str">
        <x:v>20725</x:v>
      </x:c>
      <x:c r="B90" s="10" t="n">
        <x:v>3</x:v>
      </x:c>
      <x:c r="C90" s="9" t="d">
        <x:v>2011-11-16T00:00:00.000Z</x:v>
      </x:c>
      <x:c r="D90" s="9" t="d">
        <x:v>2011-11-17T00:00:00.000Z</x:v>
      </x:c>
      <x:c r="E90" s="1" t="str">
        <x:v>naive</x:v>
      </x:c>
      <x:c r="F90" s="10" t="n">
        <x:v>71</x:v>
      </x:c>
      <x:c r="G90" s="10" t="n">
        <x:v>66</x:v>
      </x:c>
      <x:c r="H90" s="10" t="n">
        <x:f>ABS(G90-F90)</x:f>
        <x:v>5</x:v>
      </x:c>
      <x:c r="I90" s="10" t="n">
        <x:f>G90-F90</x:f>
        <x:v>-5</x:v>
      </x:c>
    </x:row>
    <x:row r="91" ht="20" customHeight="1">
      <x:c r="A91" s="1" t="str">
        <x:v>20725</x:v>
      </x:c>
      <x:c r="B91" s="10" t="n">
        <x:v>3</x:v>
      </x:c>
      <x:c r="C91" s="9" t="d">
        <x:v>2011-11-16T00:00:00.000Z</x:v>
      </x:c>
      <x:c r="D91" s="9" t="d">
        <x:v>2011-11-18T00:00:00.000Z</x:v>
      </x:c>
      <x:c r="E91" s="1" t="str">
        <x:v>naive</x:v>
      </x:c>
      <x:c r="F91" s="10" t="n">
        <x:v>76</x:v>
      </x:c>
      <x:c r="G91" s="10" t="n">
        <x:v>66</x:v>
      </x:c>
      <x:c r="H91" s="10" t="n">
        <x:f>ABS(G91-F91)</x:f>
        <x:v>10</x:v>
      </x:c>
      <x:c r="I91" s="10" t="n">
        <x:f>G91-F91</x:f>
        <x:v>-10</x:v>
      </x:c>
    </x:row>
    <x:row r="92" ht="20" customHeight="1">
      <x:c r="A92" s="1" t="str">
        <x:v>20725</x:v>
      </x:c>
      <x:c r="B92" s="10" t="n">
        <x:v>3</x:v>
      </x:c>
      <x:c r="C92" s="9" t="d">
        <x:v>2011-11-16T00:00:00.000Z</x:v>
      </x:c>
      <x:c r="D92" s="9" t="d">
        <x:v>2011-11-19T00:00:00.000Z</x:v>
      </x:c>
      <x:c r="E92" s="1" t="str">
        <x:v>naive</x:v>
      </x:c>
      <x:c r="F92" s="10" t="n">
        <x:v>0</x:v>
      </x:c>
      <x:c r="G92" s="10" t="n">
        <x:v>66</x:v>
      </x:c>
      <x:c r="H92" s="10" t="n">
        <x:f>ABS(G92-F92)</x:f>
        <x:v>66</x:v>
      </x:c>
      <x:c r="I92" s="10" t="n">
        <x:f>G92-F92</x:f>
        <x:v>66</x:v>
      </x:c>
    </x:row>
    <x:row r="93" ht="20" customHeight="1">
      <x:c r="A93" s="1" t="str">
        <x:v>20725</x:v>
      </x:c>
      <x:c r="B93" s="10" t="n">
        <x:v>3</x:v>
      </x:c>
      <x:c r="C93" s="9" t="d">
        <x:v>2011-11-16T00:00:00.000Z</x:v>
      </x:c>
      <x:c r="D93" s="9" t="d">
        <x:v>2011-11-20T00:00:00.000Z</x:v>
      </x:c>
      <x:c r="E93" s="1" t="str">
        <x:v>naive</x:v>
      </x:c>
      <x:c r="F93" s="10" t="n">
        <x:v>49</x:v>
      </x:c>
      <x:c r="G93" s="10" t="n">
        <x:v>66</x:v>
      </x:c>
      <x:c r="H93" s="10" t="n">
        <x:f>ABS(G93-F93)</x:f>
        <x:v>17</x:v>
      </x:c>
      <x:c r="I93" s="10" t="n">
        <x:f>G93-F93</x:f>
        <x:v>17</x:v>
      </x:c>
    </x:row>
    <x:row r="94" ht="20" customHeight="1">
      <x:c r="A94" s="1" t="str">
        <x:v>20725</x:v>
      </x:c>
      <x:c r="B94" s="10" t="n">
        <x:v>3</x:v>
      </x:c>
      <x:c r="C94" s="9" t="d">
        <x:v>2011-11-16T00:00:00.000Z</x:v>
      </x:c>
      <x:c r="D94" s="9" t="d">
        <x:v>2011-11-21T00:00:00.000Z</x:v>
      </x:c>
      <x:c r="E94" s="1" t="str">
        <x:v>naive</x:v>
      </x:c>
      <x:c r="F94" s="10" t="n">
        <x:v>37</x:v>
      </x:c>
      <x:c r="G94" s="10" t="n">
        <x:v>66</x:v>
      </x:c>
      <x:c r="H94" s="10" t="n">
        <x:f>ABS(G94-F94)</x:f>
        <x:v>29</x:v>
      </x:c>
      <x:c r="I94" s="10" t="n">
        <x:f>G94-F94</x:f>
        <x:v>29</x:v>
      </x:c>
    </x:row>
    <x:row r="95" ht="20" customHeight="1">
      <x:c r="A95" s="1" t="str">
        <x:v>20725</x:v>
      </x:c>
      <x:c r="B95" s="10" t="n">
        <x:v>3</x:v>
      </x:c>
      <x:c r="C95" s="9" t="d">
        <x:v>2011-11-16T00:00:00.000Z</x:v>
      </x:c>
      <x:c r="D95" s="9" t="d">
        <x:v>2011-11-22T00:00:00.000Z</x:v>
      </x:c>
      <x:c r="E95" s="1" t="str">
        <x:v>naive</x:v>
      </x:c>
      <x:c r="F95" s="10" t="n">
        <x:v>47</x:v>
      </x:c>
      <x:c r="G95" s="10" t="n">
        <x:v>66</x:v>
      </x:c>
      <x:c r="H95" s="10" t="n">
        <x:f>ABS(G95-F95)</x:f>
        <x:v>19</x:v>
      </x:c>
      <x:c r="I95" s="10" t="n">
        <x:f>G95-F95</x:f>
        <x:v>19</x:v>
      </x:c>
    </x:row>
    <x:row r="96" ht="20" customHeight="1">
      <x:c r="A96" s="1" t="str">
        <x:v>20725</x:v>
      </x:c>
      <x:c r="B96" s="10" t="n">
        <x:v>3</x:v>
      </x:c>
      <x:c r="C96" s="9" t="d">
        <x:v>2011-11-16T00:00:00.000Z</x:v>
      </x:c>
      <x:c r="D96" s="9" t="d">
        <x:v>2011-11-23T00:00:00.000Z</x:v>
      </x:c>
      <x:c r="E96" s="1" t="str">
        <x:v>naive</x:v>
      </x:c>
      <x:c r="F96" s="10" t="n">
        <x:v>37</x:v>
      </x:c>
      <x:c r="G96" s="10" t="n">
        <x:v>66</x:v>
      </x:c>
      <x:c r="H96" s="10" t="n">
        <x:f>ABS(G96-F96)</x:f>
        <x:v>29</x:v>
      </x:c>
      <x:c r="I96" s="10" t="n">
        <x:f>G96-F96</x:f>
        <x:v>29</x:v>
      </x:c>
    </x:row>
    <x:row r="97" ht="20" customHeight="1">
      <x:c r="A97" s="1" t="str">
        <x:v>20725</x:v>
      </x:c>
      <x:c r="B97" s="10" t="n">
        <x:v>3</x:v>
      </x:c>
      <x:c r="C97" s="9" t="d">
        <x:v>2011-11-16T00:00:00.000Z</x:v>
      </x:c>
      <x:c r="D97" s="9" t="d">
        <x:v>2011-11-24T00:00:00.000Z</x:v>
      </x:c>
      <x:c r="E97" s="1" t="str">
        <x:v>naive</x:v>
      </x:c>
      <x:c r="F97" s="10" t="n">
        <x:v>44</x:v>
      </x:c>
      <x:c r="G97" s="10" t="n">
        <x:v>66</x:v>
      </x:c>
      <x:c r="H97" s="10" t="n">
        <x:f>ABS(G97-F97)</x:f>
        <x:v>22</x:v>
      </x:c>
      <x:c r="I97" s="10" t="n">
        <x:f>G97-F97</x:f>
        <x:v>22</x:v>
      </x:c>
    </x:row>
    <x:row r="98" ht="20" customHeight="1">
      <x:c r="A98" s="1" t="str">
        <x:v>20725</x:v>
      </x:c>
      <x:c r="B98" s="10" t="n">
        <x:v>3</x:v>
      </x:c>
      <x:c r="C98" s="9" t="d">
        <x:v>2011-11-16T00:00:00.000Z</x:v>
      </x:c>
      <x:c r="D98" s="9" t="d">
        <x:v>2011-11-25T00:00:00.000Z</x:v>
      </x:c>
      <x:c r="E98" s="1" t="str">
        <x:v>naive</x:v>
      </x:c>
      <x:c r="F98" s="10" t="n">
        <x:v>93</x:v>
      </x:c>
      <x:c r="G98" s="10" t="n">
        <x:v>66</x:v>
      </x:c>
      <x:c r="H98" s="10" t="n">
        <x:f>ABS(G98-F98)</x:f>
        <x:v>27</x:v>
      </x:c>
      <x:c r="I98" s="10" t="n">
        <x:f>G98-F98</x:f>
        <x:v>-27</x:v>
      </x:c>
    </x:row>
    <x:row r="99" ht="20" customHeight="1">
      <x:c r="A99" s="1" t="str">
        <x:v>20725</x:v>
      </x:c>
      <x:c r="B99" s="10" t="n">
        <x:v>3</x:v>
      </x:c>
      <x:c r="C99" s="9" t="d">
        <x:v>2011-11-16T00:00:00.000Z</x:v>
      </x:c>
      <x:c r="D99" s="9" t="d">
        <x:v>2011-11-26T00:00:00.000Z</x:v>
      </x:c>
      <x:c r="E99" s="1" t="str">
        <x:v>naive</x:v>
      </x:c>
      <x:c r="F99" s="10" t="n">
        <x:v>0</x:v>
      </x:c>
      <x:c r="G99" s="10" t="n">
        <x:v>66</x:v>
      </x:c>
      <x:c r="H99" s="10" t="n">
        <x:f>ABS(G99-F99)</x:f>
        <x:v>66</x:v>
      </x:c>
      <x:c r="I99" s="10" t="n">
        <x:f>G99-F99</x:f>
        <x:v>66</x:v>
      </x:c>
    </x:row>
    <x:row r="100" ht="20" customHeight="1">
      <x:c r="A100" s="1" t="str">
        <x:v>20725</x:v>
      </x:c>
      <x:c r="B100" s="10" t="n">
        <x:v>3</x:v>
      </x:c>
      <x:c r="C100" s="9" t="d">
        <x:v>2011-11-16T00:00:00.000Z</x:v>
      </x:c>
      <x:c r="D100" s="9" t="d">
        <x:v>2011-11-27T00:00:00.000Z</x:v>
      </x:c>
      <x:c r="E100" s="1" t="str">
        <x:v>naive</x:v>
      </x:c>
      <x:c r="F100" s="10" t="n">
        <x:v>18</x:v>
      </x:c>
      <x:c r="G100" s="10" t="n">
        <x:v>66</x:v>
      </x:c>
      <x:c r="H100" s="10" t="n">
        <x:f>ABS(G100-F100)</x:f>
        <x:v>48</x:v>
      </x:c>
      <x:c r="I100" s="10" t="n">
        <x:f>G100-F100</x:f>
        <x:v>48</x:v>
      </x:c>
    </x:row>
    <x:row r="101" ht="20" customHeight="1">
      <x:c r="A101" s="1" t="str">
        <x:v>20725</x:v>
      </x:c>
      <x:c r="B101" s="10" t="n">
        <x:v>3</x:v>
      </x:c>
      <x:c r="C101" s="9" t="d">
        <x:v>2011-11-16T00:00:00.000Z</x:v>
      </x:c>
      <x:c r="D101" s="9" t="d">
        <x:v>2011-11-28T00:00:00.000Z</x:v>
      </x:c>
      <x:c r="E101" s="1" t="str">
        <x:v>naive</x:v>
      </x:c>
      <x:c r="F101" s="10" t="n">
        <x:v>58</x:v>
      </x:c>
      <x:c r="G101" s="10" t="n">
        <x:v>66</x:v>
      </x:c>
      <x:c r="H101" s="10" t="n">
        <x:f>ABS(G101-F101)</x:f>
        <x:v>8</x:v>
      </x:c>
      <x:c r="I101" s="10" t="n">
        <x:f>G101-F101</x:f>
        <x:v>8</x:v>
      </x:c>
    </x:row>
    <x:row r="102" ht="20" customHeight="1">
      <x:c r="A102" s="1" t="str">
        <x:v>20725</x:v>
      </x:c>
      <x:c r="B102" s="10" t="n">
        <x:v>3</x:v>
      </x:c>
      <x:c r="C102" s="9" t="d">
        <x:v>2011-11-16T00:00:00.000Z</x:v>
      </x:c>
      <x:c r="D102" s="9" t="d">
        <x:v>2011-11-29T00:00:00.000Z</x:v>
      </x:c>
      <x:c r="E102" s="1" t="str">
        <x:v>naive</x:v>
      </x:c>
      <x:c r="F102" s="10" t="n">
        <x:v>49</x:v>
      </x:c>
      <x:c r="G102" s="10" t="n">
        <x:v>66</x:v>
      </x:c>
      <x:c r="H102" s="10" t="n">
        <x:f>ABS(G102-F102)</x:f>
        <x:v>17</x:v>
      </x:c>
      <x:c r="I102" s="10" t="n">
        <x:f>G102-F102</x:f>
        <x:v>17</x:v>
      </x:c>
    </x:row>
    <x:row r="103" ht="20" customHeight="1">
      <x:c r="A103" s="1" t="str">
        <x:v>20725</x:v>
      </x:c>
      <x:c r="B103" s="10" t="n">
        <x:v>3</x:v>
      </x:c>
      <x:c r="C103" s="9" t="d">
        <x:v>2011-11-16T00:00:00.000Z</x:v>
      </x:c>
      <x:c r="D103" s="9" t="d">
        <x:v>2011-11-30T00:00:00.000Z</x:v>
      </x:c>
      <x:c r="E103" s="1" t="str">
        <x:v>naive</x:v>
      </x:c>
      <x:c r="F103" s="10" t="n">
        <x:v>91</x:v>
      </x:c>
      <x:c r="G103" s="10" t="n">
        <x:v>66</x:v>
      </x:c>
      <x:c r="H103" s="10" t="n">
        <x:f>ABS(G103-F103)</x:f>
        <x:v>25</x:v>
      </x:c>
      <x:c r="I103" s="10" t="n">
        <x:f>G103-F103</x:f>
        <x:v>-25</x:v>
      </x:c>
    </x:row>
    <x:row r="104" ht="20" customHeight="1">
      <x:c r="A104" s="1" t="str">
        <x:v>20725</x:v>
      </x:c>
      <x:c r="B104" s="10" t="n">
        <x:v>3</x:v>
      </x:c>
      <x:c r="C104" s="9" t="d">
        <x:v>2011-11-16T00:00:00.000Z</x:v>
      </x:c>
      <x:c r="D104" s="9" t="d">
        <x:v>2011-11-17T00:00:00.000Z</x:v>
      </x:c>
      <x:c r="E104" s="1" t="str">
        <x:v>seasonal_naive</x:v>
      </x:c>
      <x:c r="F104" s="10" t="n">
        <x:v>71</x:v>
      </x:c>
      <x:c r="G104" s="10" t="n">
        <x:v>93</x:v>
      </x:c>
      <x:c r="H104" s="10" t="n">
        <x:f>ABS(G104-F104)</x:f>
        <x:v>22</x:v>
      </x:c>
      <x:c r="I104" s="10" t="n">
        <x:f>G104-F104</x:f>
        <x:v>22</x:v>
      </x:c>
    </x:row>
    <x:row r="105" ht="20" customHeight="1">
      <x:c r="A105" s="1" t="str">
        <x:v>20725</x:v>
      </x:c>
      <x:c r="B105" s="10" t="n">
        <x:v>3</x:v>
      </x:c>
      <x:c r="C105" s="9" t="d">
        <x:v>2011-11-16T00:00:00.000Z</x:v>
      </x:c>
      <x:c r="D105" s="9" t="d">
        <x:v>2011-11-18T00:00:00.000Z</x:v>
      </x:c>
      <x:c r="E105" s="1" t="str">
        <x:v>seasonal_naive</x:v>
      </x:c>
      <x:c r="F105" s="10" t="n">
        <x:v>76</x:v>
      </x:c>
      <x:c r="G105" s="10" t="n">
        <x:v>88</x:v>
      </x:c>
      <x:c r="H105" s="10" t="n">
        <x:f>ABS(G105-F105)</x:f>
        <x:v>12</x:v>
      </x:c>
      <x:c r="I105" s="10" t="n">
        <x:f>G105-F105</x:f>
        <x:v>12</x:v>
      </x:c>
    </x:row>
    <x:row r="106" ht="20" customHeight="1">
      <x:c r="A106" s="1" t="str">
        <x:v>20725</x:v>
      </x:c>
      <x:c r="B106" s="10" t="n">
        <x:v>3</x:v>
      </x:c>
      <x:c r="C106" s="9" t="d">
        <x:v>2011-11-16T00:00:00.000Z</x:v>
      </x:c>
      <x:c r="D106" s="9" t="d">
        <x:v>2011-11-19T00:00:00.000Z</x:v>
      </x:c>
      <x:c r="E106" s="1" t="str">
        <x:v>seasonal_naive</x:v>
      </x:c>
      <x:c r="F106" s="10" t="n">
        <x:v>0</x:v>
      </x:c>
      <x:c r="G106" s="10" t="n">
        <x:v>0</x:v>
      </x:c>
      <x:c r="H106" s="10" t="n">
        <x:f>ABS(G106-F106)</x:f>
        <x:v>0</x:v>
      </x:c>
      <x:c r="I106" s="10" t="n">
        <x:f>G106-F106</x:f>
        <x:v>0</x:v>
      </x:c>
    </x:row>
    <x:row r="107" ht="20" customHeight="1">
      <x:c r="A107" s="1" t="str">
        <x:v>20725</x:v>
      </x:c>
      <x:c r="B107" s="10" t="n">
        <x:v>3</x:v>
      </x:c>
      <x:c r="C107" s="9" t="d">
        <x:v>2011-11-16T00:00:00.000Z</x:v>
      </x:c>
      <x:c r="D107" s="9" t="d">
        <x:v>2011-11-20T00:00:00.000Z</x:v>
      </x:c>
      <x:c r="E107" s="1" t="str">
        <x:v>seasonal_naive</x:v>
      </x:c>
      <x:c r="F107" s="10" t="n">
        <x:v>49</x:v>
      </x:c>
      <x:c r="G107" s="10" t="n">
        <x:v>23</x:v>
      </x:c>
      <x:c r="H107" s="10" t="n">
        <x:f>ABS(G107-F107)</x:f>
        <x:v>26</x:v>
      </x:c>
      <x:c r="I107" s="10" t="n">
        <x:f>G107-F107</x:f>
        <x:v>-26</x:v>
      </x:c>
    </x:row>
    <x:row r="108" ht="20" customHeight="1">
      <x:c r="A108" s="1" t="str">
        <x:v>20725</x:v>
      </x:c>
      <x:c r="B108" s="10" t="n">
        <x:v>3</x:v>
      </x:c>
      <x:c r="C108" s="9" t="d">
        <x:v>2011-11-16T00:00:00.000Z</x:v>
      </x:c>
      <x:c r="D108" s="9" t="d">
        <x:v>2011-11-21T00:00:00.000Z</x:v>
      </x:c>
      <x:c r="E108" s="1" t="str">
        <x:v>seasonal_naive</x:v>
      </x:c>
      <x:c r="F108" s="10" t="n">
        <x:v>37</x:v>
      </x:c>
      <x:c r="G108" s="10" t="n">
        <x:v>155</x:v>
      </x:c>
      <x:c r="H108" s="10" t="n">
        <x:f>ABS(G108-F108)</x:f>
        <x:v>118</x:v>
      </x:c>
      <x:c r="I108" s="10" t="n">
        <x:f>G108-F108</x:f>
        <x:v>118</x:v>
      </x:c>
    </x:row>
    <x:row r="109" ht="20" customHeight="1">
      <x:c r="A109" s="1" t="str">
        <x:v>20725</x:v>
      </x:c>
      <x:c r="B109" s="10" t="n">
        <x:v>3</x:v>
      </x:c>
      <x:c r="C109" s="9" t="d">
        <x:v>2011-11-16T00:00:00.000Z</x:v>
      </x:c>
      <x:c r="D109" s="9" t="d">
        <x:v>2011-11-22T00:00:00.000Z</x:v>
      </x:c>
      <x:c r="E109" s="1" t="str">
        <x:v>seasonal_naive</x:v>
      </x:c>
      <x:c r="F109" s="10" t="n">
        <x:v>47</x:v>
      </x:c>
      <x:c r="G109" s="10" t="n">
        <x:v>232</x:v>
      </x:c>
      <x:c r="H109" s="10" t="n">
        <x:f>ABS(G109-F109)</x:f>
        <x:v>185</x:v>
      </x:c>
      <x:c r="I109" s="10" t="n">
        <x:f>G109-F109</x:f>
        <x:v>185</x:v>
      </x:c>
    </x:row>
    <x:row r="110" ht="20" customHeight="1">
      <x:c r="A110" s="1" t="str">
        <x:v>20725</x:v>
      </x:c>
      <x:c r="B110" s="10" t="n">
        <x:v>3</x:v>
      </x:c>
      <x:c r="C110" s="9" t="d">
        <x:v>2011-11-16T00:00:00.000Z</x:v>
      </x:c>
      <x:c r="D110" s="9" t="d">
        <x:v>2011-11-23T00:00:00.000Z</x:v>
      </x:c>
      <x:c r="E110" s="1" t="str">
        <x:v>seasonal_naive</x:v>
      </x:c>
      <x:c r="F110" s="10" t="n">
        <x:v>37</x:v>
      </x:c>
      <x:c r="G110" s="10" t="n">
        <x:v>66</x:v>
      </x:c>
      <x:c r="H110" s="10" t="n">
        <x:f>ABS(G110-F110)</x:f>
        <x:v>29</x:v>
      </x:c>
      <x:c r="I110" s="10" t="n">
        <x:f>G110-F110</x:f>
        <x:v>29</x:v>
      </x:c>
    </x:row>
    <x:row r="111" ht="20" customHeight="1">
      <x:c r="A111" s="1" t="str">
        <x:v>20725</x:v>
      </x:c>
      <x:c r="B111" s="10" t="n">
        <x:v>3</x:v>
      </x:c>
      <x:c r="C111" s="9" t="d">
        <x:v>2011-11-16T00:00:00.000Z</x:v>
      </x:c>
      <x:c r="D111" s="9" t="d">
        <x:v>2011-11-24T00:00:00.000Z</x:v>
      </x:c>
      <x:c r="E111" s="1" t="str">
        <x:v>seasonal_naive</x:v>
      </x:c>
      <x:c r="F111" s="10" t="n">
        <x:v>44</x:v>
      </x:c>
      <x:c r="G111" s="10" t="n">
        <x:v>93</x:v>
      </x:c>
      <x:c r="H111" s="10" t="n">
        <x:f>ABS(G111-F111)</x:f>
        <x:v>49</x:v>
      </x:c>
      <x:c r="I111" s="10" t="n">
        <x:f>G111-F111</x:f>
        <x:v>49</x:v>
      </x:c>
    </x:row>
    <x:row r="112" ht="20" customHeight="1">
      <x:c r="A112" s="1" t="str">
        <x:v>20725</x:v>
      </x:c>
      <x:c r="B112" s="10" t="n">
        <x:v>3</x:v>
      </x:c>
      <x:c r="C112" s="9" t="d">
        <x:v>2011-11-16T00:00:00.000Z</x:v>
      </x:c>
      <x:c r="D112" s="9" t="d">
        <x:v>2011-11-25T00:00:00.000Z</x:v>
      </x:c>
      <x:c r="E112" s="1" t="str">
        <x:v>seasonal_naive</x:v>
      </x:c>
      <x:c r="F112" s="10" t="n">
        <x:v>93</x:v>
      </x:c>
      <x:c r="G112" s="10" t="n">
        <x:v>88</x:v>
      </x:c>
      <x:c r="H112" s="10" t="n">
        <x:f>ABS(G112-F112)</x:f>
        <x:v>5</x:v>
      </x:c>
      <x:c r="I112" s="10" t="n">
        <x:f>G112-F112</x:f>
        <x:v>-5</x:v>
      </x:c>
    </x:row>
    <x:row r="113" ht="20" customHeight="1">
      <x:c r="A113" s="1" t="str">
        <x:v>20725</x:v>
      </x:c>
      <x:c r="B113" s="10" t="n">
        <x:v>3</x:v>
      </x:c>
      <x:c r="C113" s="9" t="d">
        <x:v>2011-11-16T00:00:00.000Z</x:v>
      </x:c>
      <x:c r="D113" s="9" t="d">
        <x:v>2011-11-26T00:00:00.000Z</x:v>
      </x:c>
      <x:c r="E113" s="1" t="str">
        <x:v>seasonal_naive</x:v>
      </x:c>
      <x:c r="F113" s="10" t="n">
        <x:v>0</x:v>
      </x:c>
      <x:c r="G113" s="10" t="n">
        <x:v>0</x:v>
      </x:c>
      <x:c r="H113" s="10" t="n">
        <x:f>ABS(G113-F113)</x:f>
        <x:v>0</x:v>
      </x:c>
      <x:c r="I113" s="10" t="n">
        <x:f>G113-F113</x:f>
        <x:v>0</x:v>
      </x:c>
    </x:row>
    <x:row r="114" ht="20" customHeight="1">
      <x:c r="A114" s="1" t="str">
        <x:v>20725</x:v>
      </x:c>
      <x:c r="B114" s="10" t="n">
        <x:v>3</x:v>
      </x:c>
      <x:c r="C114" s="9" t="d">
        <x:v>2011-11-16T00:00:00.000Z</x:v>
      </x:c>
      <x:c r="D114" s="9" t="d">
        <x:v>2011-11-27T00:00:00.000Z</x:v>
      </x:c>
      <x:c r="E114" s="1" t="str">
        <x:v>seasonal_naive</x:v>
      </x:c>
      <x:c r="F114" s="10" t="n">
        <x:v>18</x:v>
      </x:c>
      <x:c r="G114" s="10" t="n">
        <x:v>23</x:v>
      </x:c>
      <x:c r="H114" s="10" t="n">
        <x:f>ABS(G114-F114)</x:f>
        <x:v>5</x:v>
      </x:c>
      <x:c r="I114" s="10" t="n">
        <x:f>G114-F114</x:f>
        <x:v>5</x:v>
      </x:c>
    </x:row>
    <x:row r="115" ht="20" customHeight="1">
      <x:c r="A115" s="1" t="str">
        <x:v>20725</x:v>
      </x:c>
      <x:c r="B115" s="10" t="n">
        <x:v>3</x:v>
      </x:c>
      <x:c r="C115" s="9" t="d">
        <x:v>2011-11-16T00:00:00.000Z</x:v>
      </x:c>
      <x:c r="D115" s="9" t="d">
        <x:v>2011-11-28T00:00:00.000Z</x:v>
      </x:c>
      <x:c r="E115" s="1" t="str">
        <x:v>seasonal_naive</x:v>
      </x:c>
      <x:c r="F115" s="10" t="n">
        <x:v>58</x:v>
      </x:c>
      <x:c r="G115" s="10" t="n">
        <x:v>155</x:v>
      </x:c>
      <x:c r="H115" s="10" t="n">
        <x:f>ABS(G115-F115)</x:f>
        <x:v>97</x:v>
      </x:c>
      <x:c r="I115" s="10" t="n">
        <x:f>G115-F115</x:f>
        <x:v>97</x:v>
      </x:c>
    </x:row>
    <x:row r="116" ht="20" customHeight="1">
      <x:c r="A116" s="1" t="str">
        <x:v>20725</x:v>
      </x:c>
      <x:c r="B116" s="10" t="n">
        <x:v>3</x:v>
      </x:c>
      <x:c r="C116" s="9" t="d">
        <x:v>2011-11-16T00:00:00.000Z</x:v>
      </x:c>
      <x:c r="D116" s="9" t="d">
        <x:v>2011-11-29T00:00:00.000Z</x:v>
      </x:c>
      <x:c r="E116" s="1" t="str">
        <x:v>seasonal_naive</x:v>
      </x:c>
      <x:c r="F116" s="10" t="n">
        <x:v>49</x:v>
      </x:c>
      <x:c r="G116" s="10" t="n">
        <x:v>232</x:v>
      </x:c>
      <x:c r="H116" s="10" t="n">
        <x:f>ABS(G116-F116)</x:f>
        <x:v>183</x:v>
      </x:c>
      <x:c r="I116" s="10" t="n">
        <x:f>G116-F116</x:f>
        <x:v>183</x:v>
      </x:c>
    </x:row>
    <x:row r="117" ht="20" customHeight="1">
      <x:c r="A117" s="1" t="str">
        <x:v>20725</x:v>
      </x:c>
      <x:c r="B117" s="10" t="n">
        <x:v>3</x:v>
      </x:c>
      <x:c r="C117" s="9" t="d">
        <x:v>2011-11-16T00:00:00.000Z</x:v>
      </x:c>
      <x:c r="D117" s="9" t="d">
        <x:v>2011-11-30T00:00:00.000Z</x:v>
      </x:c>
      <x:c r="E117" s="1" t="str">
        <x:v>seasonal_naive</x:v>
      </x:c>
      <x:c r="F117" s="10" t="n">
        <x:v>91</x:v>
      </x:c>
      <x:c r="G117" s="10" t="n">
        <x:v>66</x:v>
      </x:c>
      <x:c r="H117" s="10" t="n">
        <x:f>ABS(G117-F117)</x:f>
        <x:v>25</x:v>
      </x:c>
      <x:c r="I117" s="10" t="n">
        <x:f>G117-F117</x:f>
        <x:v>-25</x:v>
      </x:c>
    </x:row>
    <x:row r="118" ht="20" customHeight="1">
      <x:c r="A118" s="1" t="str">
        <x:v>20725</x:v>
      </x:c>
      <x:c r="B118" s="10" t="n">
        <x:v>3</x:v>
      </x:c>
      <x:c r="C118" s="9" t="d">
        <x:v>2011-11-16T00:00:00.000Z</x:v>
      </x:c>
      <x:c r="D118" s="9" t="d">
        <x:v>2011-11-17T00:00:00.000Z</x:v>
      </x:c>
      <x:c r="E118" s="1" t="str">
        <x:v>ridge</x:v>
      </x:c>
      <x:c r="F118" s="10" t="n">
        <x:v>71</x:v>
      </x:c>
      <x:c r="G118" s="10" t="n">
        <x:v>68.6519856178</x:v>
      </x:c>
      <x:c r="H118" s="10" t="n">
        <x:f>ABS(G118-F118)</x:f>
        <x:v>2.348014382200006</x:v>
      </x:c>
      <x:c r="I118" s="10" t="n">
        <x:f>G118-F118</x:f>
        <x:v>-2.348014382200006</x:v>
      </x:c>
    </x:row>
    <x:row r="119" ht="20" customHeight="1">
      <x:c r="A119" s="1" t="str">
        <x:v>20725</x:v>
      </x:c>
      <x:c r="B119" s="10" t="n">
        <x:v>3</x:v>
      </x:c>
      <x:c r="C119" s="9" t="d">
        <x:v>2011-11-16T00:00:00.000Z</x:v>
      </x:c>
      <x:c r="D119" s="9" t="d">
        <x:v>2011-11-18T00:00:00.000Z</x:v>
      </x:c>
      <x:c r="E119" s="1" t="str">
        <x:v>ridge</x:v>
      </x:c>
      <x:c r="F119" s="10" t="n">
        <x:v>76</x:v>
      </x:c>
      <x:c r="G119" s="10" t="n">
        <x:v>47.1205740668</x:v>
      </x:c>
      <x:c r="H119" s="10" t="n">
        <x:f>ABS(G119-F119)</x:f>
        <x:v>28.879425933199997</x:v>
      </x:c>
      <x:c r="I119" s="10" t="n">
        <x:f>G119-F119</x:f>
        <x:v>-28.879425933199997</x:v>
      </x:c>
    </x:row>
    <x:row r="120" ht="20" customHeight="1">
      <x:c r="A120" s="1" t="str">
        <x:v>20725</x:v>
      </x:c>
      <x:c r="B120" s="10" t="n">
        <x:v>3</x:v>
      </x:c>
      <x:c r="C120" s="9" t="d">
        <x:v>2011-11-16T00:00:00.000Z</x:v>
      </x:c>
      <x:c r="D120" s="9" t="d">
        <x:v>2011-11-19T00:00:00.000Z</x:v>
      </x:c>
      <x:c r="E120" s="1" t="str">
        <x:v>ridge</x:v>
      </x:c>
      <x:c r="F120" s="10" t="n">
        <x:v>0</x:v>
      </x:c>
      <x:c r="G120" s="10" t="n">
        <x:v>22.528809052</x:v>
      </x:c>
      <x:c r="H120" s="10" t="n">
        <x:f>ABS(G120-F120)</x:f>
        <x:v>22.528809052</x:v>
      </x:c>
      <x:c r="I120" s="10" t="n">
        <x:f>G120-F120</x:f>
        <x:v>22.528809052</x:v>
      </x:c>
    </x:row>
    <x:row r="121" ht="20" customHeight="1">
      <x:c r="A121" s="1" t="str">
        <x:v>20725</x:v>
      </x:c>
      <x:c r="B121" s="10" t="n">
        <x:v>3</x:v>
      </x:c>
      <x:c r="C121" s="9" t="d">
        <x:v>2011-11-16T00:00:00.000Z</x:v>
      </x:c>
      <x:c r="D121" s="9" t="d">
        <x:v>2011-11-20T00:00:00.000Z</x:v>
      </x:c>
      <x:c r="E121" s="1" t="str">
        <x:v>ridge</x:v>
      </x:c>
      <x:c r="F121" s="10" t="n">
        <x:v>49</x:v>
      </x:c>
      <x:c r="G121" s="10" t="n">
        <x:v>31.9941729611</x:v>
      </x:c>
      <x:c r="H121" s="10" t="n">
        <x:f>ABS(G121-F121)</x:f>
        <x:v>17.0058270389</x:v>
      </x:c>
      <x:c r="I121" s="10" t="n">
        <x:f>G121-F121</x:f>
        <x:v>-17.0058270389</x:v>
      </x:c>
    </x:row>
    <x:row r="122" ht="20" customHeight="1">
      <x:c r="A122" s="1" t="str">
        <x:v>20725</x:v>
      </x:c>
      <x:c r="B122" s="10" t="n">
        <x:v>3</x:v>
      </x:c>
      <x:c r="C122" s="9" t="d">
        <x:v>2011-11-16T00:00:00.000Z</x:v>
      </x:c>
      <x:c r="D122" s="9" t="d">
        <x:v>2011-11-21T00:00:00.000Z</x:v>
      </x:c>
      <x:c r="E122" s="1" t="str">
        <x:v>ridge</x:v>
      </x:c>
      <x:c r="F122" s="10" t="n">
        <x:v>37</x:v>
      </x:c>
      <x:c r="G122" s="10" t="n">
        <x:v>59.4108397289</x:v>
      </x:c>
      <x:c r="H122" s="10" t="n">
        <x:f>ABS(G122-F122)</x:f>
        <x:v>22.4108397289</x:v>
      </x:c>
      <x:c r="I122" s="10" t="n">
        <x:f>G122-F122</x:f>
        <x:v>22.4108397289</x:v>
      </x:c>
    </x:row>
    <x:row r="123" ht="20" customHeight="1">
      <x:c r="A123" s="1" t="str">
        <x:v>20725</x:v>
      </x:c>
      <x:c r="B123" s="10" t="n">
        <x:v>3</x:v>
      </x:c>
      <x:c r="C123" s="9" t="d">
        <x:v>2011-11-16T00:00:00.000Z</x:v>
      </x:c>
      <x:c r="D123" s="9" t="d">
        <x:v>2011-11-22T00:00:00.000Z</x:v>
      </x:c>
      <x:c r="E123" s="1" t="str">
        <x:v>ridge</x:v>
      </x:c>
      <x:c r="F123" s="10" t="n">
        <x:v>47</x:v>
      </x:c>
      <x:c r="G123" s="10" t="n">
        <x:v>82.5680389914</x:v>
      </x:c>
      <x:c r="H123" s="10" t="n">
        <x:f>ABS(G123-F123)</x:f>
        <x:v>35.5680389914</x:v>
      </x:c>
      <x:c r="I123" s="10" t="n">
        <x:f>G123-F123</x:f>
        <x:v>35.5680389914</x:v>
      </x:c>
    </x:row>
    <x:row r="124" ht="20" customHeight="1">
      <x:c r="A124" s="1" t="str">
        <x:v>20725</x:v>
      </x:c>
      <x:c r="B124" s="10" t="n">
        <x:v>3</x:v>
      </x:c>
      <x:c r="C124" s="9" t="d">
        <x:v>2011-11-16T00:00:00.000Z</x:v>
      </x:c>
      <x:c r="D124" s="9" t="d">
        <x:v>2011-11-23T00:00:00.000Z</x:v>
      </x:c>
      <x:c r="E124" s="1" t="str">
        <x:v>ridge</x:v>
      </x:c>
      <x:c r="F124" s="10" t="n">
        <x:v>37</x:v>
      </x:c>
      <x:c r="G124" s="10" t="n">
        <x:v>89.1037194731</x:v>
      </x:c>
      <x:c r="H124" s="10" t="n">
        <x:f>ABS(G124-F124)</x:f>
        <x:v>52.1037194731</x:v>
      </x:c>
      <x:c r="I124" s="10" t="n">
        <x:f>G124-F124</x:f>
        <x:v>52.1037194731</x:v>
      </x:c>
    </x:row>
    <x:row r="125" ht="20" customHeight="1">
      <x:c r="A125" s="1" t="str">
        <x:v>20725</x:v>
      </x:c>
      <x:c r="B125" s="10" t="n">
        <x:v>3</x:v>
      </x:c>
      <x:c r="C125" s="9" t="d">
        <x:v>2011-11-16T00:00:00.000Z</x:v>
      </x:c>
      <x:c r="D125" s="9" t="d">
        <x:v>2011-11-24T00:00:00.000Z</x:v>
      </x:c>
      <x:c r="E125" s="1" t="str">
        <x:v>ridge</x:v>
      </x:c>
      <x:c r="F125" s="10" t="n">
        <x:v>44</x:v>
      </x:c>
      <x:c r="G125" s="10" t="n">
        <x:v>73.3936848045</x:v>
      </x:c>
      <x:c r="H125" s="10" t="n">
        <x:f>ABS(G125-F125)</x:f>
        <x:v>29.393684804499998</x:v>
      </x:c>
      <x:c r="I125" s="10" t="n">
        <x:f>G125-F125</x:f>
        <x:v>29.393684804499998</x:v>
      </x:c>
    </x:row>
    <x:row r="126" ht="20" customHeight="1">
      <x:c r="A126" s="1" t="str">
        <x:v>20725</x:v>
      </x:c>
      <x:c r="B126" s="10" t="n">
        <x:v>3</x:v>
      </x:c>
      <x:c r="C126" s="9" t="d">
        <x:v>2011-11-16T00:00:00.000Z</x:v>
      </x:c>
      <x:c r="D126" s="9" t="d">
        <x:v>2011-11-25T00:00:00.000Z</x:v>
      </x:c>
      <x:c r="E126" s="1" t="str">
        <x:v>ridge</x:v>
      </x:c>
      <x:c r="F126" s="10" t="n">
        <x:v>93</x:v>
      </x:c>
      <x:c r="G126" s="10" t="n">
        <x:v>48.3614268504</x:v>
      </x:c>
      <x:c r="H126" s="10" t="n">
        <x:f>ABS(G126-F126)</x:f>
        <x:v>44.6385731496</x:v>
      </x:c>
      <x:c r="I126" s="10" t="n">
        <x:f>G126-F126</x:f>
        <x:v>-44.6385731496</x:v>
      </x:c>
    </x:row>
    <x:row r="127" ht="20" customHeight="1">
      <x:c r="A127" s="1" t="str">
        <x:v>20725</x:v>
      </x:c>
      <x:c r="B127" s="10" t="n">
        <x:v>3</x:v>
      </x:c>
      <x:c r="C127" s="9" t="d">
        <x:v>2011-11-16T00:00:00.000Z</x:v>
      </x:c>
      <x:c r="D127" s="9" t="d">
        <x:v>2011-11-26T00:00:00.000Z</x:v>
      </x:c>
      <x:c r="E127" s="1" t="str">
        <x:v>ridge</x:v>
      </x:c>
      <x:c r="F127" s="10" t="n">
        <x:v>0</x:v>
      </x:c>
      <x:c r="G127" s="10" t="n">
        <x:v>23.8107037139</x:v>
      </x:c>
      <x:c r="H127" s="10" t="n">
        <x:f>ABS(G127-F127)</x:f>
        <x:v>23.8107037139</x:v>
      </x:c>
      <x:c r="I127" s="10" t="n">
        <x:f>G127-F127</x:f>
        <x:v>23.8107037139</x:v>
      </x:c>
    </x:row>
    <x:row r="128" ht="20" customHeight="1">
      <x:c r="A128" s="1" t="str">
        <x:v>20725</x:v>
      </x:c>
      <x:c r="B128" s="10" t="n">
        <x:v>3</x:v>
      </x:c>
      <x:c r="C128" s="9" t="d">
        <x:v>2011-11-16T00:00:00.000Z</x:v>
      </x:c>
      <x:c r="D128" s="9" t="d">
        <x:v>2011-11-27T00:00:00.000Z</x:v>
      </x:c>
      <x:c r="E128" s="1" t="str">
        <x:v>ridge</x:v>
      </x:c>
      <x:c r="F128" s="10" t="n">
        <x:v>18</x:v>
      </x:c>
      <x:c r="G128" s="10" t="n">
        <x:v>26.3083694115</x:v>
      </x:c>
      <x:c r="H128" s="10" t="n">
        <x:f>ABS(G128-F128)</x:f>
        <x:v>8.3083694115</x:v>
      </x:c>
      <x:c r="I128" s="10" t="n">
        <x:f>G128-F128</x:f>
        <x:v>8.3083694115</x:v>
      </x:c>
    </x:row>
    <x:row r="129" ht="20" customHeight="1">
      <x:c r="A129" s="1" t="str">
        <x:v>20725</x:v>
      </x:c>
      <x:c r="B129" s="10" t="n">
        <x:v>3</x:v>
      </x:c>
      <x:c r="C129" s="9" t="d">
        <x:v>2011-11-16T00:00:00.000Z</x:v>
      </x:c>
      <x:c r="D129" s="9" t="d">
        <x:v>2011-11-28T00:00:00.000Z</x:v>
      </x:c>
      <x:c r="E129" s="1" t="str">
        <x:v>ridge</x:v>
      </x:c>
      <x:c r="F129" s="10" t="n">
        <x:v>58</x:v>
      </x:c>
      <x:c r="G129" s="10" t="n">
        <x:v>55.4203669083</x:v>
      </x:c>
      <x:c r="H129" s="10" t="n">
        <x:f>ABS(G129-F129)</x:f>
        <x:v>2.5796330917000034</x:v>
      </x:c>
      <x:c r="I129" s="10" t="n">
        <x:f>G129-F129</x:f>
        <x:v>-2.5796330917000034</x:v>
      </x:c>
    </x:row>
    <x:row r="130" ht="20" customHeight="1">
      <x:c r="A130" s="1" t="str">
        <x:v>20725</x:v>
      </x:c>
      <x:c r="B130" s="10" t="n">
        <x:v>3</x:v>
      </x:c>
      <x:c r="C130" s="9" t="d">
        <x:v>2011-11-16T00:00:00.000Z</x:v>
      </x:c>
      <x:c r="D130" s="9" t="d">
        <x:v>2011-11-29T00:00:00.000Z</x:v>
      </x:c>
      <x:c r="E130" s="1" t="str">
        <x:v>ridge</x:v>
      </x:c>
      <x:c r="F130" s="10" t="n">
        <x:v>49</x:v>
      </x:c>
      <x:c r="G130" s="10" t="n">
        <x:v>84.9020793263</x:v>
      </x:c>
      <x:c r="H130" s="10" t="n">
        <x:f>ABS(G130-F130)</x:f>
        <x:v>35.9020793263</x:v>
      </x:c>
      <x:c r="I130" s="10" t="n">
        <x:f>G130-F130</x:f>
        <x:v>35.9020793263</x:v>
      </x:c>
    </x:row>
    <x:row r="131" ht="20" customHeight="1">
      <x:c r="A131" s="1" t="str">
        <x:v>20725</x:v>
      </x:c>
      <x:c r="B131" s="10" t="n">
        <x:v>3</x:v>
      </x:c>
      <x:c r="C131" s="9" t="d">
        <x:v>2011-11-16T00:00:00.000Z</x:v>
      </x:c>
      <x:c r="D131" s="9" t="d">
        <x:v>2011-11-30T00:00:00.000Z</x:v>
      </x:c>
      <x:c r="E131" s="1" t="str">
        <x:v>ridge</x:v>
      </x:c>
      <x:c r="F131" s="10" t="n">
        <x:v>91</x:v>
      </x:c>
      <x:c r="G131" s="10" t="n">
        <x:v>84.289613274</x:v>
      </x:c>
      <x:c r="H131" s="10" t="n">
        <x:f>ABS(G131-F131)</x:f>
        <x:v>6.710386725999996</x:v>
      </x:c>
      <x:c r="I131" s="10" t="n">
        <x:f>G131-F131</x:f>
        <x:v>-6.710386725999996</x:v>
      </x:c>
    </x:row>
    <x:row r="132" ht="20" customHeight="1">
      <x:c r="A132" s="1" t="str">
        <x:v>21181</x:v>
      </x:c>
      <x:c r="B132" s="10" t="n">
        <x:v>1</x:v>
      </x:c>
      <x:c r="C132" s="9" t="d">
        <x:v>2011-10-19T00:00:00.000Z</x:v>
      </x:c>
      <x:c r="D132" s="9" t="d">
        <x:v>2011-10-20T00:00:00.000Z</x:v>
      </x:c>
      <x:c r="E132" s="1" t="str">
        <x:v>naive</x:v>
      </x:c>
      <x:c r="F132" s="10" t="n">
        <x:v>30</x:v>
      </x:c>
      <x:c r="G132" s="10" t="n">
        <x:v>20</x:v>
      </x:c>
      <x:c r="H132" s="10" t="n">
        <x:f>ABS(G132-F132)</x:f>
        <x:v>10</x:v>
      </x:c>
      <x:c r="I132" s="10" t="n">
        <x:f>G132-F132</x:f>
        <x:v>-10</x:v>
      </x:c>
    </x:row>
    <x:row r="133" ht="20" customHeight="1">
      <x:c r="A133" s="1" t="str">
        <x:v>21181</x:v>
      </x:c>
      <x:c r="B133" s="10" t="n">
        <x:v>1</x:v>
      </x:c>
      <x:c r="C133" s="9" t="d">
        <x:v>2011-10-19T00:00:00.000Z</x:v>
      </x:c>
      <x:c r="D133" s="9" t="d">
        <x:v>2011-10-21T00:00:00.000Z</x:v>
      </x:c>
      <x:c r="E133" s="1" t="str">
        <x:v>naive</x:v>
      </x:c>
      <x:c r="F133" s="10" t="n">
        <x:v>25</x:v>
      </x:c>
      <x:c r="G133" s="10" t="n">
        <x:v>20</x:v>
      </x:c>
      <x:c r="H133" s="10" t="n">
        <x:f>ABS(G133-F133)</x:f>
        <x:v>5</x:v>
      </x:c>
      <x:c r="I133" s="10" t="n">
        <x:f>G133-F133</x:f>
        <x:v>-5</x:v>
      </x:c>
    </x:row>
    <x:row r="134" ht="20" customHeight="1">
      <x:c r="A134" s="1" t="str">
        <x:v>21181</x:v>
      </x:c>
      <x:c r="B134" s="10" t="n">
        <x:v>1</x:v>
      </x:c>
      <x:c r="C134" s="9" t="d">
        <x:v>2011-10-19T00:00:00.000Z</x:v>
      </x:c>
      <x:c r="D134" s="9" t="d">
        <x:v>2011-10-22T00:00:00.000Z</x:v>
      </x:c>
      <x:c r="E134" s="1" t="str">
        <x:v>naive</x:v>
      </x:c>
      <x:c r="F134" s="10" t="n">
        <x:v>0</x:v>
      </x:c>
      <x:c r="G134" s="10" t="n">
        <x:v>20</x:v>
      </x:c>
      <x:c r="H134" s="10" t="n">
        <x:f>ABS(G134-F134)</x:f>
        <x:v>20</x:v>
      </x:c>
      <x:c r="I134" s="10" t="n">
        <x:f>G134-F134</x:f>
        <x:v>20</x:v>
      </x:c>
    </x:row>
    <x:row r="135" ht="20" customHeight="1">
      <x:c r="A135" s="1" t="str">
        <x:v>21181</x:v>
      </x:c>
      <x:c r="B135" s="10" t="n">
        <x:v>1</x:v>
      </x:c>
      <x:c r="C135" s="9" t="d">
        <x:v>2011-10-19T00:00:00.000Z</x:v>
      </x:c>
      <x:c r="D135" s="9" t="d">
        <x:v>2011-10-23T00:00:00.000Z</x:v>
      </x:c>
      <x:c r="E135" s="1" t="str">
        <x:v>naive</x:v>
      </x:c>
      <x:c r="F135" s="10" t="n">
        <x:v>2</x:v>
      </x:c>
      <x:c r="G135" s="10" t="n">
        <x:v>20</x:v>
      </x:c>
      <x:c r="H135" s="10" t="n">
        <x:f>ABS(G135-F135)</x:f>
        <x:v>18</x:v>
      </x:c>
      <x:c r="I135" s="10" t="n">
        <x:f>G135-F135</x:f>
        <x:v>18</x:v>
      </x:c>
    </x:row>
    <x:row r="136" ht="20" customHeight="1">
      <x:c r="A136" s="1" t="str">
        <x:v>21181</x:v>
      </x:c>
      <x:c r="B136" s="10" t="n">
        <x:v>1</x:v>
      </x:c>
      <x:c r="C136" s="9" t="d">
        <x:v>2011-10-19T00:00:00.000Z</x:v>
      </x:c>
      <x:c r="D136" s="9" t="d">
        <x:v>2011-10-24T00:00:00.000Z</x:v>
      </x:c>
      <x:c r="E136" s="1" t="str">
        <x:v>naive</x:v>
      </x:c>
      <x:c r="F136" s="10" t="n">
        <x:v>500</x:v>
      </x:c>
      <x:c r="G136" s="10" t="n">
        <x:v>20</x:v>
      </x:c>
      <x:c r="H136" s="10" t="n">
        <x:f>ABS(G136-F136)</x:f>
        <x:v>480</x:v>
      </x:c>
      <x:c r="I136" s="10" t="n">
        <x:f>G136-F136</x:f>
        <x:v>-480</x:v>
      </x:c>
    </x:row>
    <x:row r="137" ht="20" customHeight="1">
      <x:c r="A137" s="1" t="str">
        <x:v>21181</x:v>
      </x:c>
      <x:c r="B137" s="10" t="n">
        <x:v>1</x:v>
      </x:c>
      <x:c r="C137" s="9" t="d">
        <x:v>2011-10-19T00:00:00.000Z</x:v>
      </x:c>
      <x:c r="D137" s="9" t="d">
        <x:v>2011-10-25T00:00:00.000Z</x:v>
      </x:c>
      <x:c r="E137" s="1" t="str">
        <x:v>naive</x:v>
      </x:c>
      <x:c r="F137" s="10" t="n">
        <x:v>29</x:v>
      </x:c>
      <x:c r="G137" s="10" t="n">
        <x:v>20</x:v>
      </x:c>
      <x:c r="H137" s="10" t="n">
        <x:f>ABS(G137-F137)</x:f>
        <x:v>9</x:v>
      </x:c>
      <x:c r="I137" s="10" t="n">
        <x:f>G137-F137</x:f>
        <x:v>-9</x:v>
      </x:c>
    </x:row>
    <x:row r="138" ht="20" customHeight="1">
      <x:c r="A138" s="1" t="str">
        <x:v>21181</x:v>
      </x:c>
      <x:c r="B138" s="10" t="n">
        <x:v>1</x:v>
      </x:c>
      <x:c r="C138" s="9" t="d">
        <x:v>2011-10-19T00:00:00.000Z</x:v>
      </x:c>
      <x:c r="D138" s="9" t="d">
        <x:v>2011-10-26T00:00:00.000Z</x:v>
      </x:c>
      <x:c r="E138" s="1" t="str">
        <x:v>naive</x:v>
      </x:c>
      <x:c r="F138" s="10" t="n">
        <x:v>127</x:v>
      </x:c>
      <x:c r="G138" s="10" t="n">
        <x:v>20</x:v>
      </x:c>
      <x:c r="H138" s="10" t="n">
        <x:f>ABS(G138-F138)</x:f>
        <x:v>107</x:v>
      </x:c>
      <x:c r="I138" s="10" t="n">
        <x:f>G138-F138</x:f>
        <x:v>-107</x:v>
      </x:c>
    </x:row>
    <x:row r="139" ht="20" customHeight="1">
      <x:c r="A139" s="1" t="str">
        <x:v>21181</x:v>
      </x:c>
      <x:c r="B139" s="10" t="n">
        <x:v>1</x:v>
      </x:c>
      <x:c r="C139" s="9" t="d">
        <x:v>2011-10-19T00:00:00.000Z</x:v>
      </x:c>
      <x:c r="D139" s="9" t="d">
        <x:v>2011-10-27T00:00:00.000Z</x:v>
      </x:c>
      <x:c r="E139" s="1" t="str">
        <x:v>naive</x:v>
      </x:c>
      <x:c r="F139" s="10" t="n">
        <x:v>101</x:v>
      </x:c>
      <x:c r="G139" s="10" t="n">
        <x:v>20</x:v>
      </x:c>
      <x:c r="H139" s="10" t="n">
        <x:f>ABS(G139-F139)</x:f>
        <x:v>81</x:v>
      </x:c>
      <x:c r="I139" s="10" t="n">
        <x:f>G139-F139</x:f>
        <x:v>-81</x:v>
      </x:c>
    </x:row>
    <x:row r="140" ht="20" customHeight="1">
      <x:c r="A140" s="1" t="str">
        <x:v>21181</x:v>
      </x:c>
      <x:c r="B140" s="10" t="n">
        <x:v>1</x:v>
      </x:c>
      <x:c r="C140" s="9" t="d">
        <x:v>2011-10-19T00:00:00.000Z</x:v>
      </x:c>
      <x:c r="D140" s="9" t="d">
        <x:v>2011-10-28T00:00:00.000Z</x:v>
      </x:c>
      <x:c r="E140" s="1" t="str">
        <x:v>naive</x:v>
      </x:c>
      <x:c r="F140" s="10" t="n">
        <x:v>121</x:v>
      </x:c>
      <x:c r="G140" s="10" t="n">
        <x:v>20</x:v>
      </x:c>
      <x:c r="H140" s="10" t="n">
        <x:f>ABS(G140-F140)</x:f>
        <x:v>101</x:v>
      </x:c>
      <x:c r="I140" s="10" t="n">
        <x:f>G140-F140</x:f>
        <x:v>-101</x:v>
      </x:c>
    </x:row>
    <x:row r="141" ht="20" customHeight="1">
      <x:c r="A141" s="1" t="str">
        <x:v>21181</x:v>
      </x:c>
      <x:c r="B141" s="10" t="n">
        <x:v>1</x:v>
      </x:c>
      <x:c r="C141" s="9" t="d">
        <x:v>2011-10-19T00:00:00.000Z</x:v>
      </x:c>
      <x:c r="D141" s="9" t="d">
        <x:v>2011-10-29T00:00:00.000Z</x:v>
      </x:c>
      <x:c r="E141" s="1" t="str">
        <x:v>naive</x:v>
      </x:c>
      <x:c r="F141" s="10" t="n">
        <x:v>0</x:v>
      </x:c>
      <x:c r="G141" s="10" t="n">
        <x:v>20</x:v>
      </x:c>
      <x:c r="H141" s="10" t="n">
        <x:f>ABS(G141-F141)</x:f>
        <x:v>20</x:v>
      </x:c>
      <x:c r="I141" s="10" t="n">
        <x:f>G141-F141</x:f>
        <x:v>20</x:v>
      </x:c>
    </x:row>
    <x:row r="142" ht="20" customHeight="1">
      <x:c r="A142" s="1" t="str">
        <x:v>21181</x:v>
      </x:c>
      <x:c r="B142" s="10" t="n">
        <x:v>1</x:v>
      </x:c>
      <x:c r="C142" s="9" t="d">
        <x:v>2011-10-19T00:00:00.000Z</x:v>
      </x:c>
      <x:c r="D142" s="9" t="d">
        <x:v>2011-10-30T00:00:00.000Z</x:v>
      </x:c>
      <x:c r="E142" s="1" t="str">
        <x:v>naive</x:v>
      </x:c>
      <x:c r="F142" s="10" t="n">
        <x:v>30</x:v>
      </x:c>
      <x:c r="G142" s="10" t="n">
        <x:v>20</x:v>
      </x:c>
      <x:c r="H142" s="10" t="n">
        <x:f>ABS(G142-F142)</x:f>
        <x:v>10</x:v>
      </x:c>
      <x:c r="I142" s="10" t="n">
        <x:f>G142-F142</x:f>
        <x:v>-10</x:v>
      </x:c>
    </x:row>
    <x:row r="143" ht="20" customHeight="1">
      <x:c r="A143" s="1" t="str">
        <x:v>21181</x:v>
      </x:c>
      <x:c r="B143" s="10" t="n">
        <x:v>1</x:v>
      </x:c>
      <x:c r="C143" s="9" t="d">
        <x:v>2011-10-19T00:00:00.000Z</x:v>
      </x:c>
      <x:c r="D143" s="9" t="d">
        <x:v>2011-10-31T00:00:00.000Z</x:v>
      </x:c>
      <x:c r="E143" s="1" t="str">
        <x:v>naive</x:v>
      </x:c>
      <x:c r="F143" s="10" t="n">
        <x:v>47</x:v>
      </x:c>
      <x:c r="G143" s="10" t="n">
        <x:v>20</x:v>
      </x:c>
      <x:c r="H143" s="10" t="n">
        <x:f>ABS(G143-F143)</x:f>
        <x:v>27</x:v>
      </x:c>
      <x:c r="I143" s="10" t="n">
        <x:f>G143-F143</x:f>
        <x:v>-27</x:v>
      </x:c>
    </x:row>
    <x:row r="144" ht="20" customHeight="1">
      <x:c r="A144" s="1" t="str">
        <x:v>21181</x:v>
      </x:c>
      <x:c r="B144" s="10" t="n">
        <x:v>1</x:v>
      </x:c>
      <x:c r="C144" s="9" t="d">
        <x:v>2011-10-19T00:00:00.000Z</x:v>
      </x:c>
      <x:c r="D144" s="9" t="d">
        <x:v>2011-11-01T00:00:00.000Z</x:v>
      </x:c>
      <x:c r="E144" s="1" t="str">
        <x:v>naive</x:v>
      </x:c>
      <x:c r="F144" s="10" t="n">
        <x:v>0</x:v>
      </x:c>
      <x:c r="G144" s="10" t="n">
        <x:v>20</x:v>
      </x:c>
      <x:c r="H144" s="10" t="n">
        <x:f>ABS(G144-F144)</x:f>
        <x:v>20</x:v>
      </x:c>
      <x:c r="I144" s="10" t="n">
        <x:f>G144-F144</x:f>
        <x:v>20</x:v>
      </x:c>
    </x:row>
    <x:row r="145" ht="20" customHeight="1">
      <x:c r="A145" s="1" t="str">
        <x:v>21181</x:v>
      </x:c>
      <x:c r="B145" s="10" t="n">
        <x:v>1</x:v>
      </x:c>
      <x:c r="C145" s="9" t="d">
        <x:v>2011-10-19T00:00:00.000Z</x:v>
      </x:c>
      <x:c r="D145" s="9" t="d">
        <x:v>2011-11-02T00:00:00.000Z</x:v>
      </x:c>
      <x:c r="E145" s="1" t="str">
        <x:v>naive</x:v>
      </x:c>
      <x:c r="F145" s="10" t="n">
        <x:v>0</x:v>
      </x:c>
      <x:c r="G145" s="10" t="n">
        <x:v>20</x:v>
      </x:c>
      <x:c r="H145" s="10" t="n">
        <x:f>ABS(G145-F145)</x:f>
        <x:v>20</x:v>
      </x:c>
      <x:c r="I145" s="10" t="n">
        <x:f>G145-F145</x:f>
        <x:v>20</x:v>
      </x:c>
    </x:row>
    <x:row r="146" ht="20" customHeight="1">
      <x:c r="A146" s="1" t="str">
        <x:v>21181</x:v>
      </x:c>
      <x:c r="B146" s="10" t="n">
        <x:v>1</x:v>
      </x:c>
      <x:c r="C146" s="9" t="d">
        <x:v>2011-10-19T00:00:00.000Z</x:v>
      </x:c>
      <x:c r="D146" s="9" t="d">
        <x:v>2011-10-20T00:00:00.000Z</x:v>
      </x:c>
      <x:c r="E146" s="1" t="str">
        <x:v>seasonal_naive</x:v>
      </x:c>
      <x:c r="F146" s="10" t="n">
        <x:v>30</x:v>
      </x:c>
      <x:c r="G146" s="10" t="n">
        <x:v>16</x:v>
      </x:c>
      <x:c r="H146" s="10" t="n">
        <x:f>ABS(G146-F146)</x:f>
        <x:v>14</x:v>
      </x:c>
      <x:c r="I146" s="10" t="n">
        <x:f>G146-F146</x:f>
        <x:v>-14</x:v>
      </x:c>
    </x:row>
    <x:row r="147" ht="20" customHeight="1">
      <x:c r="A147" s="1" t="str">
        <x:v>21181</x:v>
      </x:c>
      <x:c r="B147" s="10" t="n">
        <x:v>1</x:v>
      </x:c>
      <x:c r="C147" s="9" t="d">
        <x:v>2011-10-19T00:00:00.000Z</x:v>
      </x:c>
      <x:c r="D147" s="9" t="d">
        <x:v>2011-10-21T00:00:00.000Z</x:v>
      </x:c>
      <x:c r="E147" s="1" t="str">
        <x:v>seasonal_naive</x:v>
      </x:c>
      <x:c r="F147" s="10" t="n">
        <x:v>25</x:v>
      </x:c>
      <x:c r="G147" s="10" t="n">
        <x:v>82</x:v>
      </x:c>
      <x:c r="H147" s="10" t="n">
        <x:f>ABS(G147-F147)</x:f>
        <x:v>57</x:v>
      </x:c>
      <x:c r="I147" s="10" t="n">
        <x:f>G147-F147</x:f>
        <x:v>57</x:v>
      </x:c>
    </x:row>
    <x:row r="148" ht="20" customHeight="1">
      <x:c r="A148" s="1" t="str">
        <x:v>21181</x:v>
      </x:c>
      <x:c r="B148" s="10" t="n">
        <x:v>1</x:v>
      </x:c>
      <x:c r="C148" s="9" t="d">
        <x:v>2011-10-19T00:00:00.000Z</x:v>
      </x:c>
      <x:c r="D148" s="9" t="d">
        <x:v>2011-10-22T00:00:00.000Z</x:v>
      </x:c>
      <x:c r="E148" s="1" t="str">
        <x:v>seasonal_naive</x:v>
      </x:c>
      <x:c r="F148" s="10" t="n">
        <x:v>0</x:v>
      </x:c>
      <x:c r="G148" s="10" t="n">
        <x:v>0</x:v>
      </x:c>
      <x:c r="H148" s="10" t="n">
        <x:f>ABS(G148-F148)</x:f>
        <x:v>0</x:v>
      </x:c>
      <x:c r="I148" s="10" t="n">
        <x:f>G148-F148</x:f>
        <x:v>0</x:v>
      </x:c>
    </x:row>
    <x:row r="149" ht="20" customHeight="1">
      <x:c r="A149" s="1" t="str">
        <x:v>21181</x:v>
      </x:c>
      <x:c r="B149" s="10" t="n">
        <x:v>1</x:v>
      </x:c>
      <x:c r="C149" s="9" t="d">
        <x:v>2011-10-19T00:00:00.000Z</x:v>
      </x:c>
      <x:c r="D149" s="9" t="d">
        <x:v>2011-10-23T00:00:00.000Z</x:v>
      </x:c>
      <x:c r="E149" s="1" t="str">
        <x:v>seasonal_naive</x:v>
      </x:c>
      <x:c r="F149" s="10" t="n">
        <x:v>2</x:v>
      </x:c>
      <x:c r="G149" s="10" t="n">
        <x:v>11</x:v>
      </x:c>
      <x:c r="H149" s="10" t="n">
        <x:f>ABS(G149-F149)</x:f>
        <x:v>9</x:v>
      </x:c>
      <x:c r="I149" s="10" t="n">
        <x:f>G149-F149</x:f>
        <x:v>9</x:v>
      </x:c>
    </x:row>
    <x:row r="150" ht="20" customHeight="1">
      <x:c r="A150" s="1" t="str">
        <x:v>21181</x:v>
      </x:c>
      <x:c r="B150" s="10" t="n">
        <x:v>1</x:v>
      </x:c>
      <x:c r="C150" s="9" t="d">
        <x:v>2011-10-19T00:00:00.000Z</x:v>
      </x:c>
      <x:c r="D150" s="9" t="d">
        <x:v>2011-10-24T00:00:00.000Z</x:v>
      </x:c>
      <x:c r="E150" s="1" t="str">
        <x:v>seasonal_naive</x:v>
      </x:c>
      <x:c r="F150" s="10" t="n">
        <x:v>500</x:v>
      </x:c>
      <x:c r="G150" s="10" t="n">
        <x:v>39</x:v>
      </x:c>
      <x:c r="H150" s="10" t="n">
        <x:f>ABS(G150-F150)</x:f>
        <x:v>461</x:v>
      </x:c>
      <x:c r="I150" s="10" t="n">
        <x:f>G150-F150</x:f>
        <x:v>-461</x:v>
      </x:c>
    </x:row>
    <x:row r="151" ht="20" customHeight="1">
      <x:c r="A151" s="1" t="str">
        <x:v>21181</x:v>
      </x:c>
      <x:c r="B151" s="10" t="n">
        <x:v>1</x:v>
      </x:c>
      <x:c r="C151" s="9" t="d">
        <x:v>2011-10-19T00:00:00.000Z</x:v>
      </x:c>
      <x:c r="D151" s="9" t="d">
        <x:v>2011-10-25T00:00:00.000Z</x:v>
      </x:c>
      <x:c r="E151" s="1" t="str">
        <x:v>seasonal_naive</x:v>
      </x:c>
      <x:c r="F151" s="10" t="n">
        <x:v>29</x:v>
      </x:c>
      <x:c r="G151" s="10" t="n">
        <x:v>19</x:v>
      </x:c>
      <x:c r="H151" s="10" t="n">
        <x:f>ABS(G151-F151)</x:f>
        <x:v>10</x:v>
      </x:c>
      <x:c r="I151" s="10" t="n">
        <x:f>G151-F151</x:f>
        <x:v>-10</x:v>
      </x:c>
    </x:row>
    <x:row r="152" ht="20" customHeight="1">
      <x:c r="A152" s="1" t="str">
        <x:v>21181</x:v>
      </x:c>
      <x:c r="B152" s="10" t="n">
        <x:v>1</x:v>
      </x:c>
      <x:c r="C152" s="9" t="d">
        <x:v>2011-10-19T00:00:00.000Z</x:v>
      </x:c>
      <x:c r="D152" s="9" t="d">
        <x:v>2011-10-26T00:00:00.000Z</x:v>
      </x:c>
      <x:c r="E152" s="1" t="str">
        <x:v>seasonal_naive</x:v>
      </x:c>
      <x:c r="F152" s="10" t="n">
        <x:v>127</x:v>
      </x:c>
      <x:c r="G152" s="10" t="n">
        <x:v>20</x:v>
      </x:c>
      <x:c r="H152" s="10" t="n">
        <x:f>ABS(G152-F152)</x:f>
        <x:v>107</x:v>
      </x:c>
      <x:c r="I152" s="10" t="n">
        <x:f>G152-F152</x:f>
        <x:v>-107</x:v>
      </x:c>
    </x:row>
    <x:row r="153" ht="20" customHeight="1">
      <x:c r="A153" s="1" t="str">
        <x:v>21181</x:v>
      </x:c>
      <x:c r="B153" s="10" t="n">
        <x:v>1</x:v>
      </x:c>
      <x:c r="C153" s="9" t="d">
        <x:v>2011-10-19T00:00:00.000Z</x:v>
      </x:c>
      <x:c r="D153" s="9" t="d">
        <x:v>2011-10-27T00:00:00.000Z</x:v>
      </x:c>
      <x:c r="E153" s="1" t="str">
        <x:v>seasonal_naive</x:v>
      </x:c>
      <x:c r="F153" s="10" t="n">
        <x:v>101</x:v>
      </x:c>
      <x:c r="G153" s="10" t="n">
        <x:v>16</x:v>
      </x:c>
      <x:c r="H153" s="10" t="n">
        <x:f>ABS(G153-F153)</x:f>
        <x:v>85</x:v>
      </x:c>
      <x:c r="I153" s="10" t="n">
        <x:f>G153-F153</x:f>
        <x:v>-85</x:v>
      </x:c>
    </x:row>
    <x:row r="154" ht="20" customHeight="1">
      <x:c r="A154" s="1" t="str">
        <x:v>21181</x:v>
      </x:c>
      <x:c r="B154" s="10" t="n">
        <x:v>1</x:v>
      </x:c>
      <x:c r="C154" s="9" t="d">
        <x:v>2011-10-19T00:00:00.000Z</x:v>
      </x:c>
      <x:c r="D154" s="9" t="d">
        <x:v>2011-10-28T00:00:00.000Z</x:v>
      </x:c>
      <x:c r="E154" s="1" t="str">
        <x:v>seasonal_naive</x:v>
      </x:c>
      <x:c r="F154" s="10" t="n">
        <x:v>121</x:v>
      </x:c>
      <x:c r="G154" s="10" t="n">
        <x:v>82</x:v>
      </x:c>
      <x:c r="H154" s="10" t="n">
        <x:f>ABS(G154-F154)</x:f>
        <x:v>39</x:v>
      </x:c>
      <x:c r="I154" s="10" t="n">
        <x:f>G154-F154</x:f>
        <x:v>-39</x:v>
      </x:c>
    </x:row>
    <x:row r="155" ht="20" customHeight="1">
      <x:c r="A155" s="1" t="str">
        <x:v>21181</x:v>
      </x:c>
      <x:c r="B155" s="10" t="n">
        <x:v>1</x:v>
      </x:c>
      <x:c r="C155" s="9" t="d">
        <x:v>2011-10-19T00:00:00.000Z</x:v>
      </x:c>
      <x:c r="D155" s="9" t="d">
        <x:v>2011-10-29T00:00:00.000Z</x:v>
      </x:c>
      <x:c r="E155" s="1" t="str">
        <x:v>seasonal_naive</x:v>
      </x:c>
      <x:c r="F155" s="10" t="n">
        <x:v>0</x:v>
      </x:c>
      <x:c r="G155" s="10" t="n">
        <x:v>0</x:v>
      </x:c>
      <x:c r="H155" s="10" t="n">
        <x:f>ABS(G155-F155)</x:f>
        <x:v>0</x:v>
      </x:c>
      <x:c r="I155" s="10" t="n">
        <x:f>G155-F155</x:f>
        <x:v>0</x:v>
      </x:c>
    </x:row>
    <x:row r="156" ht="20" customHeight="1">
      <x:c r="A156" s="1" t="str">
        <x:v>21181</x:v>
      </x:c>
      <x:c r="B156" s="10" t="n">
        <x:v>1</x:v>
      </x:c>
      <x:c r="C156" s="9" t="d">
        <x:v>2011-10-19T00:00:00.000Z</x:v>
      </x:c>
      <x:c r="D156" s="9" t="d">
        <x:v>2011-10-30T00:00:00.000Z</x:v>
      </x:c>
      <x:c r="E156" s="1" t="str">
        <x:v>seasonal_naive</x:v>
      </x:c>
      <x:c r="F156" s="10" t="n">
        <x:v>30</x:v>
      </x:c>
      <x:c r="G156" s="10" t="n">
        <x:v>11</x:v>
      </x:c>
      <x:c r="H156" s="10" t="n">
        <x:f>ABS(G156-F156)</x:f>
        <x:v>19</x:v>
      </x:c>
      <x:c r="I156" s="10" t="n">
        <x:f>G156-F156</x:f>
        <x:v>-19</x:v>
      </x:c>
    </x:row>
    <x:row r="157" ht="20" customHeight="1">
      <x:c r="A157" s="1" t="str">
        <x:v>21181</x:v>
      </x:c>
      <x:c r="B157" s="10" t="n">
        <x:v>1</x:v>
      </x:c>
      <x:c r="C157" s="9" t="d">
        <x:v>2011-10-19T00:00:00.000Z</x:v>
      </x:c>
      <x:c r="D157" s="9" t="d">
        <x:v>2011-10-31T00:00:00.000Z</x:v>
      </x:c>
      <x:c r="E157" s="1" t="str">
        <x:v>seasonal_naive</x:v>
      </x:c>
      <x:c r="F157" s="10" t="n">
        <x:v>47</x:v>
      </x:c>
      <x:c r="G157" s="10" t="n">
        <x:v>39</x:v>
      </x:c>
      <x:c r="H157" s="10" t="n">
        <x:f>ABS(G157-F157)</x:f>
        <x:v>8</x:v>
      </x:c>
      <x:c r="I157" s="10" t="n">
        <x:f>G157-F157</x:f>
        <x:v>-8</x:v>
      </x:c>
    </x:row>
    <x:row r="158" ht="20" customHeight="1">
      <x:c r="A158" s="1" t="str">
        <x:v>21181</x:v>
      </x:c>
      <x:c r="B158" s="10" t="n">
        <x:v>1</x:v>
      </x:c>
      <x:c r="C158" s="9" t="d">
        <x:v>2011-10-19T00:00:00.000Z</x:v>
      </x:c>
      <x:c r="D158" s="9" t="d">
        <x:v>2011-11-01T00:00:00.000Z</x:v>
      </x:c>
      <x:c r="E158" s="1" t="str">
        <x:v>seasonal_naive</x:v>
      </x:c>
      <x:c r="F158" s="10" t="n">
        <x:v>0</x:v>
      </x:c>
      <x:c r="G158" s="10" t="n">
        <x:v>19</x:v>
      </x:c>
      <x:c r="H158" s="10" t="n">
        <x:f>ABS(G158-F158)</x:f>
        <x:v>19</x:v>
      </x:c>
      <x:c r="I158" s="10" t="n">
        <x:f>G158-F158</x:f>
        <x:v>19</x:v>
      </x:c>
    </x:row>
    <x:row r="159" ht="20" customHeight="1">
      <x:c r="A159" s="1" t="str">
        <x:v>21181</x:v>
      </x:c>
      <x:c r="B159" s="10" t="n">
        <x:v>1</x:v>
      </x:c>
      <x:c r="C159" s="9" t="d">
        <x:v>2011-10-19T00:00:00.000Z</x:v>
      </x:c>
      <x:c r="D159" s="9" t="d">
        <x:v>2011-11-02T00:00:00.000Z</x:v>
      </x:c>
      <x:c r="E159" s="1" t="str">
        <x:v>seasonal_naive</x:v>
      </x:c>
      <x:c r="F159" s="10" t="n">
        <x:v>0</x:v>
      </x:c>
      <x:c r="G159" s="10" t="n">
        <x:v>20</x:v>
      </x:c>
      <x:c r="H159" s="10" t="n">
        <x:f>ABS(G159-F159)</x:f>
        <x:v>20</x:v>
      </x:c>
      <x:c r="I159" s="10" t="n">
        <x:f>G159-F159</x:f>
        <x:v>20</x:v>
      </x:c>
    </x:row>
    <x:row r="160" ht="20" customHeight="1">
      <x:c r="A160" s="1" t="str">
        <x:v>21181</x:v>
      </x:c>
      <x:c r="B160" s="10" t="n">
        <x:v>1</x:v>
      </x:c>
      <x:c r="C160" s="9" t="d">
        <x:v>2011-10-19T00:00:00.000Z</x:v>
      </x:c>
      <x:c r="D160" s="9" t="d">
        <x:v>2011-10-20T00:00:00.000Z</x:v>
      </x:c>
      <x:c r="E160" s="1" t="str">
        <x:v>ridge</x:v>
      </x:c>
      <x:c r="F160" s="10" t="n">
        <x:v>30</x:v>
      </x:c>
      <x:c r="G160" s="10" t="n">
        <x:v>27.4615929673</x:v>
      </x:c>
      <x:c r="H160" s="10" t="n">
        <x:f>ABS(G160-F160)</x:f>
        <x:v>2.5384070327000003</x:v>
      </x:c>
      <x:c r="I160" s="10" t="n">
        <x:f>G160-F160</x:f>
        <x:v>-2.5384070327000003</x:v>
      </x:c>
    </x:row>
    <x:row r="161" ht="20" customHeight="1">
      <x:c r="A161" s="1" t="str">
        <x:v>21181</x:v>
      </x:c>
      <x:c r="B161" s="10" t="n">
        <x:v>1</x:v>
      </x:c>
      <x:c r="C161" s="9" t="d">
        <x:v>2011-10-19T00:00:00.000Z</x:v>
      </x:c>
      <x:c r="D161" s="9" t="d">
        <x:v>2011-10-21T00:00:00.000Z</x:v>
      </x:c>
      <x:c r="E161" s="1" t="str">
        <x:v>ridge</x:v>
      </x:c>
      <x:c r="F161" s="10" t="n">
        <x:v>25</x:v>
      </x:c>
      <x:c r="G161" s="10" t="n">
        <x:v>26.0467525162</x:v>
      </x:c>
      <x:c r="H161" s="10" t="n">
        <x:f>ABS(G161-F161)</x:f>
        <x:v>1.0467525162000015</x:v>
      </x:c>
      <x:c r="I161" s="10" t="n">
        <x:f>G161-F161</x:f>
        <x:v>1.0467525162000015</x:v>
      </x:c>
    </x:row>
    <x:row r="162" ht="20" customHeight="1">
      <x:c r="A162" s="1" t="str">
        <x:v>21181</x:v>
      </x:c>
      <x:c r="B162" s="10" t="n">
        <x:v>1</x:v>
      </x:c>
      <x:c r="C162" s="9" t="d">
        <x:v>2011-10-19T00:00:00.000Z</x:v>
      </x:c>
      <x:c r="D162" s="9" t="d">
        <x:v>2011-10-22T00:00:00.000Z</x:v>
      </x:c>
      <x:c r="E162" s="1" t="str">
        <x:v>ridge</x:v>
      </x:c>
      <x:c r="F162" s="10" t="n">
        <x:v>0</x:v>
      </x:c>
      <x:c r="G162" s="10" t="n">
        <x:v>20.5721346703</x:v>
      </x:c>
      <x:c r="H162" s="10" t="n">
        <x:f>ABS(G162-F162)</x:f>
        <x:v>20.5721346703</x:v>
      </x:c>
      <x:c r="I162" s="10" t="n">
        <x:f>G162-F162</x:f>
        <x:v>20.5721346703</x:v>
      </x:c>
    </x:row>
    <x:row r="163" ht="20" customHeight="1">
      <x:c r="A163" s="1" t="str">
        <x:v>21181</x:v>
      </x:c>
      <x:c r="B163" s="10" t="n">
        <x:v>1</x:v>
      </x:c>
      <x:c r="C163" s="9" t="d">
        <x:v>2011-10-19T00:00:00.000Z</x:v>
      </x:c>
      <x:c r="D163" s="9" t="d">
        <x:v>2011-10-23T00:00:00.000Z</x:v>
      </x:c>
      <x:c r="E163" s="1" t="str">
        <x:v>ridge</x:v>
      </x:c>
      <x:c r="F163" s="10" t="n">
        <x:v>2</x:v>
      </x:c>
      <x:c r="G163" s="10" t="n">
        <x:v>28.8292264453</x:v>
      </x:c>
      <x:c r="H163" s="10" t="n">
        <x:f>ABS(G163-F163)</x:f>
        <x:v>26.8292264453</x:v>
      </x:c>
      <x:c r="I163" s="10" t="n">
        <x:f>G163-F163</x:f>
        <x:v>26.8292264453</x:v>
      </x:c>
    </x:row>
    <x:row r="164" ht="20" customHeight="1">
      <x:c r="A164" s="1" t="str">
        <x:v>21181</x:v>
      </x:c>
      <x:c r="B164" s="10" t="n">
        <x:v>1</x:v>
      </x:c>
      <x:c r="C164" s="9" t="d">
        <x:v>2011-10-19T00:00:00.000Z</x:v>
      </x:c>
      <x:c r="D164" s="9" t="d">
        <x:v>2011-10-24T00:00:00.000Z</x:v>
      </x:c>
      <x:c r="E164" s="1" t="str">
        <x:v>ridge</x:v>
      </x:c>
      <x:c r="F164" s="10" t="n">
        <x:v>500</x:v>
      </x:c>
      <x:c r="G164" s="10" t="n">
        <x:v>39.2372303333</x:v>
      </x:c>
      <x:c r="H164" s="10" t="n">
        <x:f>ABS(G164-F164)</x:f>
        <x:v>460.7627696667</x:v>
      </x:c>
      <x:c r="I164" s="10" t="n">
        <x:f>G164-F164</x:f>
        <x:v>-460.7627696667</x:v>
      </x:c>
    </x:row>
    <x:row r="165" ht="20" customHeight="1">
      <x:c r="A165" s="1" t="str">
        <x:v>21181</x:v>
      </x:c>
      <x:c r="B165" s="10" t="n">
        <x:v>1</x:v>
      </x:c>
      <x:c r="C165" s="9" t="d">
        <x:v>2011-10-19T00:00:00.000Z</x:v>
      </x:c>
      <x:c r="D165" s="9" t="d">
        <x:v>2011-10-25T00:00:00.000Z</x:v>
      </x:c>
      <x:c r="E165" s="1" t="str">
        <x:v>ridge</x:v>
      </x:c>
      <x:c r="F165" s="10" t="n">
        <x:v>29</x:v>
      </x:c>
      <x:c r="G165" s="10" t="n">
        <x:v>45.533795717</x:v>
      </x:c>
      <x:c r="H165" s="10" t="n">
        <x:f>ABS(G165-F165)</x:f>
        <x:v>16.533795716999997</x:v>
      </x:c>
      <x:c r="I165" s="10" t="n">
        <x:f>G165-F165</x:f>
        <x:v>16.533795716999997</x:v>
      </x:c>
    </x:row>
    <x:row r="166" ht="20" customHeight="1">
      <x:c r="A166" s="1" t="str">
        <x:v>21181</x:v>
      </x:c>
      <x:c r="B166" s="10" t="n">
        <x:v>1</x:v>
      </x:c>
      <x:c r="C166" s="9" t="d">
        <x:v>2011-10-19T00:00:00.000Z</x:v>
      </x:c>
      <x:c r="D166" s="9" t="d">
        <x:v>2011-10-26T00:00:00.000Z</x:v>
      </x:c>
      <x:c r="E166" s="1" t="str">
        <x:v>ridge</x:v>
      </x:c>
      <x:c r="F166" s="10" t="n">
        <x:v>127</x:v>
      </x:c>
      <x:c r="G166" s="10" t="n">
        <x:v>44.777418236</x:v>
      </x:c>
      <x:c r="H166" s="10" t="n">
        <x:f>ABS(G166-F166)</x:f>
        <x:v>82.222581764</x:v>
      </x:c>
      <x:c r="I166" s="10" t="n">
        <x:f>G166-F166</x:f>
        <x:v>-82.222581764</x:v>
      </x:c>
    </x:row>
    <x:row r="167" ht="20" customHeight="1">
      <x:c r="A167" s="1" t="str">
        <x:v>21181</x:v>
      </x:c>
      <x:c r="B167" s="10" t="n">
        <x:v>1</x:v>
      </x:c>
      <x:c r="C167" s="9" t="d">
        <x:v>2011-10-19T00:00:00.000Z</x:v>
      </x:c>
      <x:c r="D167" s="9" t="d">
        <x:v>2011-10-27T00:00:00.000Z</x:v>
      </x:c>
      <x:c r="E167" s="1" t="str">
        <x:v>ridge</x:v>
      </x:c>
      <x:c r="F167" s="10" t="n">
        <x:v>101</x:v>
      </x:c>
      <x:c r="G167" s="10" t="n">
        <x:v>35.511630902</x:v>
      </x:c>
      <x:c r="H167" s="10" t="n">
        <x:f>ABS(G167-F167)</x:f>
        <x:v>65.48836909799999</x:v>
      </x:c>
      <x:c r="I167" s="10" t="n">
        <x:f>G167-F167</x:f>
        <x:v>-65.48836909799999</x:v>
      </x:c>
    </x:row>
    <x:row r="168" ht="20" customHeight="1">
      <x:c r="A168" s="1" t="str">
        <x:v>21181</x:v>
      </x:c>
      <x:c r="B168" s="10" t="n">
        <x:v>1</x:v>
      </x:c>
      <x:c r="C168" s="9" t="d">
        <x:v>2011-10-19T00:00:00.000Z</x:v>
      </x:c>
      <x:c r="D168" s="9" t="d">
        <x:v>2011-10-28T00:00:00.000Z</x:v>
      </x:c>
      <x:c r="E168" s="1" t="str">
        <x:v>ridge</x:v>
      </x:c>
      <x:c r="F168" s="10" t="n">
        <x:v>121</x:v>
      </x:c>
      <x:c r="G168" s="10" t="n">
        <x:v>23.0208395339</x:v>
      </x:c>
      <x:c r="H168" s="10" t="n">
        <x:f>ABS(G168-F168)</x:f>
        <x:v>97.9791604661</x:v>
      </x:c>
      <x:c r="I168" s="10" t="n">
        <x:f>G168-F168</x:f>
        <x:v>-97.9791604661</x:v>
      </x:c>
    </x:row>
    <x:row r="169" ht="20" customHeight="1">
      <x:c r="A169" s="1" t="str">
        <x:v>21181</x:v>
      </x:c>
      <x:c r="B169" s="10" t="n">
        <x:v>1</x:v>
      </x:c>
      <x:c r="C169" s="9" t="d">
        <x:v>2011-10-19T00:00:00.000Z</x:v>
      </x:c>
      <x:c r="D169" s="9" t="d">
        <x:v>2011-10-29T00:00:00.000Z</x:v>
      </x:c>
      <x:c r="E169" s="1" t="str">
        <x:v>ridge</x:v>
      </x:c>
      <x:c r="F169" s="10" t="n">
        <x:v>0</x:v>
      </x:c>
      <x:c r="G169" s="10" t="n">
        <x:v>22.1930298016</x:v>
      </x:c>
      <x:c r="H169" s="10" t="n">
        <x:f>ABS(G169-F169)</x:f>
        <x:v>22.1930298016</x:v>
      </x:c>
      <x:c r="I169" s="10" t="n">
        <x:f>G169-F169</x:f>
        <x:v>22.1930298016</x:v>
      </x:c>
    </x:row>
    <x:row r="170" ht="20" customHeight="1">
      <x:c r="A170" s="1" t="str">
        <x:v>21181</x:v>
      </x:c>
      <x:c r="B170" s="10" t="n">
        <x:v>1</x:v>
      </x:c>
      <x:c r="C170" s="9" t="d">
        <x:v>2011-10-19T00:00:00.000Z</x:v>
      </x:c>
      <x:c r="D170" s="9" t="d">
        <x:v>2011-10-30T00:00:00.000Z</x:v>
      </x:c>
      <x:c r="E170" s="1" t="str">
        <x:v>ridge</x:v>
      </x:c>
      <x:c r="F170" s="10" t="n">
        <x:v>30</x:v>
      </x:c>
      <x:c r="G170" s="10" t="n">
        <x:v>30.6642014821</x:v>
      </x:c>
      <x:c r="H170" s="10" t="n">
        <x:f>ABS(G170-F170)</x:f>
        <x:v>0.6642014821000011</x:v>
      </x:c>
      <x:c r="I170" s="10" t="n">
        <x:f>G170-F170</x:f>
        <x:v>0.6642014821000011</x:v>
      </x:c>
    </x:row>
    <x:row r="171" ht="20" customHeight="1">
      <x:c r="A171" s="1" t="str">
        <x:v>21181</x:v>
      </x:c>
      <x:c r="B171" s="10" t="n">
        <x:v>1</x:v>
      </x:c>
      <x:c r="C171" s="9" t="d">
        <x:v>2011-10-19T00:00:00.000Z</x:v>
      </x:c>
      <x:c r="D171" s="9" t="d">
        <x:v>2011-10-31T00:00:00.000Z</x:v>
      </x:c>
      <x:c r="E171" s="1" t="str">
        <x:v>ridge</x:v>
      </x:c>
      <x:c r="F171" s="10" t="n">
        <x:v>47</x:v>
      </x:c>
      <x:c r="G171" s="10" t="n">
        <x:v>42.8655442945</x:v>
      </x:c>
      <x:c r="H171" s="10" t="n">
        <x:f>ABS(G171-F171)</x:f>
        <x:v>4.134455705500002</x:v>
      </x:c>
      <x:c r="I171" s="10" t="n">
        <x:f>G171-F171</x:f>
        <x:v>-4.134455705500002</x:v>
      </x:c>
    </x:row>
    <x:row r="172" ht="20" customHeight="1">
      <x:c r="A172" s="1" t="str">
        <x:v>21181</x:v>
      </x:c>
      <x:c r="B172" s="10" t="n">
        <x:v>1</x:v>
      </x:c>
      <x:c r="C172" s="9" t="d">
        <x:v>2011-10-19T00:00:00.000Z</x:v>
      </x:c>
      <x:c r="D172" s="9" t="d">
        <x:v>2011-11-01T00:00:00.000Z</x:v>
      </x:c>
      <x:c r="E172" s="1" t="str">
        <x:v>ridge</x:v>
      </x:c>
      <x:c r="F172" s="10" t="n">
        <x:v>0</x:v>
      </x:c>
      <x:c r="G172" s="10" t="n">
        <x:v>49.1955818894</x:v>
      </x:c>
      <x:c r="H172" s="10" t="n">
        <x:f>ABS(G172-F172)</x:f>
        <x:v>49.1955818894</x:v>
      </x:c>
      <x:c r="I172" s="10" t="n">
        <x:f>G172-F172</x:f>
        <x:v>49.1955818894</x:v>
      </x:c>
    </x:row>
    <x:row r="173" ht="20" customHeight="1">
      <x:c r="A173" s="1" t="str">
        <x:v>21181</x:v>
      </x:c>
      <x:c r="B173" s="10" t="n">
        <x:v>1</x:v>
      </x:c>
      <x:c r="C173" s="9" t="d">
        <x:v>2011-10-19T00:00:00.000Z</x:v>
      </x:c>
      <x:c r="D173" s="9" t="d">
        <x:v>2011-11-02T00:00:00.000Z</x:v>
      </x:c>
      <x:c r="E173" s="1" t="str">
        <x:v>ridge</x:v>
      </x:c>
      <x:c r="F173" s="10" t="n">
        <x:v>0</x:v>
      </x:c>
      <x:c r="G173" s="10" t="n">
        <x:v>46.0517653024</x:v>
      </x:c>
      <x:c r="H173" s="10" t="n">
        <x:f>ABS(G173-F173)</x:f>
        <x:v>46.0517653024</x:v>
      </x:c>
      <x:c r="I173" s="10" t="n">
        <x:f>G173-F173</x:f>
        <x:v>46.0517653024</x:v>
      </x:c>
    </x:row>
    <x:row r="174" ht="20" customHeight="1">
      <x:c r="A174" s="1" t="str">
        <x:v>21181</x:v>
      </x:c>
      <x:c r="B174" s="10" t="n">
        <x:v>2</x:v>
      </x:c>
      <x:c r="C174" s="9" t="d">
        <x:v>2011-11-02T00:00:00.000Z</x:v>
      </x:c>
      <x:c r="D174" s="9" t="d">
        <x:v>2011-11-03T00:00:00.000Z</x:v>
      </x:c>
      <x:c r="E174" s="1" t="str">
        <x:v>naive</x:v>
      </x:c>
      <x:c r="F174" s="10" t="n">
        <x:v>0</x:v>
      </x:c>
      <x:c r="G174" s="10" t="n">
        <x:v>0</x:v>
      </x:c>
      <x:c r="H174" s="10" t="n">
        <x:f>ABS(G174-F174)</x:f>
        <x:v>0</x:v>
      </x:c>
      <x:c r="I174" s="10" t="n">
        <x:f>G174-F174</x:f>
        <x:v>0</x:v>
      </x:c>
    </x:row>
    <x:row r="175" ht="20" customHeight="1">
      <x:c r="A175" s="1" t="str">
        <x:v>21181</x:v>
      </x:c>
      <x:c r="B175" s="10" t="n">
        <x:v>2</x:v>
      </x:c>
      <x:c r="C175" s="9" t="d">
        <x:v>2011-11-02T00:00:00.000Z</x:v>
      </x:c>
      <x:c r="D175" s="9" t="d">
        <x:v>2011-11-04T00:00:00.000Z</x:v>
      </x:c>
      <x:c r="E175" s="1" t="str">
        <x:v>naive</x:v>
      </x:c>
      <x:c r="F175" s="10" t="n">
        <x:v>0</x:v>
      </x:c>
      <x:c r="G175" s="10" t="n">
        <x:v>0</x:v>
      </x:c>
      <x:c r="H175" s="10" t="n">
        <x:f>ABS(G175-F175)</x:f>
        <x:v>0</x:v>
      </x:c>
      <x:c r="I175" s="10" t="n">
        <x:f>G175-F175</x:f>
        <x:v>0</x:v>
      </x:c>
    </x:row>
    <x:row r="176" ht="20" customHeight="1">
      <x:c r="A176" s="1" t="str">
        <x:v>21181</x:v>
      </x:c>
      <x:c r="B176" s="10" t="n">
        <x:v>2</x:v>
      </x:c>
      <x:c r="C176" s="9" t="d">
        <x:v>2011-11-02T00:00:00.000Z</x:v>
      </x:c>
      <x:c r="D176" s="9" t="d">
        <x:v>2011-11-05T00:00:00.000Z</x:v>
      </x:c>
      <x:c r="E176" s="1" t="str">
        <x:v>naive</x:v>
      </x:c>
      <x:c r="F176" s="10" t="n">
        <x:v>0</x:v>
      </x:c>
      <x:c r="G176" s="10" t="n">
        <x:v>0</x:v>
      </x:c>
      <x:c r="H176" s="10" t="n">
        <x:f>ABS(G176-F176)</x:f>
        <x:v>0</x:v>
      </x:c>
      <x:c r="I176" s="10" t="n">
        <x:f>G176-F176</x:f>
        <x:v>0</x:v>
      </x:c>
    </x:row>
    <x:row r="177" ht="20" customHeight="1">
      <x:c r="A177" s="1" t="str">
        <x:v>21181</x:v>
      </x:c>
      <x:c r="B177" s="10" t="n">
        <x:v>2</x:v>
      </x:c>
      <x:c r="C177" s="9" t="d">
        <x:v>2011-11-02T00:00:00.000Z</x:v>
      </x:c>
      <x:c r="D177" s="9" t="d">
        <x:v>2011-11-06T00:00:00.000Z</x:v>
      </x:c>
      <x:c r="E177" s="1" t="str">
        <x:v>naive</x:v>
      </x:c>
      <x:c r="F177" s="10" t="n">
        <x:v>0</x:v>
      </x:c>
      <x:c r="G177" s="10" t="n">
        <x:v>0</x:v>
      </x:c>
      <x:c r="H177" s="10" t="n">
        <x:f>ABS(G177-F177)</x:f>
        <x:v>0</x:v>
      </x:c>
      <x:c r="I177" s="10" t="n">
        <x:f>G177-F177</x:f>
        <x:v>0</x:v>
      </x:c>
    </x:row>
    <x:row r="178" ht="20" customHeight="1">
      <x:c r="A178" s="1" t="str">
        <x:v>21181</x:v>
      </x:c>
      <x:c r="B178" s="10" t="n">
        <x:v>2</x:v>
      </x:c>
      <x:c r="C178" s="9" t="d">
        <x:v>2011-11-02T00:00:00.000Z</x:v>
      </x:c>
      <x:c r="D178" s="9" t="d">
        <x:v>2011-11-07T00:00:00.000Z</x:v>
      </x:c>
      <x:c r="E178" s="1" t="str">
        <x:v>naive</x:v>
      </x:c>
      <x:c r="F178" s="10" t="n">
        <x:v>1</x:v>
      </x:c>
      <x:c r="G178" s="10" t="n">
        <x:v>0</x:v>
      </x:c>
      <x:c r="H178" s="10" t="n">
        <x:f>ABS(G178-F178)</x:f>
        <x:v>1</x:v>
      </x:c>
      <x:c r="I178" s="10" t="n">
        <x:f>G178-F178</x:f>
        <x:v>-1</x:v>
      </x:c>
    </x:row>
    <x:row r="179" ht="20" customHeight="1">
      <x:c r="A179" s="1" t="str">
        <x:v>21181</x:v>
      </x:c>
      <x:c r="B179" s="10" t="n">
        <x:v>2</x:v>
      </x:c>
      <x:c r="C179" s="9" t="d">
        <x:v>2011-11-02T00:00:00.000Z</x:v>
      </x:c>
      <x:c r="D179" s="9" t="d">
        <x:v>2011-11-08T00:00:00.000Z</x:v>
      </x:c>
      <x:c r="E179" s="1" t="str">
        <x:v>naive</x:v>
      </x:c>
      <x:c r="F179" s="10" t="n">
        <x:v>6</x:v>
      </x:c>
      <x:c r="G179" s="10" t="n">
        <x:v>0</x:v>
      </x:c>
      <x:c r="H179" s="10" t="n">
        <x:f>ABS(G179-F179)</x:f>
        <x:v>6</x:v>
      </x:c>
      <x:c r="I179" s="10" t="n">
        <x:f>G179-F179</x:f>
        <x:v>-6</x:v>
      </x:c>
    </x:row>
    <x:row r="180" ht="20" customHeight="1">
      <x:c r="A180" s="1" t="str">
        <x:v>21181</x:v>
      </x:c>
      <x:c r="B180" s="10" t="n">
        <x:v>2</x:v>
      </x:c>
      <x:c r="C180" s="9" t="d">
        <x:v>2011-11-02T00:00:00.000Z</x:v>
      </x:c>
      <x:c r="D180" s="9" t="d">
        <x:v>2011-11-09T00:00:00.000Z</x:v>
      </x:c>
      <x:c r="E180" s="1" t="str">
        <x:v>naive</x:v>
      </x:c>
      <x:c r="F180" s="10" t="n">
        <x:v>3</x:v>
      </x:c>
      <x:c r="G180" s="10" t="n">
        <x:v>0</x:v>
      </x:c>
      <x:c r="H180" s="10" t="n">
        <x:f>ABS(G180-F180)</x:f>
        <x:v>3</x:v>
      </x:c>
      <x:c r="I180" s="10" t="n">
        <x:f>G180-F180</x:f>
        <x:v>-3</x:v>
      </x:c>
    </x:row>
    <x:row r="181" ht="20" customHeight="1">
      <x:c r="A181" s="1" t="str">
        <x:v>21181</x:v>
      </x:c>
      <x:c r="B181" s="10" t="n">
        <x:v>2</x:v>
      </x:c>
      <x:c r="C181" s="9" t="d">
        <x:v>2011-11-02T00:00:00.000Z</x:v>
      </x:c>
      <x:c r="D181" s="9" t="d">
        <x:v>2011-11-10T00:00:00.000Z</x:v>
      </x:c>
      <x:c r="E181" s="1" t="str">
        <x:v>naive</x:v>
      </x:c>
      <x:c r="F181" s="10" t="n">
        <x:v>0</x:v>
      </x:c>
      <x:c r="G181" s="10" t="n">
        <x:v>0</x:v>
      </x:c>
      <x:c r="H181" s="10" t="n">
        <x:f>ABS(G181-F181)</x:f>
        <x:v>0</x:v>
      </x:c>
      <x:c r="I181" s="10" t="n">
        <x:f>G181-F181</x:f>
        <x:v>0</x:v>
      </x:c>
    </x:row>
    <x:row r="182" ht="20" customHeight="1">
      <x:c r="A182" s="1" t="str">
        <x:v>21181</x:v>
      </x:c>
      <x:c r="B182" s="10" t="n">
        <x:v>2</x:v>
      </x:c>
      <x:c r="C182" s="9" t="d">
        <x:v>2011-11-02T00:00:00.000Z</x:v>
      </x:c>
      <x:c r="D182" s="9" t="d">
        <x:v>2011-11-11T00:00:00.000Z</x:v>
      </x:c>
      <x:c r="E182" s="1" t="str">
        <x:v>naive</x:v>
      </x:c>
      <x:c r="F182" s="10" t="n">
        <x:v>0</x:v>
      </x:c>
      <x:c r="G182" s="10" t="n">
        <x:v>0</x:v>
      </x:c>
      <x:c r="H182" s="10" t="n">
        <x:f>ABS(G182-F182)</x:f>
        <x:v>0</x:v>
      </x:c>
      <x:c r="I182" s="10" t="n">
        <x:f>G182-F182</x:f>
        <x:v>0</x:v>
      </x:c>
    </x:row>
    <x:row r="183" ht="20" customHeight="1">
      <x:c r="A183" s="1" t="str">
        <x:v>21181</x:v>
      </x:c>
      <x:c r="B183" s="10" t="n">
        <x:v>2</x:v>
      </x:c>
      <x:c r="C183" s="9" t="d">
        <x:v>2011-11-02T00:00:00.000Z</x:v>
      </x:c>
      <x:c r="D183" s="9" t="d">
        <x:v>2011-11-12T00:00:00.000Z</x:v>
      </x:c>
      <x:c r="E183" s="1" t="str">
        <x:v>naive</x:v>
      </x:c>
      <x:c r="F183" s="10" t="n">
        <x:v>0</x:v>
      </x:c>
      <x:c r="G183" s="10" t="n">
        <x:v>0</x:v>
      </x:c>
      <x:c r="H183" s="10" t="n">
        <x:f>ABS(G183-F183)</x:f>
        <x:v>0</x:v>
      </x:c>
      <x:c r="I183" s="10" t="n">
        <x:f>G183-F183</x:f>
        <x:v>0</x:v>
      </x:c>
    </x:row>
    <x:row r="184" ht="20" customHeight="1">
      <x:c r="A184" s="1" t="str">
        <x:v>21181</x:v>
      </x:c>
      <x:c r="B184" s="10" t="n">
        <x:v>2</x:v>
      </x:c>
      <x:c r="C184" s="9" t="d">
        <x:v>2011-11-02T00:00:00.000Z</x:v>
      </x:c>
      <x:c r="D184" s="9" t="d">
        <x:v>2011-11-13T00:00:00.000Z</x:v>
      </x:c>
      <x:c r="E184" s="1" t="str">
        <x:v>naive</x:v>
      </x:c>
      <x:c r="F184" s="10" t="n">
        <x:v>2</x:v>
      </x:c>
      <x:c r="G184" s="10" t="n">
        <x:v>0</x:v>
      </x:c>
      <x:c r="H184" s="10" t="n">
        <x:f>ABS(G184-F184)</x:f>
        <x:v>2</x:v>
      </x:c>
      <x:c r="I184" s="10" t="n">
        <x:f>G184-F184</x:f>
        <x:v>-2</x:v>
      </x:c>
    </x:row>
    <x:row r="185" ht="20" customHeight="1">
      <x:c r="A185" s="1" t="str">
        <x:v>21181</x:v>
      </x:c>
      <x:c r="B185" s="10" t="n">
        <x:v>2</x:v>
      </x:c>
      <x:c r="C185" s="9" t="d">
        <x:v>2011-11-02T00:00:00.000Z</x:v>
      </x:c>
      <x:c r="D185" s="9" t="d">
        <x:v>2011-11-14T00:00:00.000Z</x:v>
      </x:c>
      <x:c r="E185" s="1" t="str">
        <x:v>naive</x:v>
      </x:c>
      <x:c r="F185" s="10" t="n">
        <x:v>192</x:v>
      </x:c>
      <x:c r="G185" s="10" t="n">
        <x:v>0</x:v>
      </x:c>
      <x:c r="H185" s="10" t="n">
        <x:f>ABS(G185-F185)</x:f>
        <x:v>192</x:v>
      </x:c>
      <x:c r="I185" s="10" t="n">
        <x:f>G185-F185</x:f>
        <x:v>-192</x:v>
      </x:c>
    </x:row>
    <x:row r="186" ht="20" customHeight="1">
      <x:c r="A186" s="1" t="str">
        <x:v>21181</x:v>
      </x:c>
      <x:c r="B186" s="10" t="n">
        <x:v>2</x:v>
      </x:c>
      <x:c r="C186" s="9" t="d">
        <x:v>2011-11-02T00:00:00.000Z</x:v>
      </x:c>
      <x:c r="D186" s="9" t="d">
        <x:v>2011-11-15T00:00:00.000Z</x:v>
      </x:c>
      <x:c r="E186" s="1" t="str">
        <x:v>naive</x:v>
      </x:c>
      <x:c r="F186" s="10" t="n">
        <x:v>1</x:v>
      </x:c>
      <x:c r="G186" s="10" t="n">
        <x:v>0</x:v>
      </x:c>
      <x:c r="H186" s="10" t="n">
        <x:f>ABS(G186-F186)</x:f>
        <x:v>1</x:v>
      </x:c>
      <x:c r="I186" s="10" t="n">
        <x:f>G186-F186</x:f>
        <x:v>-1</x:v>
      </x:c>
    </x:row>
    <x:row r="187" ht="20" customHeight="1">
      <x:c r="A187" s="1" t="str">
        <x:v>21181</x:v>
      </x:c>
      <x:c r="B187" s="10" t="n">
        <x:v>2</x:v>
      </x:c>
      <x:c r="C187" s="9" t="d">
        <x:v>2011-11-02T00:00:00.000Z</x:v>
      </x:c>
      <x:c r="D187" s="9" t="d">
        <x:v>2011-11-16T00:00:00.000Z</x:v>
      </x:c>
      <x:c r="E187" s="1" t="str">
        <x:v>naive</x:v>
      </x:c>
      <x:c r="F187" s="10" t="n">
        <x:v>5</x:v>
      </x:c>
      <x:c r="G187" s="10" t="n">
        <x:v>0</x:v>
      </x:c>
      <x:c r="H187" s="10" t="n">
        <x:f>ABS(G187-F187)</x:f>
        <x:v>5</x:v>
      </x:c>
      <x:c r="I187" s="10" t="n">
        <x:f>G187-F187</x:f>
        <x:v>-5</x:v>
      </x:c>
    </x:row>
    <x:row r="188" ht="20" customHeight="1">
      <x:c r="A188" s="1" t="str">
        <x:v>21181</x:v>
      </x:c>
      <x:c r="B188" s="10" t="n">
        <x:v>2</x:v>
      </x:c>
      <x:c r="C188" s="9" t="d">
        <x:v>2011-11-02T00:00:00.000Z</x:v>
      </x:c>
      <x:c r="D188" s="9" t="d">
        <x:v>2011-11-03T00:00:00.000Z</x:v>
      </x:c>
      <x:c r="E188" s="1" t="str">
        <x:v>seasonal_naive</x:v>
      </x:c>
      <x:c r="F188" s="10" t="n">
        <x:v>0</x:v>
      </x:c>
      <x:c r="G188" s="10" t="n">
        <x:v>101</x:v>
      </x:c>
      <x:c r="H188" s="10" t="n">
        <x:f>ABS(G188-F188)</x:f>
        <x:v>101</x:v>
      </x:c>
      <x:c r="I188" s="10" t="n">
        <x:f>G188-F188</x:f>
        <x:v>101</x:v>
      </x:c>
    </x:row>
    <x:row r="189" ht="20" customHeight="1">
      <x:c r="A189" s="1" t="str">
        <x:v>21181</x:v>
      </x:c>
      <x:c r="B189" s="10" t="n">
        <x:v>2</x:v>
      </x:c>
      <x:c r="C189" s="9" t="d">
        <x:v>2011-11-02T00:00:00.000Z</x:v>
      </x:c>
      <x:c r="D189" s="9" t="d">
        <x:v>2011-11-04T00:00:00.000Z</x:v>
      </x:c>
      <x:c r="E189" s="1" t="str">
        <x:v>seasonal_naive</x:v>
      </x:c>
      <x:c r="F189" s="10" t="n">
        <x:v>0</x:v>
      </x:c>
      <x:c r="G189" s="10" t="n">
        <x:v>121</x:v>
      </x:c>
      <x:c r="H189" s="10" t="n">
        <x:f>ABS(G189-F189)</x:f>
        <x:v>121</x:v>
      </x:c>
      <x:c r="I189" s="10" t="n">
        <x:f>G189-F189</x:f>
        <x:v>121</x:v>
      </x:c>
    </x:row>
    <x:row r="190" ht="20" customHeight="1">
      <x:c r="A190" s="1" t="str">
        <x:v>21181</x:v>
      </x:c>
      <x:c r="B190" s="10" t="n">
        <x:v>2</x:v>
      </x:c>
      <x:c r="C190" s="9" t="d">
        <x:v>2011-11-02T00:00:00.000Z</x:v>
      </x:c>
      <x:c r="D190" s="9" t="d">
        <x:v>2011-11-05T00:00:00.000Z</x:v>
      </x:c>
      <x:c r="E190" s="1" t="str">
        <x:v>seasonal_naive</x:v>
      </x:c>
      <x:c r="F190" s="10" t="n">
        <x:v>0</x:v>
      </x:c>
      <x:c r="G190" s="10" t="n">
        <x:v>0</x:v>
      </x:c>
      <x:c r="H190" s="10" t="n">
        <x:f>ABS(G190-F190)</x:f>
        <x:v>0</x:v>
      </x:c>
      <x:c r="I190" s="10" t="n">
        <x:f>G190-F190</x:f>
        <x:v>0</x:v>
      </x:c>
    </x:row>
    <x:row r="191" ht="20" customHeight="1">
      <x:c r="A191" s="1" t="str">
        <x:v>21181</x:v>
      </x:c>
      <x:c r="B191" s="10" t="n">
        <x:v>2</x:v>
      </x:c>
      <x:c r="C191" s="9" t="d">
        <x:v>2011-11-02T00:00:00.000Z</x:v>
      </x:c>
      <x:c r="D191" s="9" t="d">
        <x:v>2011-11-06T00:00:00.000Z</x:v>
      </x:c>
      <x:c r="E191" s="1" t="str">
        <x:v>seasonal_naive</x:v>
      </x:c>
      <x:c r="F191" s="10" t="n">
        <x:v>0</x:v>
      </x:c>
      <x:c r="G191" s="10" t="n">
        <x:v>30</x:v>
      </x:c>
      <x:c r="H191" s="10" t="n">
        <x:f>ABS(G191-F191)</x:f>
        <x:v>30</x:v>
      </x:c>
      <x:c r="I191" s="10" t="n">
        <x:f>G191-F191</x:f>
        <x:v>30</x:v>
      </x:c>
    </x:row>
    <x:row r="192" ht="20" customHeight="1">
      <x:c r="A192" s="1" t="str">
        <x:v>21181</x:v>
      </x:c>
      <x:c r="B192" s="10" t="n">
        <x:v>2</x:v>
      </x:c>
      <x:c r="C192" s="9" t="d">
        <x:v>2011-11-02T00:00:00.000Z</x:v>
      </x:c>
      <x:c r="D192" s="9" t="d">
        <x:v>2011-11-07T00:00:00.000Z</x:v>
      </x:c>
      <x:c r="E192" s="1" t="str">
        <x:v>seasonal_naive</x:v>
      </x:c>
      <x:c r="F192" s="10" t="n">
        <x:v>1</x:v>
      </x:c>
      <x:c r="G192" s="10" t="n">
        <x:v>47</x:v>
      </x:c>
      <x:c r="H192" s="10" t="n">
        <x:f>ABS(G192-F192)</x:f>
        <x:v>46</x:v>
      </x:c>
      <x:c r="I192" s="10" t="n">
        <x:f>G192-F192</x:f>
        <x:v>46</x:v>
      </x:c>
    </x:row>
    <x:row r="193" ht="20" customHeight="1">
      <x:c r="A193" s="1" t="str">
        <x:v>21181</x:v>
      </x:c>
      <x:c r="B193" s="10" t="n">
        <x:v>2</x:v>
      </x:c>
      <x:c r="C193" s="9" t="d">
        <x:v>2011-11-02T00:00:00.000Z</x:v>
      </x:c>
      <x:c r="D193" s="9" t="d">
        <x:v>2011-11-08T00:00:00.000Z</x:v>
      </x:c>
      <x:c r="E193" s="1" t="str">
        <x:v>seasonal_naive</x:v>
      </x:c>
      <x:c r="F193" s="10" t="n">
        <x:v>6</x:v>
      </x:c>
      <x:c r="G193" s="10" t="n">
        <x:v>0</x:v>
      </x:c>
      <x:c r="H193" s="10" t="n">
        <x:f>ABS(G193-F193)</x:f>
        <x:v>6</x:v>
      </x:c>
      <x:c r="I193" s="10" t="n">
        <x:f>G193-F193</x:f>
        <x:v>-6</x:v>
      </x:c>
    </x:row>
    <x:row r="194" ht="20" customHeight="1">
      <x:c r="A194" s="1" t="str">
        <x:v>21181</x:v>
      </x:c>
      <x:c r="B194" s="10" t="n">
        <x:v>2</x:v>
      </x:c>
      <x:c r="C194" s="9" t="d">
        <x:v>2011-11-02T00:00:00.000Z</x:v>
      </x:c>
      <x:c r="D194" s="9" t="d">
        <x:v>2011-11-09T00:00:00.000Z</x:v>
      </x:c>
      <x:c r="E194" s="1" t="str">
        <x:v>seasonal_naive</x:v>
      </x:c>
      <x:c r="F194" s="10" t="n">
        <x:v>3</x:v>
      </x:c>
      <x:c r="G194" s="10" t="n">
        <x:v>0</x:v>
      </x:c>
      <x:c r="H194" s="10" t="n">
        <x:f>ABS(G194-F194)</x:f>
        <x:v>3</x:v>
      </x:c>
      <x:c r="I194" s="10" t="n">
        <x:f>G194-F194</x:f>
        <x:v>-3</x:v>
      </x:c>
    </x:row>
    <x:row r="195" ht="20" customHeight="1">
      <x:c r="A195" s="1" t="str">
        <x:v>21181</x:v>
      </x:c>
      <x:c r="B195" s="10" t="n">
        <x:v>2</x:v>
      </x:c>
      <x:c r="C195" s="9" t="d">
        <x:v>2011-11-02T00:00:00.000Z</x:v>
      </x:c>
      <x:c r="D195" s="9" t="d">
        <x:v>2011-11-10T00:00:00.000Z</x:v>
      </x:c>
      <x:c r="E195" s="1" t="str">
        <x:v>seasonal_naive</x:v>
      </x:c>
      <x:c r="F195" s="10" t="n">
        <x:v>0</x:v>
      </x:c>
      <x:c r="G195" s="10" t="n">
        <x:v>101</x:v>
      </x:c>
      <x:c r="H195" s="10" t="n">
        <x:f>ABS(G195-F195)</x:f>
        <x:v>101</x:v>
      </x:c>
      <x:c r="I195" s="10" t="n">
        <x:f>G195-F195</x:f>
        <x:v>101</x:v>
      </x:c>
    </x:row>
    <x:row r="196" ht="20" customHeight="1">
      <x:c r="A196" s="1" t="str">
        <x:v>21181</x:v>
      </x:c>
      <x:c r="B196" s="10" t="n">
        <x:v>2</x:v>
      </x:c>
      <x:c r="C196" s="9" t="d">
        <x:v>2011-11-02T00:00:00.000Z</x:v>
      </x:c>
      <x:c r="D196" s="9" t="d">
        <x:v>2011-11-11T00:00:00.000Z</x:v>
      </x:c>
      <x:c r="E196" s="1" t="str">
        <x:v>seasonal_naive</x:v>
      </x:c>
      <x:c r="F196" s="10" t="n">
        <x:v>0</x:v>
      </x:c>
      <x:c r="G196" s="10" t="n">
        <x:v>121</x:v>
      </x:c>
      <x:c r="H196" s="10" t="n">
        <x:f>ABS(G196-F196)</x:f>
        <x:v>121</x:v>
      </x:c>
      <x:c r="I196" s="10" t="n">
        <x:f>G196-F196</x:f>
        <x:v>121</x:v>
      </x:c>
    </x:row>
    <x:row r="197" ht="20" customHeight="1">
      <x:c r="A197" s="1" t="str">
        <x:v>21181</x:v>
      </x:c>
      <x:c r="B197" s="10" t="n">
        <x:v>2</x:v>
      </x:c>
      <x:c r="C197" s="9" t="d">
        <x:v>2011-11-02T00:00:00.000Z</x:v>
      </x:c>
      <x:c r="D197" s="9" t="d">
        <x:v>2011-11-12T00:00:00.000Z</x:v>
      </x:c>
      <x:c r="E197" s="1" t="str">
        <x:v>seasonal_naive</x:v>
      </x:c>
      <x:c r="F197" s="10" t="n">
        <x:v>0</x:v>
      </x:c>
      <x:c r="G197" s="10" t="n">
        <x:v>0</x:v>
      </x:c>
      <x:c r="H197" s="10" t="n">
        <x:f>ABS(G197-F197)</x:f>
        <x:v>0</x:v>
      </x:c>
      <x:c r="I197" s="10" t="n">
        <x:f>G197-F197</x:f>
        <x:v>0</x:v>
      </x:c>
    </x:row>
    <x:row r="198" ht="20" customHeight="1">
      <x:c r="A198" s="1" t="str">
        <x:v>21181</x:v>
      </x:c>
      <x:c r="B198" s="10" t="n">
        <x:v>2</x:v>
      </x:c>
      <x:c r="C198" s="9" t="d">
        <x:v>2011-11-02T00:00:00.000Z</x:v>
      </x:c>
      <x:c r="D198" s="9" t="d">
        <x:v>2011-11-13T00:00:00.000Z</x:v>
      </x:c>
      <x:c r="E198" s="1" t="str">
        <x:v>seasonal_naive</x:v>
      </x:c>
      <x:c r="F198" s="10" t="n">
        <x:v>2</x:v>
      </x:c>
      <x:c r="G198" s="10" t="n">
        <x:v>30</x:v>
      </x:c>
      <x:c r="H198" s="10" t="n">
        <x:f>ABS(G198-F198)</x:f>
        <x:v>28</x:v>
      </x:c>
      <x:c r="I198" s="10" t="n">
        <x:f>G198-F198</x:f>
        <x:v>28</x:v>
      </x:c>
    </x:row>
    <x:row r="199" ht="20" customHeight="1">
      <x:c r="A199" s="1" t="str">
        <x:v>21181</x:v>
      </x:c>
      <x:c r="B199" s="10" t="n">
        <x:v>2</x:v>
      </x:c>
      <x:c r="C199" s="9" t="d">
        <x:v>2011-11-02T00:00:00.000Z</x:v>
      </x:c>
      <x:c r="D199" s="9" t="d">
        <x:v>2011-11-14T00:00:00.000Z</x:v>
      </x:c>
      <x:c r="E199" s="1" t="str">
        <x:v>seasonal_naive</x:v>
      </x:c>
      <x:c r="F199" s="10" t="n">
        <x:v>192</x:v>
      </x:c>
      <x:c r="G199" s="10" t="n">
        <x:v>47</x:v>
      </x:c>
      <x:c r="H199" s="10" t="n">
        <x:f>ABS(G199-F199)</x:f>
        <x:v>145</x:v>
      </x:c>
      <x:c r="I199" s="10" t="n">
        <x:f>G199-F199</x:f>
        <x:v>-145</x:v>
      </x:c>
    </x:row>
    <x:row r="200" ht="20" customHeight="1">
      <x:c r="A200" s="1" t="str">
        <x:v>21181</x:v>
      </x:c>
      <x:c r="B200" s="10" t="n">
        <x:v>2</x:v>
      </x:c>
      <x:c r="C200" s="9" t="d">
        <x:v>2011-11-02T00:00:00.000Z</x:v>
      </x:c>
      <x:c r="D200" s="9" t="d">
        <x:v>2011-11-15T00:00:00.000Z</x:v>
      </x:c>
      <x:c r="E200" s="1" t="str">
        <x:v>seasonal_naive</x:v>
      </x:c>
      <x:c r="F200" s="10" t="n">
        <x:v>1</x:v>
      </x:c>
      <x:c r="G200" s="10" t="n">
        <x:v>0</x:v>
      </x:c>
      <x:c r="H200" s="10" t="n">
        <x:f>ABS(G200-F200)</x:f>
        <x:v>1</x:v>
      </x:c>
      <x:c r="I200" s="10" t="n">
        <x:f>G200-F200</x:f>
        <x:v>-1</x:v>
      </x:c>
    </x:row>
    <x:row r="201" ht="20" customHeight="1">
      <x:c r="A201" s="1" t="str">
        <x:v>21181</x:v>
      </x:c>
      <x:c r="B201" s="10" t="n">
        <x:v>2</x:v>
      </x:c>
      <x:c r="C201" s="9" t="d">
        <x:v>2011-11-02T00:00:00.000Z</x:v>
      </x:c>
      <x:c r="D201" s="9" t="d">
        <x:v>2011-11-16T00:00:00.000Z</x:v>
      </x:c>
      <x:c r="E201" s="1" t="str">
        <x:v>seasonal_naive</x:v>
      </x:c>
      <x:c r="F201" s="10" t="n">
        <x:v>5</x:v>
      </x:c>
      <x:c r="G201" s="10" t="n">
        <x:v>0</x:v>
      </x:c>
      <x:c r="H201" s="10" t="n">
        <x:f>ABS(G201-F201)</x:f>
        <x:v>5</x:v>
      </x:c>
      <x:c r="I201" s="10" t="n">
        <x:f>G201-F201</x:f>
        <x:v>-5</x:v>
      </x:c>
    </x:row>
    <x:row r="202" ht="20" customHeight="1">
      <x:c r="A202" s="1" t="str">
        <x:v>21181</x:v>
      </x:c>
      <x:c r="B202" s="10" t="n">
        <x:v>2</x:v>
      </x:c>
      <x:c r="C202" s="9" t="d">
        <x:v>2011-11-02T00:00:00.000Z</x:v>
      </x:c>
      <x:c r="D202" s="9" t="d">
        <x:v>2011-11-03T00:00:00.000Z</x:v>
      </x:c>
      <x:c r="E202" s="1" t="str">
        <x:v>ridge</x:v>
      </x:c>
      <x:c r="F202" s="10" t="n">
        <x:v>0</x:v>
      </x:c>
      <x:c r="G202" s="10" t="n">
        <x:v>38.3868324401</x:v>
      </x:c>
      <x:c r="H202" s="10" t="n">
        <x:f>ABS(G202-F202)</x:f>
        <x:v>38.3868324401</x:v>
      </x:c>
      <x:c r="I202" s="10" t="n">
        <x:f>G202-F202</x:f>
        <x:v>38.3868324401</x:v>
      </x:c>
    </x:row>
    <x:row r="203" ht="20" customHeight="1">
      <x:c r="A203" s="1" t="str">
        <x:v>21181</x:v>
      </x:c>
      <x:c r="B203" s="10" t="n">
        <x:v>2</x:v>
      </x:c>
      <x:c r="C203" s="9" t="d">
        <x:v>2011-11-02T00:00:00.000Z</x:v>
      </x:c>
      <x:c r="D203" s="9" t="d">
        <x:v>2011-11-04T00:00:00.000Z</x:v>
      </x:c>
      <x:c r="E203" s="1" t="str">
        <x:v>ridge</x:v>
      </x:c>
      <x:c r="F203" s="10" t="n">
        <x:v>0</x:v>
      </x:c>
      <x:c r="G203" s="10" t="n">
        <x:v>32.9673283333</x:v>
      </x:c>
      <x:c r="H203" s="10" t="n">
        <x:f>ABS(G203-F203)</x:f>
        <x:v>32.9673283333</x:v>
      </x:c>
      <x:c r="I203" s="10" t="n">
        <x:f>G203-F203</x:f>
        <x:v>32.9673283333</x:v>
      </x:c>
    </x:row>
    <x:row r="204" ht="20" customHeight="1">
      <x:c r="A204" s="1" t="str">
        <x:v>21181</x:v>
      </x:c>
      <x:c r="B204" s="10" t="n">
        <x:v>2</x:v>
      </x:c>
      <x:c r="C204" s="9" t="d">
        <x:v>2011-11-02T00:00:00.000Z</x:v>
      </x:c>
      <x:c r="D204" s="9" t="d">
        <x:v>2011-11-05T00:00:00.000Z</x:v>
      </x:c>
      <x:c r="E204" s="1" t="str">
        <x:v>ridge</x:v>
      </x:c>
      <x:c r="F204" s="10" t="n">
        <x:v>0</x:v>
      </x:c>
      <x:c r="G204" s="10" t="n">
        <x:v>23.3103204442</x:v>
      </x:c>
      <x:c r="H204" s="10" t="n">
        <x:f>ABS(G204-F204)</x:f>
        <x:v>23.3103204442</x:v>
      </x:c>
      <x:c r="I204" s="10" t="n">
        <x:f>G204-F204</x:f>
        <x:v>23.3103204442</x:v>
      </x:c>
    </x:row>
    <x:row r="205" ht="20" customHeight="1">
      <x:c r="A205" s="1" t="str">
        <x:v>21181</x:v>
      </x:c>
      <x:c r="B205" s="10" t="n">
        <x:v>2</x:v>
      </x:c>
      <x:c r="C205" s="9" t="d">
        <x:v>2011-11-02T00:00:00.000Z</x:v>
      </x:c>
      <x:c r="D205" s="9" t="d">
        <x:v>2011-11-06T00:00:00.000Z</x:v>
      </x:c>
      <x:c r="E205" s="1" t="str">
        <x:v>ridge</x:v>
      </x:c>
      <x:c r="F205" s="10" t="n">
        <x:v>0</x:v>
      </x:c>
      <x:c r="G205" s="10" t="n">
        <x:v>33.5447315183</x:v>
      </x:c>
      <x:c r="H205" s="10" t="n">
        <x:f>ABS(G205-F205)</x:f>
        <x:v>33.5447315183</x:v>
      </x:c>
      <x:c r="I205" s="10" t="n">
        <x:f>G205-F205</x:f>
        <x:v>33.5447315183</x:v>
      </x:c>
    </x:row>
    <x:row r="206" ht="20" customHeight="1">
      <x:c r="A206" s="1" t="str">
        <x:v>21181</x:v>
      </x:c>
      <x:c r="B206" s="10" t="n">
        <x:v>2</x:v>
      </x:c>
      <x:c r="C206" s="9" t="d">
        <x:v>2011-11-02T00:00:00.000Z</x:v>
      </x:c>
      <x:c r="D206" s="9" t="d">
        <x:v>2011-11-07T00:00:00.000Z</x:v>
      </x:c>
      <x:c r="E206" s="1" t="str">
        <x:v>ridge</x:v>
      </x:c>
      <x:c r="F206" s="10" t="n">
        <x:v>1</x:v>
      </x:c>
      <x:c r="G206" s="10" t="n">
        <x:v>51.2158769033</x:v>
      </x:c>
      <x:c r="H206" s="10" t="n">
        <x:f>ABS(G206-F206)</x:f>
        <x:v>50.2158769033</x:v>
      </x:c>
      <x:c r="I206" s="10" t="n">
        <x:f>G206-F206</x:f>
        <x:v>50.2158769033</x:v>
      </x:c>
    </x:row>
    <x:row r="207" ht="20" customHeight="1">
      <x:c r="A207" s="1" t="str">
        <x:v>21181</x:v>
      </x:c>
      <x:c r="B207" s="10" t="n">
        <x:v>2</x:v>
      </x:c>
      <x:c r="C207" s="9" t="d">
        <x:v>2011-11-02T00:00:00.000Z</x:v>
      </x:c>
      <x:c r="D207" s="9" t="d">
        <x:v>2011-11-08T00:00:00.000Z</x:v>
      </x:c>
      <x:c r="E207" s="1" t="str">
        <x:v>ridge</x:v>
      </x:c>
      <x:c r="F207" s="10" t="n">
        <x:v>6</x:v>
      </x:c>
      <x:c r="G207" s="10" t="n">
        <x:v>51.2120527089</x:v>
      </x:c>
      <x:c r="H207" s="10" t="n">
        <x:f>ABS(G207-F207)</x:f>
        <x:v>45.2120527089</x:v>
      </x:c>
      <x:c r="I207" s="10" t="n">
        <x:f>G207-F207</x:f>
        <x:v>45.2120527089</x:v>
      </x:c>
    </x:row>
    <x:row r="208" ht="20" customHeight="1">
      <x:c r="A208" s="1" t="str">
        <x:v>21181</x:v>
      </x:c>
      <x:c r="B208" s="10" t="n">
        <x:v>2</x:v>
      </x:c>
      <x:c r="C208" s="9" t="d">
        <x:v>2011-11-02T00:00:00.000Z</x:v>
      </x:c>
      <x:c r="D208" s="9" t="d">
        <x:v>2011-11-09T00:00:00.000Z</x:v>
      </x:c>
      <x:c r="E208" s="1" t="str">
        <x:v>ridge</x:v>
      </x:c>
      <x:c r="F208" s="10" t="n">
        <x:v>3</x:v>
      </x:c>
      <x:c r="G208" s="10" t="n">
        <x:v>47.9110405527</x:v>
      </x:c>
      <x:c r="H208" s="10" t="n">
        <x:f>ABS(G208-F208)</x:f>
        <x:v>44.9110405527</x:v>
      </x:c>
      <x:c r="I208" s="10" t="n">
        <x:f>G208-F208</x:f>
        <x:v>44.9110405527</x:v>
      </x:c>
    </x:row>
    <x:row r="209" ht="20" customHeight="1">
      <x:c r="A209" s="1" t="str">
        <x:v>21181</x:v>
      </x:c>
      <x:c r="B209" s="10" t="n">
        <x:v>2</x:v>
      </x:c>
      <x:c r="C209" s="9" t="d">
        <x:v>2011-11-02T00:00:00.000Z</x:v>
      </x:c>
      <x:c r="D209" s="9" t="d">
        <x:v>2011-11-10T00:00:00.000Z</x:v>
      </x:c>
      <x:c r="E209" s="1" t="str">
        <x:v>ridge</x:v>
      </x:c>
      <x:c r="F209" s="10" t="n">
        <x:v>0</x:v>
      </x:c>
      <x:c r="G209" s="10" t="n">
        <x:v>39.5417922103</x:v>
      </x:c>
      <x:c r="H209" s="10" t="n">
        <x:f>ABS(G209-F209)</x:f>
        <x:v>39.5417922103</x:v>
      </x:c>
      <x:c r="I209" s="10" t="n">
        <x:f>G209-F209</x:f>
        <x:v>39.5417922103</x:v>
      </x:c>
    </x:row>
    <x:row r="210" ht="20" customHeight="1">
      <x:c r="A210" s="1" t="str">
        <x:v>21181</x:v>
      </x:c>
      <x:c r="B210" s="10" t="n">
        <x:v>2</x:v>
      </x:c>
      <x:c r="C210" s="9" t="d">
        <x:v>2011-11-02T00:00:00.000Z</x:v>
      </x:c>
      <x:c r="D210" s="9" t="d">
        <x:v>2011-11-11T00:00:00.000Z</x:v>
      </x:c>
      <x:c r="E210" s="1" t="str">
        <x:v>ridge</x:v>
      </x:c>
      <x:c r="F210" s="10" t="n">
        <x:v>0</x:v>
      </x:c>
      <x:c r="G210" s="10" t="n">
        <x:v>29.7436651701</x:v>
      </x:c>
      <x:c r="H210" s="10" t="n">
        <x:f>ABS(G210-F210)</x:f>
        <x:v>29.7436651701</x:v>
      </x:c>
      <x:c r="I210" s="10" t="n">
        <x:f>G210-F210</x:f>
        <x:v>29.7436651701</x:v>
      </x:c>
    </x:row>
    <x:row r="211" ht="20" customHeight="1">
      <x:c r="A211" s="1" t="str">
        <x:v>21181</x:v>
      </x:c>
      <x:c r="B211" s="10" t="n">
        <x:v>2</x:v>
      </x:c>
      <x:c r="C211" s="9" t="d">
        <x:v>2011-11-02T00:00:00.000Z</x:v>
      </x:c>
      <x:c r="D211" s="9" t="d">
        <x:v>2011-11-12T00:00:00.000Z</x:v>
      </x:c>
      <x:c r="E211" s="1" t="str">
        <x:v>ridge</x:v>
      </x:c>
      <x:c r="F211" s="10" t="n">
        <x:v>0</x:v>
      </x:c>
      <x:c r="G211" s="10" t="n">
        <x:v>26.5054587975</x:v>
      </x:c>
      <x:c r="H211" s="10" t="n">
        <x:f>ABS(G211-F211)</x:f>
        <x:v>26.5054587975</x:v>
      </x:c>
      <x:c r="I211" s="10" t="n">
        <x:f>G211-F211</x:f>
        <x:v>26.5054587975</x:v>
      </x:c>
    </x:row>
    <x:row r="212" ht="20" customHeight="1">
      <x:c r="A212" s="1" t="str">
        <x:v>21181</x:v>
      </x:c>
      <x:c r="B212" s="10" t="n">
        <x:v>2</x:v>
      </x:c>
      <x:c r="C212" s="9" t="d">
        <x:v>2011-11-02T00:00:00.000Z</x:v>
      </x:c>
      <x:c r="D212" s="9" t="d">
        <x:v>2011-11-13T00:00:00.000Z</x:v>
      </x:c>
      <x:c r="E212" s="1" t="str">
        <x:v>ridge</x:v>
      </x:c>
      <x:c r="F212" s="10" t="n">
        <x:v>2</x:v>
      </x:c>
      <x:c r="G212" s="10" t="n">
        <x:v>36.3217996177</x:v>
      </x:c>
      <x:c r="H212" s="10" t="n">
        <x:f>ABS(G212-F212)</x:f>
        <x:v>34.3217996177</x:v>
      </x:c>
      <x:c r="I212" s="10" t="n">
        <x:f>G212-F212</x:f>
        <x:v>34.3217996177</x:v>
      </x:c>
    </x:row>
    <x:row r="213" ht="20" customHeight="1">
      <x:c r="A213" s="1" t="str">
        <x:v>21181</x:v>
      </x:c>
      <x:c r="B213" s="10" t="n">
        <x:v>2</x:v>
      </x:c>
      <x:c r="C213" s="9" t="d">
        <x:v>2011-11-02T00:00:00.000Z</x:v>
      </x:c>
      <x:c r="D213" s="9" t="d">
        <x:v>2011-11-14T00:00:00.000Z</x:v>
      </x:c>
      <x:c r="E213" s="1" t="str">
        <x:v>ridge</x:v>
      </x:c>
      <x:c r="F213" s="10" t="n">
        <x:v>192</x:v>
      </x:c>
      <x:c r="G213" s="10" t="n">
        <x:v>50.151730077</x:v>
      </x:c>
      <x:c r="H213" s="10" t="n">
        <x:f>ABS(G213-F213)</x:f>
        <x:v>141.848269923</x:v>
      </x:c>
      <x:c r="I213" s="10" t="n">
        <x:f>G213-F213</x:f>
        <x:v>-141.848269923</x:v>
      </x:c>
    </x:row>
    <x:row r="214" ht="20" customHeight="1">
      <x:c r="A214" s="1" t="str">
        <x:v>21181</x:v>
      </x:c>
      <x:c r="B214" s="10" t="n">
        <x:v>2</x:v>
      </x:c>
      <x:c r="C214" s="9" t="d">
        <x:v>2011-11-02T00:00:00.000Z</x:v>
      </x:c>
      <x:c r="D214" s="9" t="d">
        <x:v>2011-11-15T00:00:00.000Z</x:v>
      </x:c>
      <x:c r="E214" s="1" t="str">
        <x:v>ridge</x:v>
      </x:c>
      <x:c r="F214" s="10" t="n">
        <x:v>1</x:v>
      </x:c>
      <x:c r="G214" s="10" t="n">
        <x:v>56.4968512495</x:v>
      </x:c>
      <x:c r="H214" s="10" t="n">
        <x:f>ABS(G214-F214)</x:f>
        <x:v>55.4968512495</x:v>
      </x:c>
      <x:c r="I214" s="10" t="n">
        <x:f>G214-F214</x:f>
        <x:v>55.4968512495</x:v>
      </x:c>
    </x:row>
    <x:row r="215" ht="20" customHeight="1">
      <x:c r="A215" s="1" t="str">
        <x:v>21181</x:v>
      </x:c>
      <x:c r="B215" s="10" t="n">
        <x:v>2</x:v>
      </x:c>
      <x:c r="C215" s="9" t="d">
        <x:v>2011-11-02T00:00:00.000Z</x:v>
      </x:c>
      <x:c r="D215" s="9" t="d">
        <x:v>2011-11-16T00:00:00.000Z</x:v>
      </x:c>
      <x:c r="E215" s="1" t="str">
        <x:v>ridge</x:v>
      </x:c>
      <x:c r="F215" s="10" t="n">
        <x:v>5</x:v>
      </x:c>
      <x:c r="G215" s="10" t="n">
        <x:v>52.5623572344</x:v>
      </x:c>
      <x:c r="H215" s="10" t="n">
        <x:f>ABS(G215-F215)</x:f>
        <x:v>47.5623572344</x:v>
      </x:c>
      <x:c r="I215" s="10" t="n">
        <x:f>G215-F215</x:f>
        <x:v>47.5623572344</x:v>
      </x:c>
    </x:row>
    <x:row r="216" ht="20" customHeight="1">
      <x:c r="A216" s="1" t="str">
        <x:v>21181</x:v>
      </x:c>
      <x:c r="B216" s="10" t="n">
        <x:v>3</x:v>
      </x:c>
      <x:c r="C216" s="9" t="d">
        <x:v>2011-11-16T00:00:00.000Z</x:v>
      </x:c>
      <x:c r="D216" s="9" t="d">
        <x:v>2011-11-17T00:00:00.000Z</x:v>
      </x:c>
      <x:c r="E216" s="1" t="str">
        <x:v>naive</x:v>
      </x:c>
      <x:c r="F216" s="10" t="n">
        <x:v>0</x:v>
      </x:c>
      <x:c r="G216" s="10" t="n">
        <x:v>5</x:v>
      </x:c>
      <x:c r="H216" s="10" t="n">
        <x:f>ABS(G216-F216)</x:f>
        <x:v>5</x:v>
      </x:c>
      <x:c r="I216" s="10" t="n">
        <x:f>G216-F216</x:f>
        <x:v>5</x:v>
      </x:c>
    </x:row>
    <x:row r="217" ht="20" customHeight="1">
      <x:c r="A217" s="1" t="str">
        <x:v>21181</x:v>
      </x:c>
      <x:c r="B217" s="10" t="n">
        <x:v>3</x:v>
      </x:c>
      <x:c r="C217" s="9" t="d">
        <x:v>2011-11-16T00:00:00.000Z</x:v>
      </x:c>
      <x:c r="D217" s="9" t="d">
        <x:v>2011-11-18T00:00:00.000Z</x:v>
      </x:c>
      <x:c r="E217" s="1" t="str">
        <x:v>naive</x:v>
      </x:c>
      <x:c r="F217" s="10" t="n">
        <x:v>1</x:v>
      </x:c>
      <x:c r="G217" s="10" t="n">
        <x:v>5</x:v>
      </x:c>
      <x:c r="H217" s="10" t="n">
        <x:f>ABS(G217-F217)</x:f>
        <x:v>4</x:v>
      </x:c>
      <x:c r="I217" s="10" t="n">
        <x:f>G217-F217</x:f>
        <x:v>4</x:v>
      </x:c>
    </x:row>
    <x:row r="218" ht="20" customHeight="1">
      <x:c r="A218" s="1" t="str">
        <x:v>21181</x:v>
      </x:c>
      <x:c r="B218" s="10" t="n">
        <x:v>3</x:v>
      </x:c>
      <x:c r="C218" s="9" t="d">
        <x:v>2011-11-16T00:00:00.000Z</x:v>
      </x:c>
      <x:c r="D218" s="9" t="d">
        <x:v>2011-11-19T00:00:00.000Z</x:v>
      </x:c>
      <x:c r="E218" s="1" t="str">
        <x:v>naive</x:v>
      </x:c>
      <x:c r="F218" s="10" t="n">
        <x:v>0</x:v>
      </x:c>
      <x:c r="G218" s="10" t="n">
        <x:v>5</x:v>
      </x:c>
      <x:c r="H218" s="10" t="n">
        <x:f>ABS(G218-F218)</x:f>
        <x:v>5</x:v>
      </x:c>
      <x:c r="I218" s="10" t="n">
        <x:f>G218-F218</x:f>
        <x:v>5</x:v>
      </x:c>
    </x:row>
    <x:row r="219" ht="20" customHeight="1">
      <x:c r="A219" s="1" t="str">
        <x:v>21181</x:v>
      </x:c>
      <x:c r="B219" s="10" t="n">
        <x:v>3</x:v>
      </x:c>
      <x:c r="C219" s="9" t="d">
        <x:v>2011-11-16T00:00:00.000Z</x:v>
      </x:c>
      <x:c r="D219" s="9" t="d">
        <x:v>2011-11-20T00:00:00.000Z</x:v>
      </x:c>
      <x:c r="E219" s="1" t="str">
        <x:v>naive</x:v>
      </x:c>
      <x:c r="F219" s="10" t="n">
        <x:v>2</x:v>
      </x:c>
      <x:c r="G219" s="10" t="n">
        <x:v>5</x:v>
      </x:c>
      <x:c r="H219" s="10" t="n">
        <x:f>ABS(G219-F219)</x:f>
        <x:v>3</x:v>
      </x:c>
      <x:c r="I219" s="10" t="n">
        <x:f>G219-F219</x:f>
        <x:v>3</x:v>
      </x:c>
    </x:row>
    <x:row r="220" ht="20" customHeight="1">
      <x:c r="A220" s="1" t="str">
        <x:v>21181</x:v>
      </x:c>
      <x:c r="B220" s="10" t="n">
        <x:v>3</x:v>
      </x:c>
      <x:c r="C220" s="9" t="d">
        <x:v>2011-11-16T00:00:00.000Z</x:v>
      </x:c>
      <x:c r="D220" s="9" t="d">
        <x:v>2011-11-21T00:00:00.000Z</x:v>
      </x:c>
      <x:c r="E220" s="1" t="str">
        <x:v>naive</x:v>
      </x:c>
      <x:c r="F220" s="10" t="n">
        <x:v>4</x:v>
      </x:c>
      <x:c r="G220" s="10" t="n">
        <x:v>5</x:v>
      </x:c>
      <x:c r="H220" s="10" t="n">
        <x:f>ABS(G220-F220)</x:f>
        <x:v>1</x:v>
      </x:c>
      <x:c r="I220" s="10" t="n">
        <x:f>G220-F220</x:f>
        <x:v>1</x:v>
      </x:c>
    </x:row>
    <x:row r="221" ht="20" customHeight="1">
      <x:c r="A221" s="1" t="str">
        <x:v>21181</x:v>
      </x:c>
      <x:c r="B221" s="10" t="n">
        <x:v>3</x:v>
      </x:c>
      <x:c r="C221" s="9" t="d">
        <x:v>2011-11-16T00:00:00.000Z</x:v>
      </x:c>
      <x:c r="D221" s="9" t="d">
        <x:v>2011-11-22T00:00:00.000Z</x:v>
      </x:c>
      <x:c r="E221" s="1" t="str">
        <x:v>naive</x:v>
      </x:c>
      <x:c r="F221" s="10" t="n">
        <x:v>3</x:v>
      </x:c>
      <x:c r="G221" s="10" t="n">
        <x:v>5</x:v>
      </x:c>
      <x:c r="H221" s="10" t="n">
        <x:f>ABS(G221-F221)</x:f>
        <x:v>2</x:v>
      </x:c>
      <x:c r="I221" s="10" t="n">
        <x:f>G221-F221</x:f>
        <x:v>2</x:v>
      </x:c>
    </x:row>
    <x:row r="222" ht="20" customHeight="1">
      <x:c r="A222" s="1" t="str">
        <x:v>21181</x:v>
      </x:c>
      <x:c r="B222" s="10" t="n">
        <x:v>3</x:v>
      </x:c>
      <x:c r="C222" s="9" t="d">
        <x:v>2011-11-16T00:00:00.000Z</x:v>
      </x:c>
      <x:c r="D222" s="9" t="d">
        <x:v>2011-11-23T00:00:00.000Z</x:v>
      </x:c>
      <x:c r="E222" s="1" t="str">
        <x:v>naive</x:v>
      </x:c>
      <x:c r="F222" s="10" t="n">
        <x:v>7</x:v>
      </x:c>
      <x:c r="G222" s="10" t="n">
        <x:v>5</x:v>
      </x:c>
      <x:c r="H222" s="10" t="n">
        <x:f>ABS(G222-F222)</x:f>
        <x:v>2</x:v>
      </x:c>
      <x:c r="I222" s="10" t="n">
        <x:f>G222-F222</x:f>
        <x:v>-2</x:v>
      </x:c>
    </x:row>
    <x:row r="223" ht="20" customHeight="1">
      <x:c r="A223" s="1" t="str">
        <x:v>21181</x:v>
      </x:c>
      <x:c r="B223" s="10" t="n">
        <x:v>3</x:v>
      </x:c>
      <x:c r="C223" s="9" t="d">
        <x:v>2011-11-16T00:00:00.000Z</x:v>
      </x:c>
      <x:c r="D223" s="9" t="d">
        <x:v>2011-11-24T00:00:00.000Z</x:v>
      </x:c>
      <x:c r="E223" s="1" t="str">
        <x:v>naive</x:v>
      </x:c>
      <x:c r="F223" s="10" t="n">
        <x:v>2</x:v>
      </x:c>
      <x:c r="G223" s="10" t="n">
        <x:v>5</x:v>
      </x:c>
      <x:c r="H223" s="10" t="n">
        <x:f>ABS(G223-F223)</x:f>
        <x:v>3</x:v>
      </x:c>
      <x:c r="I223" s="10" t="n">
        <x:f>G223-F223</x:f>
        <x:v>3</x:v>
      </x:c>
    </x:row>
    <x:row r="224" ht="20" customHeight="1">
      <x:c r="A224" s="1" t="str">
        <x:v>21181</x:v>
      </x:c>
      <x:c r="B224" s="10" t="n">
        <x:v>3</x:v>
      </x:c>
      <x:c r="C224" s="9" t="d">
        <x:v>2011-11-16T00:00:00.000Z</x:v>
      </x:c>
      <x:c r="D224" s="9" t="d">
        <x:v>2011-11-25T00:00:00.000Z</x:v>
      </x:c>
      <x:c r="E224" s="1" t="str">
        <x:v>naive</x:v>
      </x:c>
      <x:c r="F224" s="10" t="n">
        <x:v>0</x:v>
      </x:c>
      <x:c r="G224" s="10" t="n">
        <x:v>5</x:v>
      </x:c>
      <x:c r="H224" s="10" t="n">
        <x:f>ABS(G224-F224)</x:f>
        <x:v>5</x:v>
      </x:c>
      <x:c r="I224" s="10" t="n">
        <x:f>G224-F224</x:f>
        <x:v>5</x:v>
      </x:c>
    </x:row>
    <x:row r="225" ht="20" customHeight="1">
      <x:c r="A225" s="1" t="str">
        <x:v>21181</x:v>
      </x:c>
      <x:c r="B225" s="10" t="n">
        <x:v>3</x:v>
      </x:c>
      <x:c r="C225" s="9" t="d">
        <x:v>2011-11-16T00:00:00.000Z</x:v>
      </x:c>
      <x:c r="D225" s="9" t="d">
        <x:v>2011-11-26T00:00:00.000Z</x:v>
      </x:c>
      <x:c r="E225" s="1" t="str">
        <x:v>naive</x:v>
      </x:c>
      <x:c r="F225" s="10" t="n">
        <x:v>0</x:v>
      </x:c>
      <x:c r="G225" s="10" t="n">
        <x:v>5</x:v>
      </x:c>
      <x:c r="H225" s="10" t="n">
        <x:f>ABS(G225-F225)</x:f>
        <x:v>5</x:v>
      </x:c>
      <x:c r="I225" s="10" t="n">
        <x:f>G225-F225</x:f>
        <x:v>5</x:v>
      </x:c>
    </x:row>
    <x:row r="226" ht="20" customHeight="1">
      <x:c r="A226" s="1" t="str">
        <x:v>21181</x:v>
      </x:c>
      <x:c r="B226" s="10" t="n">
        <x:v>3</x:v>
      </x:c>
      <x:c r="C226" s="9" t="d">
        <x:v>2011-11-16T00:00:00.000Z</x:v>
      </x:c>
      <x:c r="D226" s="9" t="d">
        <x:v>2011-11-27T00:00:00.000Z</x:v>
      </x:c>
      <x:c r="E226" s="1" t="str">
        <x:v>naive</x:v>
      </x:c>
      <x:c r="F226" s="10" t="n">
        <x:v>25</x:v>
      </x:c>
      <x:c r="G226" s="10" t="n">
        <x:v>5</x:v>
      </x:c>
      <x:c r="H226" s="10" t="n">
        <x:f>ABS(G226-F226)</x:f>
        <x:v>20</x:v>
      </x:c>
      <x:c r="I226" s="10" t="n">
        <x:f>G226-F226</x:f>
        <x:v>-20</x:v>
      </x:c>
    </x:row>
    <x:row r="227" ht="20" customHeight="1">
      <x:c r="A227" s="1" t="str">
        <x:v>21181</x:v>
      </x:c>
      <x:c r="B227" s="10" t="n">
        <x:v>3</x:v>
      </x:c>
      <x:c r="C227" s="9" t="d">
        <x:v>2011-11-16T00:00:00.000Z</x:v>
      </x:c>
      <x:c r="D227" s="9" t="d">
        <x:v>2011-11-28T00:00:00.000Z</x:v>
      </x:c>
      <x:c r="E227" s="1" t="str">
        <x:v>naive</x:v>
      </x:c>
      <x:c r="F227" s="10" t="n">
        <x:v>372</x:v>
      </x:c>
      <x:c r="G227" s="10" t="n">
        <x:v>5</x:v>
      </x:c>
      <x:c r="H227" s="10" t="n">
        <x:f>ABS(G227-F227)</x:f>
        <x:v>367</x:v>
      </x:c>
      <x:c r="I227" s="10" t="n">
        <x:f>G227-F227</x:f>
        <x:v>-367</x:v>
      </x:c>
    </x:row>
    <x:row r="228" ht="20" customHeight="1">
      <x:c r="A228" s="1" t="str">
        <x:v>21181</x:v>
      </x:c>
      <x:c r="B228" s="10" t="n">
        <x:v>3</x:v>
      </x:c>
      <x:c r="C228" s="9" t="d">
        <x:v>2011-11-16T00:00:00.000Z</x:v>
      </x:c>
      <x:c r="D228" s="9" t="d">
        <x:v>2011-11-29T00:00:00.000Z</x:v>
      </x:c>
      <x:c r="E228" s="1" t="str">
        <x:v>naive</x:v>
      </x:c>
      <x:c r="F228" s="10" t="n">
        <x:v>169</x:v>
      </x:c>
      <x:c r="G228" s="10" t="n">
        <x:v>5</x:v>
      </x:c>
      <x:c r="H228" s="10" t="n">
        <x:f>ABS(G228-F228)</x:f>
        <x:v>164</x:v>
      </x:c>
      <x:c r="I228" s="10" t="n">
        <x:f>G228-F228</x:f>
        <x:v>-164</x:v>
      </x:c>
    </x:row>
    <x:row r="229" ht="20" customHeight="1">
      <x:c r="A229" s="1" t="str">
        <x:v>21181</x:v>
      </x:c>
      <x:c r="B229" s="10" t="n">
        <x:v>3</x:v>
      </x:c>
      <x:c r="C229" s="9" t="d">
        <x:v>2011-11-16T00:00:00.000Z</x:v>
      </x:c>
      <x:c r="D229" s="9" t="d">
        <x:v>2011-11-30T00:00:00.000Z</x:v>
      </x:c>
      <x:c r="E229" s="1" t="str">
        <x:v>naive</x:v>
      </x:c>
      <x:c r="F229" s="10" t="n">
        <x:v>194</x:v>
      </x:c>
      <x:c r="G229" s="10" t="n">
        <x:v>5</x:v>
      </x:c>
      <x:c r="H229" s="10" t="n">
        <x:f>ABS(G229-F229)</x:f>
        <x:v>189</x:v>
      </x:c>
      <x:c r="I229" s="10" t="n">
        <x:f>G229-F229</x:f>
        <x:v>-189</x:v>
      </x:c>
    </x:row>
    <x:row r="230" ht="20" customHeight="1">
      <x:c r="A230" s="1" t="str">
        <x:v>21181</x:v>
      </x:c>
      <x:c r="B230" s="10" t="n">
        <x:v>3</x:v>
      </x:c>
      <x:c r="C230" s="9" t="d">
        <x:v>2011-11-16T00:00:00.000Z</x:v>
      </x:c>
      <x:c r="D230" s="9" t="d">
        <x:v>2011-11-17T00:00:00.000Z</x:v>
      </x:c>
      <x:c r="E230" s="1" t="str">
        <x:v>seasonal_naive</x:v>
      </x:c>
      <x:c r="F230" s="10" t="n">
        <x:v>0</x:v>
      </x:c>
      <x:c r="G230" s="10" t="n">
        <x:v>0</x:v>
      </x:c>
      <x:c r="H230" s="10" t="n">
        <x:f>ABS(G230-F230)</x:f>
        <x:v>0</x:v>
      </x:c>
      <x:c r="I230" s="10" t="n">
        <x:f>G230-F230</x:f>
        <x:v>0</x:v>
      </x:c>
    </x:row>
    <x:row r="231" ht="20" customHeight="1">
      <x:c r="A231" s="1" t="str">
        <x:v>21181</x:v>
      </x:c>
      <x:c r="B231" s="10" t="n">
        <x:v>3</x:v>
      </x:c>
      <x:c r="C231" s="9" t="d">
        <x:v>2011-11-16T00:00:00.000Z</x:v>
      </x:c>
      <x:c r="D231" s="9" t="d">
        <x:v>2011-11-18T00:00:00.000Z</x:v>
      </x:c>
      <x:c r="E231" s="1" t="str">
        <x:v>seasonal_naive</x:v>
      </x:c>
      <x:c r="F231" s="10" t="n">
        <x:v>1</x:v>
      </x:c>
      <x:c r="G231" s="10" t="n">
        <x:v>0</x:v>
      </x:c>
      <x:c r="H231" s="10" t="n">
        <x:f>ABS(G231-F231)</x:f>
        <x:v>1</x:v>
      </x:c>
      <x:c r="I231" s="10" t="n">
        <x:f>G231-F231</x:f>
        <x:v>-1</x:v>
      </x:c>
    </x:row>
    <x:row r="232" ht="20" customHeight="1">
      <x:c r="A232" s="1" t="str">
        <x:v>21181</x:v>
      </x:c>
      <x:c r="B232" s="10" t="n">
        <x:v>3</x:v>
      </x:c>
      <x:c r="C232" s="9" t="d">
        <x:v>2011-11-16T00:00:00.000Z</x:v>
      </x:c>
      <x:c r="D232" s="9" t="d">
        <x:v>2011-11-19T00:00:00.000Z</x:v>
      </x:c>
      <x:c r="E232" s="1" t="str">
        <x:v>seasonal_naive</x:v>
      </x:c>
      <x:c r="F232" s="10" t="n">
        <x:v>0</x:v>
      </x:c>
      <x:c r="G232" s="10" t="n">
        <x:v>0</x:v>
      </x:c>
      <x:c r="H232" s="10" t="n">
        <x:f>ABS(G232-F232)</x:f>
        <x:v>0</x:v>
      </x:c>
      <x:c r="I232" s="10" t="n">
        <x:f>G232-F232</x:f>
        <x:v>0</x:v>
      </x:c>
    </x:row>
    <x:row r="233" ht="20" customHeight="1">
      <x:c r="A233" s="1" t="str">
        <x:v>21181</x:v>
      </x:c>
      <x:c r="B233" s="10" t="n">
        <x:v>3</x:v>
      </x:c>
      <x:c r="C233" s="9" t="d">
        <x:v>2011-11-16T00:00:00.000Z</x:v>
      </x:c>
      <x:c r="D233" s="9" t="d">
        <x:v>2011-11-20T00:00:00.000Z</x:v>
      </x:c>
      <x:c r="E233" s="1" t="str">
        <x:v>seasonal_naive</x:v>
      </x:c>
      <x:c r="F233" s="10" t="n">
        <x:v>2</x:v>
      </x:c>
      <x:c r="G233" s="10" t="n">
        <x:v>2</x:v>
      </x:c>
      <x:c r="H233" s="10" t="n">
        <x:f>ABS(G233-F233)</x:f>
        <x:v>0</x:v>
      </x:c>
      <x:c r="I233" s="10" t="n">
        <x:f>G233-F233</x:f>
        <x:v>0</x:v>
      </x:c>
    </x:row>
    <x:row r="234" ht="20" customHeight="1">
      <x:c r="A234" s="1" t="str">
        <x:v>21181</x:v>
      </x:c>
      <x:c r="B234" s="10" t="n">
        <x:v>3</x:v>
      </x:c>
      <x:c r="C234" s="9" t="d">
        <x:v>2011-11-16T00:00:00.000Z</x:v>
      </x:c>
      <x:c r="D234" s="9" t="d">
        <x:v>2011-11-21T00:00:00.000Z</x:v>
      </x:c>
      <x:c r="E234" s="1" t="str">
        <x:v>seasonal_naive</x:v>
      </x:c>
      <x:c r="F234" s="10" t="n">
        <x:v>4</x:v>
      </x:c>
      <x:c r="G234" s="10" t="n">
        <x:v>192</x:v>
      </x:c>
      <x:c r="H234" s="10" t="n">
        <x:f>ABS(G234-F234)</x:f>
        <x:v>188</x:v>
      </x:c>
      <x:c r="I234" s="10" t="n">
        <x:f>G234-F234</x:f>
        <x:v>188</x:v>
      </x:c>
    </x:row>
    <x:row r="235" ht="20" customHeight="1">
      <x:c r="A235" s="1" t="str">
        <x:v>21181</x:v>
      </x:c>
      <x:c r="B235" s="10" t="n">
        <x:v>3</x:v>
      </x:c>
      <x:c r="C235" s="9" t="d">
        <x:v>2011-11-16T00:00:00.000Z</x:v>
      </x:c>
      <x:c r="D235" s="9" t="d">
        <x:v>2011-11-22T00:00:00.000Z</x:v>
      </x:c>
      <x:c r="E235" s="1" t="str">
        <x:v>seasonal_naive</x:v>
      </x:c>
      <x:c r="F235" s="10" t="n">
        <x:v>3</x:v>
      </x:c>
      <x:c r="G235" s="10" t="n">
        <x:v>1</x:v>
      </x:c>
      <x:c r="H235" s="10" t="n">
        <x:f>ABS(G235-F235)</x:f>
        <x:v>2</x:v>
      </x:c>
      <x:c r="I235" s="10" t="n">
        <x:f>G235-F235</x:f>
        <x:v>-2</x:v>
      </x:c>
    </x:row>
    <x:row r="236" ht="20" customHeight="1">
      <x:c r="A236" s="1" t="str">
        <x:v>21181</x:v>
      </x:c>
      <x:c r="B236" s="10" t="n">
        <x:v>3</x:v>
      </x:c>
      <x:c r="C236" s="9" t="d">
        <x:v>2011-11-16T00:00:00.000Z</x:v>
      </x:c>
      <x:c r="D236" s="9" t="d">
        <x:v>2011-11-23T00:00:00.000Z</x:v>
      </x:c>
      <x:c r="E236" s="1" t="str">
        <x:v>seasonal_naive</x:v>
      </x:c>
      <x:c r="F236" s="10" t="n">
        <x:v>7</x:v>
      </x:c>
      <x:c r="G236" s="10" t="n">
        <x:v>5</x:v>
      </x:c>
      <x:c r="H236" s="10" t="n">
        <x:f>ABS(G236-F236)</x:f>
        <x:v>2</x:v>
      </x:c>
      <x:c r="I236" s="10" t="n">
        <x:f>G236-F236</x:f>
        <x:v>-2</x:v>
      </x:c>
    </x:row>
    <x:row r="237" ht="20" customHeight="1">
      <x:c r="A237" s="1" t="str">
        <x:v>21181</x:v>
      </x:c>
      <x:c r="B237" s="10" t="n">
        <x:v>3</x:v>
      </x:c>
      <x:c r="C237" s="9" t="d">
        <x:v>2011-11-16T00:00:00.000Z</x:v>
      </x:c>
      <x:c r="D237" s="9" t="d">
        <x:v>2011-11-24T00:00:00.000Z</x:v>
      </x:c>
      <x:c r="E237" s="1" t="str">
        <x:v>seasonal_naive</x:v>
      </x:c>
      <x:c r="F237" s="10" t="n">
        <x:v>2</x:v>
      </x:c>
      <x:c r="G237" s="10" t="n">
        <x:v>0</x:v>
      </x:c>
      <x:c r="H237" s="10" t="n">
        <x:f>ABS(G237-F237)</x:f>
        <x:v>2</x:v>
      </x:c>
      <x:c r="I237" s="10" t="n">
        <x:f>G237-F237</x:f>
        <x:v>-2</x:v>
      </x:c>
    </x:row>
    <x:row r="238" ht="20" customHeight="1">
      <x:c r="A238" s="1" t="str">
        <x:v>21181</x:v>
      </x:c>
      <x:c r="B238" s="10" t="n">
        <x:v>3</x:v>
      </x:c>
      <x:c r="C238" s="9" t="d">
        <x:v>2011-11-16T00:00:00.000Z</x:v>
      </x:c>
      <x:c r="D238" s="9" t="d">
        <x:v>2011-11-25T00:00:00.000Z</x:v>
      </x:c>
      <x:c r="E238" s="1" t="str">
        <x:v>seasonal_naive</x:v>
      </x:c>
      <x:c r="F238" s="10" t="n">
        <x:v>0</x:v>
      </x:c>
      <x:c r="G238" s="10" t="n">
        <x:v>0</x:v>
      </x:c>
      <x:c r="H238" s="10" t="n">
        <x:f>ABS(G238-F238)</x:f>
        <x:v>0</x:v>
      </x:c>
      <x:c r="I238" s="10" t="n">
        <x:f>G238-F238</x:f>
        <x:v>0</x:v>
      </x:c>
    </x:row>
    <x:row r="239" ht="20" customHeight="1">
      <x:c r="A239" s="1" t="str">
        <x:v>21181</x:v>
      </x:c>
      <x:c r="B239" s="10" t="n">
        <x:v>3</x:v>
      </x:c>
      <x:c r="C239" s="9" t="d">
        <x:v>2011-11-16T00:00:00.000Z</x:v>
      </x:c>
      <x:c r="D239" s="9" t="d">
        <x:v>2011-11-26T00:00:00.000Z</x:v>
      </x:c>
      <x:c r="E239" s="1" t="str">
        <x:v>seasonal_naive</x:v>
      </x:c>
      <x:c r="F239" s="10" t="n">
        <x:v>0</x:v>
      </x:c>
      <x:c r="G239" s="10" t="n">
        <x:v>0</x:v>
      </x:c>
      <x:c r="H239" s="10" t="n">
        <x:f>ABS(G239-F239)</x:f>
        <x:v>0</x:v>
      </x:c>
      <x:c r="I239" s="10" t="n">
        <x:f>G239-F239</x:f>
        <x:v>0</x:v>
      </x:c>
    </x:row>
    <x:row r="240" ht="20" customHeight="1">
      <x:c r="A240" s="1" t="str">
        <x:v>21181</x:v>
      </x:c>
      <x:c r="B240" s="10" t="n">
        <x:v>3</x:v>
      </x:c>
      <x:c r="C240" s="9" t="d">
        <x:v>2011-11-16T00:00:00.000Z</x:v>
      </x:c>
      <x:c r="D240" s="9" t="d">
        <x:v>2011-11-27T00:00:00.000Z</x:v>
      </x:c>
      <x:c r="E240" s="1" t="str">
        <x:v>seasonal_naive</x:v>
      </x:c>
      <x:c r="F240" s="10" t="n">
        <x:v>25</x:v>
      </x:c>
      <x:c r="G240" s="10" t="n">
        <x:v>2</x:v>
      </x:c>
      <x:c r="H240" s="10" t="n">
        <x:f>ABS(G240-F240)</x:f>
        <x:v>23</x:v>
      </x:c>
      <x:c r="I240" s="10" t="n">
        <x:f>G240-F240</x:f>
        <x:v>-23</x:v>
      </x:c>
    </x:row>
    <x:row r="241" ht="20" customHeight="1">
      <x:c r="A241" s="1" t="str">
        <x:v>21181</x:v>
      </x:c>
      <x:c r="B241" s="10" t="n">
        <x:v>3</x:v>
      </x:c>
      <x:c r="C241" s="9" t="d">
        <x:v>2011-11-16T00:00:00.000Z</x:v>
      </x:c>
      <x:c r="D241" s="9" t="d">
        <x:v>2011-11-28T00:00:00.000Z</x:v>
      </x:c>
      <x:c r="E241" s="1" t="str">
        <x:v>seasonal_naive</x:v>
      </x:c>
      <x:c r="F241" s="10" t="n">
        <x:v>372</x:v>
      </x:c>
      <x:c r="G241" s="10" t="n">
        <x:v>192</x:v>
      </x:c>
      <x:c r="H241" s="10" t="n">
        <x:f>ABS(G241-F241)</x:f>
        <x:v>180</x:v>
      </x:c>
      <x:c r="I241" s="10" t="n">
        <x:f>G241-F241</x:f>
        <x:v>-180</x:v>
      </x:c>
    </x:row>
    <x:row r="242" ht="20" customHeight="1">
      <x:c r="A242" s="1" t="str">
        <x:v>21181</x:v>
      </x:c>
      <x:c r="B242" s="10" t="n">
        <x:v>3</x:v>
      </x:c>
      <x:c r="C242" s="9" t="d">
        <x:v>2011-11-16T00:00:00.000Z</x:v>
      </x:c>
      <x:c r="D242" s="9" t="d">
        <x:v>2011-11-29T00:00:00.000Z</x:v>
      </x:c>
      <x:c r="E242" s="1" t="str">
        <x:v>seasonal_naive</x:v>
      </x:c>
      <x:c r="F242" s="10" t="n">
        <x:v>169</x:v>
      </x:c>
      <x:c r="G242" s="10" t="n">
        <x:v>1</x:v>
      </x:c>
      <x:c r="H242" s="10" t="n">
        <x:f>ABS(G242-F242)</x:f>
        <x:v>168</x:v>
      </x:c>
      <x:c r="I242" s="10" t="n">
        <x:f>G242-F242</x:f>
        <x:v>-168</x:v>
      </x:c>
    </x:row>
    <x:row r="243" ht="20" customHeight="1">
      <x:c r="A243" s="1" t="str">
        <x:v>21181</x:v>
      </x:c>
      <x:c r="B243" s="10" t="n">
        <x:v>3</x:v>
      </x:c>
      <x:c r="C243" s="9" t="d">
        <x:v>2011-11-16T00:00:00.000Z</x:v>
      </x:c>
      <x:c r="D243" s="9" t="d">
        <x:v>2011-11-30T00:00:00.000Z</x:v>
      </x:c>
      <x:c r="E243" s="1" t="str">
        <x:v>seasonal_naive</x:v>
      </x:c>
      <x:c r="F243" s="10" t="n">
        <x:v>194</x:v>
      </x:c>
      <x:c r="G243" s="10" t="n">
        <x:v>5</x:v>
      </x:c>
      <x:c r="H243" s="10" t="n">
        <x:f>ABS(G243-F243)</x:f>
        <x:v>189</x:v>
      </x:c>
      <x:c r="I243" s="10" t="n">
        <x:f>G243-F243</x:f>
        <x:v>-189</x:v>
      </x:c>
    </x:row>
    <x:row r="244" ht="20" customHeight="1">
      <x:c r="A244" s="1" t="str">
        <x:v>21181</x:v>
      </x:c>
      <x:c r="B244" s="10" t="n">
        <x:v>3</x:v>
      </x:c>
      <x:c r="C244" s="9" t="d">
        <x:v>2011-11-16T00:00:00.000Z</x:v>
      </x:c>
      <x:c r="D244" s="9" t="d">
        <x:v>2011-11-17T00:00:00.000Z</x:v>
      </x:c>
      <x:c r="E244" s="1" t="str">
        <x:v>ridge</x:v>
      </x:c>
      <x:c r="F244" s="10" t="n">
        <x:v>0</x:v>
      </x:c>
      <x:c r="G244" s="10" t="n">
        <x:v>24.8736530915</x:v>
      </x:c>
      <x:c r="H244" s="10" t="n">
        <x:f>ABS(G244-F244)</x:f>
        <x:v>24.8736530915</x:v>
      </x:c>
      <x:c r="I244" s="10" t="n">
        <x:f>G244-F244</x:f>
        <x:v>24.8736530915</x:v>
      </x:c>
    </x:row>
    <x:row r="245" ht="20" customHeight="1">
      <x:c r="A245" s="1" t="str">
        <x:v>21181</x:v>
      </x:c>
      <x:c r="B245" s="10" t="n">
        <x:v>3</x:v>
      </x:c>
      <x:c r="C245" s="9" t="d">
        <x:v>2011-11-16T00:00:00.000Z</x:v>
      </x:c>
      <x:c r="D245" s="9" t="d">
        <x:v>2011-11-18T00:00:00.000Z</x:v>
      </x:c>
      <x:c r="E245" s="1" t="str">
        <x:v>ridge</x:v>
      </x:c>
      <x:c r="F245" s="10" t="n">
        <x:v>1</x:v>
      </x:c>
      <x:c r="G245" s="10" t="n">
        <x:v>19.2352427426</x:v>
      </x:c>
      <x:c r="H245" s="10" t="n">
        <x:f>ABS(G245-F245)</x:f>
        <x:v>18.2352427426</x:v>
      </x:c>
      <x:c r="I245" s="10" t="n">
        <x:f>G245-F245</x:f>
        <x:v>18.2352427426</x:v>
      </x:c>
    </x:row>
    <x:row r="246" ht="20" customHeight="1">
      <x:c r="A246" s="1" t="str">
        <x:v>21181</x:v>
      </x:c>
      <x:c r="B246" s="10" t="n">
        <x:v>3</x:v>
      </x:c>
      <x:c r="C246" s="9" t="d">
        <x:v>2011-11-16T00:00:00.000Z</x:v>
      </x:c>
      <x:c r="D246" s="9" t="d">
        <x:v>2011-11-19T00:00:00.000Z</x:v>
      </x:c>
      <x:c r="E246" s="1" t="str">
        <x:v>ridge</x:v>
      </x:c>
      <x:c r="F246" s="10" t="n">
        <x:v>0</x:v>
      </x:c>
      <x:c r="G246" s="10" t="n">
        <x:v>19.9006623021</x:v>
      </x:c>
      <x:c r="H246" s="10" t="n">
        <x:f>ABS(G246-F246)</x:f>
        <x:v>19.9006623021</x:v>
      </x:c>
      <x:c r="I246" s="10" t="n">
        <x:f>G246-F246</x:f>
        <x:v>19.9006623021</x:v>
      </x:c>
    </x:row>
    <x:row r="247" ht="20" customHeight="1">
      <x:c r="A247" s="1" t="str">
        <x:v>21181</x:v>
      </x:c>
      <x:c r="B247" s="10" t="n">
        <x:v>3</x:v>
      </x:c>
      <x:c r="C247" s="9" t="d">
        <x:v>2011-11-16T00:00:00.000Z</x:v>
      </x:c>
      <x:c r="D247" s="9" t="d">
        <x:v>2011-11-20T00:00:00.000Z</x:v>
      </x:c>
      <x:c r="E247" s="1" t="str">
        <x:v>ridge</x:v>
      </x:c>
      <x:c r="F247" s="10" t="n">
        <x:v>2</x:v>
      </x:c>
      <x:c r="G247" s="10" t="n">
        <x:v>30.589858609</x:v>
      </x:c>
      <x:c r="H247" s="10" t="n">
        <x:f>ABS(G247-F247)</x:f>
        <x:v>28.589858609</x:v>
      </x:c>
      <x:c r="I247" s="10" t="n">
        <x:f>G247-F247</x:f>
        <x:v>28.589858609</x:v>
      </x:c>
    </x:row>
    <x:row r="248" ht="20" customHeight="1">
      <x:c r="A248" s="1" t="str">
        <x:v>21181</x:v>
      </x:c>
      <x:c r="B248" s="10" t="n">
        <x:v>3</x:v>
      </x:c>
      <x:c r="C248" s="9" t="d">
        <x:v>2011-11-16T00:00:00.000Z</x:v>
      </x:c>
      <x:c r="D248" s="9" t="d">
        <x:v>2011-11-21T00:00:00.000Z</x:v>
      </x:c>
      <x:c r="E248" s="1" t="str">
        <x:v>ridge</x:v>
      </x:c>
      <x:c r="F248" s="10" t="n">
        <x:v>4</x:v>
      </x:c>
      <x:c r="G248" s="10" t="n">
        <x:v>53.3629236013</x:v>
      </x:c>
      <x:c r="H248" s="10" t="n">
        <x:f>ABS(G248-F248)</x:f>
        <x:v>49.3629236013</x:v>
      </x:c>
      <x:c r="I248" s="10" t="n">
        <x:f>G248-F248</x:f>
        <x:v>49.3629236013</x:v>
      </x:c>
    </x:row>
    <x:row r="249" ht="20" customHeight="1">
      <x:c r="A249" s="1" t="str">
        <x:v>21181</x:v>
      </x:c>
      <x:c r="B249" s="10" t="n">
        <x:v>3</x:v>
      </x:c>
      <x:c r="C249" s="9" t="d">
        <x:v>2011-11-16T00:00:00.000Z</x:v>
      </x:c>
      <x:c r="D249" s="9" t="d">
        <x:v>2011-11-22T00:00:00.000Z</x:v>
      </x:c>
      <x:c r="E249" s="1" t="str">
        <x:v>ridge</x:v>
      </x:c>
      <x:c r="F249" s="10" t="n">
        <x:v>3</x:v>
      </x:c>
      <x:c r="G249" s="10" t="n">
        <x:v>43.0988812813</x:v>
      </x:c>
      <x:c r="H249" s="10" t="n">
        <x:f>ABS(G249-F249)</x:f>
        <x:v>40.0988812813</x:v>
      </x:c>
      <x:c r="I249" s="10" t="n">
        <x:f>G249-F249</x:f>
        <x:v>40.0988812813</x:v>
      </x:c>
    </x:row>
    <x:row r="250" ht="20" customHeight="1">
      <x:c r="A250" s="1" t="str">
        <x:v>21181</x:v>
      </x:c>
      <x:c r="B250" s="10" t="n">
        <x:v>3</x:v>
      </x:c>
      <x:c r="C250" s="9" t="d">
        <x:v>2011-11-16T00:00:00.000Z</x:v>
      </x:c>
      <x:c r="D250" s="9" t="d">
        <x:v>2011-11-23T00:00:00.000Z</x:v>
      </x:c>
      <x:c r="E250" s="1" t="str">
        <x:v>ridge</x:v>
      </x:c>
      <x:c r="F250" s="10" t="n">
        <x:v>7</x:v>
      </x:c>
      <x:c r="G250" s="10" t="n">
        <x:v>37.4361810982</x:v>
      </x:c>
      <x:c r="H250" s="10" t="n">
        <x:f>ABS(G250-F250)</x:f>
        <x:v>30.436181098200002</x:v>
      </x:c>
      <x:c r="I250" s="10" t="n">
        <x:f>G250-F250</x:f>
        <x:v>30.436181098200002</x:v>
      </x:c>
    </x:row>
    <x:row r="251" ht="20" customHeight="1">
      <x:c r="A251" s="1" t="str">
        <x:v>21181</x:v>
      </x:c>
      <x:c r="B251" s="10" t="n">
        <x:v>3</x:v>
      </x:c>
      <x:c r="C251" s="9" t="d">
        <x:v>2011-11-16T00:00:00.000Z</x:v>
      </x:c>
      <x:c r="D251" s="9" t="d">
        <x:v>2011-11-24T00:00:00.000Z</x:v>
      </x:c>
      <x:c r="E251" s="1" t="str">
        <x:v>ridge</x:v>
      </x:c>
      <x:c r="F251" s="10" t="n">
        <x:v>2</x:v>
      </x:c>
      <x:c r="G251" s="10" t="n">
        <x:v>26.016943477</x:v>
      </x:c>
      <x:c r="H251" s="10" t="n">
        <x:f>ABS(G251-F251)</x:f>
        <x:v>24.016943477</x:v>
      </x:c>
      <x:c r="I251" s="10" t="n">
        <x:f>G251-F251</x:f>
        <x:v>24.016943477</x:v>
      </x:c>
    </x:row>
    <x:row r="252" ht="20" customHeight="1">
      <x:c r="A252" s="1" t="str">
        <x:v>21181</x:v>
      </x:c>
      <x:c r="B252" s="10" t="n">
        <x:v>3</x:v>
      </x:c>
      <x:c r="C252" s="9" t="d">
        <x:v>2011-11-16T00:00:00.000Z</x:v>
      </x:c>
      <x:c r="D252" s="9" t="d">
        <x:v>2011-11-25T00:00:00.000Z</x:v>
      </x:c>
      <x:c r="E252" s="1" t="str">
        <x:v>ridge</x:v>
      </x:c>
      <x:c r="F252" s="10" t="n">
        <x:v>0</x:v>
      </x:c>
      <x:c r="G252" s="10" t="n">
        <x:v>14.9811299978</x:v>
      </x:c>
      <x:c r="H252" s="10" t="n">
        <x:f>ABS(G252-F252)</x:f>
        <x:v>14.9811299978</x:v>
      </x:c>
      <x:c r="I252" s="10" t="n">
        <x:f>G252-F252</x:f>
        <x:v>14.9811299978</x:v>
      </x:c>
    </x:row>
    <x:row r="253" ht="20" customHeight="1">
      <x:c r="A253" s="1" t="str">
        <x:v>21181</x:v>
      </x:c>
      <x:c r="B253" s="10" t="n">
        <x:v>3</x:v>
      </x:c>
      <x:c r="C253" s="9" t="d">
        <x:v>2011-11-16T00:00:00.000Z</x:v>
      </x:c>
      <x:c r="D253" s="9" t="d">
        <x:v>2011-11-26T00:00:00.000Z</x:v>
      </x:c>
      <x:c r="E253" s="1" t="str">
        <x:v>ridge</x:v>
      </x:c>
      <x:c r="F253" s="10" t="n">
        <x:v>0</x:v>
      </x:c>
      <x:c r="G253" s="10" t="n">
        <x:v>13.3935256642</x:v>
      </x:c>
      <x:c r="H253" s="10" t="n">
        <x:f>ABS(G253-F253)</x:f>
        <x:v>13.3935256642</x:v>
      </x:c>
      <x:c r="I253" s="10" t="n">
        <x:f>G253-F253</x:f>
        <x:v>13.3935256642</x:v>
      </x:c>
    </x:row>
    <x:row r="254" ht="20" customHeight="1">
      <x:c r="A254" s="1" t="str">
        <x:v>21181</x:v>
      </x:c>
      <x:c r="B254" s="10" t="n">
        <x:v>3</x:v>
      </x:c>
      <x:c r="C254" s="9" t="d">
        <x:v>2011-11-16T00:00:00.000Z</x:v>
      </x:c>
      <x:c r="D254" s="9" t="d">
        <x:v>2011-11-27T00:00:00.000Z</x:v>
      </x:c>
      <x:c r="E254" s="1" t="str">
        <x:v>ridge</x:v>
      </x:c>
      <x:c r="F254" s="10" t="n">
        <x:v>25</x:v>
      </x:c>
      <x:c r="G254" s="10" t="n">
        <x:v>23.4370301345</x:v>
      </x:c>
      <x:c r="H254" s="10" t="n">
        <x:f>ABS(G254-F254)</x:f>
        <x:v>1.5629698655000013</x:v>
      </x:c>
      <x:c r="I254" s="10" t="n">
        <x:f>G254-F254</x:f>
        <x:v>-1.5629698655000013</x:v>
      </x:c>
    </x:row>
    <x:row r="255" ht="20" customHeight="1">
      <x:c r="A255" s="1" t="str">
        <x:v>21181</x:v>
      </x:c>
      <x:c r="B255" s="10" t="n">
        <x:v>3</x:v>
      </x:c>
      <x:c r="C255" s="9" t="d">
        <x:v>2011-11-16T00:00:00.000Z</x:v>
      </x:c>
      <x:c r="D255" s="9" t="d">
        <x:v>2011-11-28T00:00:00.000Z</x:v>
      </x:c>
      <x:c r="E255" s="1" t="str">
        <x:v>ridge</x:v>
      </x:c>
      <x:c r="F255" s="10" t="n">
        <x:v>372</x:v>
      </x:c>
      <x:c r="G255" s="10" t="n">
        <x:v>36.9648765274</x:v>
      </x:c>
      <x:c r="H255" s="10" t="n">
        <x:f>ABS(G255-F255)</x:f>
        <x:v>335.0351234726</x:v>
      </x:c>
      <x:c r="I255" s="10" t="n">
        <x:f>G255-F255</x:f>
        <x:v>-335.0351234726</x:v>
      </x:c>
    </x:row>
    <x:row r="256" ht="20" customHeight="1">
      <x:c r="A256" s="1" t="str">
        <x:v>21181</x:v>
      </x:c>
      <x:c r="B256" s="10" t="n">
        <x:v>3</x:v>
      </x:c>
      <x:c r="C256" s="9" t="d">
        <x:v>2011-11-16T00:00:00.000Z</x:v>
      </x:c>
      <x:c r="D256" s="9" t="d">
        <x:v>2011-11-29T00:00:00.000Z</x:v>
      </x:c>
      <x:c r="E256" s="1" t="str">
        <x:v>ridge</x:v>
      </x:c>
      <x:c r="F256" s="10" t="n">
        <x:v>169</x:v>
      </x:c>
      <x:c r="G256" s="10" t="n">
        <x:v>41.7149051923</x:v>
      </x:c>
      <x:c r="H256" s="10" t="n">
        <x:f>ABS(G256-F256)</x:f>
        <x:v>127.2850948077</x:v>
      </x:c>
      <x:c r="I256" s="10" t="n">
        <x:f>G256-F256</x:f>
        <x:v>-127.2850948077</x:v>
      </x:c>
    </x:row>
    <x:row r="257" ht="20" customHeight="1">
      <x:c r="A257" s="1" t="str">
        <x:v>21181</x:v>
      </x:c>
      <x:c r="B257" s="10" t="n">
        <x:v>3</x:v>
      </x:c>
      <x:c r="C257" s="9" t="d">
        <x:v>2011-11-16T00:00:00.000Z</x:v>
      </x:c>
      <x:c r="D257" s="9" t="d">
        <x:v>2011-11-30T00:00:00.000Z</x:v>
      </x:c>
      <x:c r="E257" s="1" t="str">
        <x:v>ridge</x:v>
      </x:c>
      <x:c r="F257" s="10" t="n">
        <x:v>194</x:v>
      </x:c>
      <x:c r="G257" s="10" t="n">
        <x:v>36.4868176684</x:v>
      </x:c>
      <x:c r="H257" s="10" t="n">
        <x:f>ABS(G257-F257)</x:f>
        <x:v>157.5131823316</x:v>
      </x:c>
      <x:c r="I257" s="10" t="n">
        <x:f>G257-F257</x:f>
        <x:v>-157.5131823316</x:v>
      </x:c>
    </x:row>
    <x:row r="258" ht="20" customHeight="1">
      <x:c r="A258" s="1" t="str">
        <x:v>21212</x:v>
      </x:c>
      <x:c r="B258" s="10" t="n">
        <x:v>1</x:v>
      </x:c>
      <x:c r="C258" s="9" t="d">
        <x:v>2011-10-19T00:00:00.000Z</x:v>
      </x:c>
      <x:c r="D258" s="9" t="d">
        <x:v>2011-10-20T00:00:00.000Z</x:v>
      </x:c>
      <x:c r="E258" s="1" t="str">
        <x:v>naive</x:v>
      </x:c>
      <x:c r="F258" s="10" t="n">
        <x:v>72</x:v>
      </x:c>
      <x:c r="G258" s="10" t="n">
        <x:v>0</x:v>
      </x:c>
      <x:c r="H258" s="10" t="n">
        <x:f>ABS(G258-F258)</x:f>
        <x:v>72</x:v>
      </x:c>
      <x:c r="I258" s="10" t="n">
        <x:f>G258-F258</x:f>
        <x:v>-72</x:v>
      </x:c>
    </x:row>
    <x:row r="259" ht="20" customHeight="1">
      <x:c r="A259" s="1" t="str">
        <x:v>21212</x:v>
      </x:c>
      <x:c r="B259" s="10" t="n">
        <x:v>1</x:v>
      </x:c>
      <x:c r="C259" s="9" t="d">
        <x:v>2011-10-19T00:00:00.000Z</x:v>
      </x:c>
      <x:c r="D259" s="9" t="d">
        <x:v>2011-10-21T00:00:00.000Z</x:v>
      </x:c>
      <x:c r="E259" s="1" t="str">
        <x:v>naive</x:v>
      </x:c>
      <x:c r="F259" s="10" t="n">
        <x:v>49</x:v>
      </x:c>
      <x:c r="G259" s="10" t="n">
        <x:v>0</x:v>
      </x:c>
      <x:c r="H259" s="10" t="n">
        <x:f>ABS(G259-F259)</x:f>
        <x:v>49</x:v>
      </x:c>
      <x:c r="I259" s="10" t="n">
        <x:f>G259-F259</x:f>
        <x:v>-49</x:v>
      </x:c>
    </x:row>
    <x:row r="260" ht="20" customHeight="1">
      <x:c r="A260" s="1" t="str">
        <x:v>21212</x:v>
      </x:c>
      <x:c r="B260" s="10" t="n">
        <x:v>1</x:v>
      </x:c>
      <x:c r="C260" s="9" t="d">
        <x:v>2011-10-19T00:00:00.000Z</x:v>
      </x:c>
      <x:c r="D260" s="9" t="d">
        <x:v>2011-10-22T00:00:00.000Z</x:v>
      </x:c>
      <x:c r="E260" s="1" t="str">
        <x:v>naive</x:v>
      </x:c>
      <x:c r="F260" s="10" t="n">
        <x:v>0</x:v>
      </x:c>
      <x:c r="G260" s="10" t="n">
        <x:v>0</x:v>
      </x:c>
      <x:c r="H260" s="10" t="n">
        <x:f>ABS(G260-F260)</x:f>
        <x:v>0</x:v>
      </x:c>
      <x:c r="I260" s="10" t="n">
        <x:f>G260-F260</x:f>
        <x:v>0</x:v>
      </x:c>
    </x:row>
    <x:row r="261" ht="20" customHeight="1">
      <x:c r="A261" s="1" t="str">
        <x:v>21212</x:v>
      </x:c>
      <x:c r="B261" s="10" t="n">
        <x:v>1</x:v>
      </x:c>
      <x:c r="C261" s="9" t="d">
        <x:v>2011-10-19T00:00:00.000Z</x:v>
      </x:c>
      <x:c r="D261" s="9" t="d">
        <x:v>2011-10-23T00:00:00.000Z</x:v>
      </x:c>
      <x:c r="E261" s="1" t="str">
        <x:v>naive</x:v>
      </x:c>
      <x:c r="F261" s="10" t="n">
        <x:v>27</x:v>
      </x:c>
      <x:c r="G261" s="10" t="n">
        <x:v>0</x:v>
      </x:c>
      <x:c r="H261" s="10" t="n">
        <x:f>ABS(G261-F261)</x:f>
        <x:v>27</x:v>
      </x:c>
      <x:c r="I261" s="10" t="n">
        <x:f>G261-F261</x:f>
        <x:v>-27</x:v>
      </x:c>
    </x:row>
    <x:row r="262" ht="20" customHeight="1">
      <x:c r="A262" s="1" t="str">
        <x:v>21212</x:v>
      </x:c>
      <x:c r="B262" s="10" t="n">
        <x:v>1</x:v>
      </x:c>
      <x:c r="C262" s="9" t="d">
        <x:v>2011-10-19T00:00:00.000Z</x:v>
      </x:c>
      <x:c r="D262" s="9" t="d">
        <x:v>2011-10-24T00:00:00.000Z</x:v>
      </x:c>
      <x:c r="E262" s="1" t="str">
        <x:v>naive</x:v>
      </x:c>
      <x:c r="F262" s="10" t="n">
        <x:v>14</x:v>
      </x:c>
      <x:c r="G262" s="10" t="n">
        <x:v>0</x:v>
      </x:c>
      <x:c r="H262" s="10" t="n">
        <x:f>ABS(G262-F262)</x:f>
        <x:v>14</x:v>
      </x:c>
      <x:c r="I262" s="10" t="n">
        <x:f>G262-F262</x:f>
        <x:v>-14</x:v>
      </x:c>
    </x:row>
    <x:row r="263" ht="20" customHeight="1">
      <x:c r="A263" s="1" t="str">
        <x:v>21212</x:v>
      </x:c>
      <x:c r="B263" s="10" t="n">
        <x:v>1</x:v>
      </x:c>
      <x:c r="C263" s="9" t="d">
        <x:v>2011-10-19T00:00:00.000Z</x:v>
      </x:c>
      <x:c r="D263" s="9" t="d">
        <x:v>2011-10-25T00:00:00.000Z</x:v>
      </x:c>
      <x:c r="E263" s="1" t="str">
        <x:v>naive</x:v>
      </x:c>
      <x:c r="F263" s="10" t="n">
        <x:v>61</x:v>
      </x:c>
      <x:c r="G263" s="10" t="n">
        <x:v>0</x:v>
      </x:c>
      <x:c r="H263" s="10" t="n">
        <x:f>ABS(G263-F263)</x:f>
        <x:v>61</x:v>
      </x:c>
      <x:c r="I263" s="10" t="n">
        <x:f>G263-F263</x:f>
        <x:v>-61</x:v>
      </x:c>
    </x:row>
    <x:row r="264" ht="20" customHeight="1">
      <x:c r="A264" s="1" t="str">
        <x:v>21212</x:v>
      </x:c>
      <x:c r="B264" s="10" t="n">
        <x:v>1</x:v>
      </x:c>
      <x:c r="C264" s="9" t="d">
        <x:v>2011-10-19T00:00:00.000Z</x:v>
      </x:c>
      <x:c r="D264" s="9" t="d">
        <x:v>2011-10-26T00:00:00.000Z</x:v>
      </x:c>
      <x:c r="E264" s="1" t="str">
        <x:v>naive</x:v>
      </x:c>
      <x:c r="F264" s="10" t="n">
        <x:v>60</x:v>
      </x:c>
      <x:c r="G264" s="10" t="n">
        <x:v>0</x:v>
      </x:c>
      <x:c r="H264" s="10" t="n">
        <x:f>ABS(G264-F264)</x:f>
        <x:v>60</x:v>
      </x:c>
      <x:c r="I264" s="10" t="n">
        <x:f>G264-F264</x:f>
        <x:v>-60</x:v>
      </x:c>
    </x:row>
    <x:row r="265" ht="20" customHeight="1">
      <x:c r="A265" s="1" t="str">
        <x:v>21212</x:v>
      </x:c>
      <x:c r="B265" s="10" t="n">
        <x:v>1</x:v>
      </x:c>
      <x:c r="C265" s="9" t="d">
        <x:v>2011-10-19T00:00:00.000Z</x:v>
      </x:c>
      <x:c r="D265" s="9" t="d">
        <x:v>2011-10-27T00:00:00.000Z</x:v>
      </x:c>
      <x:c r="E265" s="1" t="str">
        <x:v>naive</x:v>
      </x:c>
      <x:c r="F265" s="10" t="n">
        <x:v>61</x:v>
      </x:c>
      <x:c r="G265" s="10" t="n">
        <x:v>0</x:v>
      </x:c>
      <x:c r="H265" s="10" t="n">
        <x:f>ABS(G265-F265)</x:f>
        <x:v>61</x:v>
      </x:c>
      <x:c r="I265" s="10" t="n">
        <x:f>G265-F265</x:f>
        <x:v>-61</x:v>
      </x:c>
    </x:row>
    <x:row r="266" ht="20" customHeight="1">
      <x:c r="A266" s="1" t="str">
        <x:v>21212</x:v>
      </x:c>
      <x:c r="B266" s="10" t="n">
        <x:v>1</x:v>
      </x:c>
      <x:c r="C266" s="9" t="d">
        <x:v>2011-10-19T00:00:00.000Z</x:v>
      </x:c>
      <x:c r="D266" s="9" t="d">
        <x:v>2011-10-28T00:00:00.000Z</x:v>
      </x:c>
      <x:c r="E266" s="1" t="str">
        <x:v>naive</x:v>
      </x:c>
      <x:c r="F266" s="10" t="n">
        <x:v>244</x:v>
      </x:c>
      <x:c r="G266" s="10" t="n">
        <x:v>0</x:v>
      </x:c>
      <x:c r="H266" s="10" t="n">
        <x:f>ABS(G266-F266)</x:f>
        <x:v>244</x:v>
      </x:c>
      <x:c r="I266" s="10" t="n">
        <x:f>G266-F266</x:f>
        <x:v>-244</x:v>
      </x:c>
    </x:row>
    <x:row r="267" ht="20" customHeight="1">
      <x:c r="A267" s="1" t="str">
        <x:v>21212</x:v>
      </x:c>
      <x:c r="B267" s="10" t="n">
        <x:v>1</x:v>
      </x:c>
      <x:c r="C267" s="9" t="d">
        <x:v>2011-10-19T00:00:00.000Z</x:v>
      </x:c>
      <x:c r="D267" s="9" t="d">
        <x:v>2011-10-29T00:00:00.000Z</x:v>
      </x:c>
      <x:c r="E267" s="1" t="str">
        <x:v>naive</x:v>
      </x:c>
      <x:c r="F267" s="10" t="n">
        <x:v>0</x:v>
      </x:c>
      <x:c r="G267" s="10" t="n">
        <x:v>0</x:v>
      </x:c>
      <x:c r="H267" s="10" t="n">
        <x:f>ABS(G267-F267)</x:f>
        <x:v>0</x:v>
      </x:c>
      <x:c r="I267" s="10" t="n">
        <x:f>G267-F267</x:f>
        <x:v>0</x:v>
      </x:c>
    </x:row>
    <x:row r="268" ht="20" customHeight="1">
      <x:c r="A268" s="1" t="str">
        <x:v>21212</x:v>
      </x:c>
      <x:c r="B268" s="10" t="n">
        <x:v>1</x:v>
      </x:c>
      <x:c r="C268" s="9" t="d">
        <x:v>2011-10-19T00:00:00.000Z</x:v>
      </x:c>
      <x:c r="D268" s="9" t="d">
        <x:v>2011-10-30T00:00:00.000Z</x:v>
      </x:c>
      <x:c r="E268" s="1" t="str">
        <x:v>naive</x:v>
      </x:c>
      <x:c r="F268" s="10" t="n">
        <x:v>81</x:v>
      </x:c>
      <x:c r="G268" s="10" t="n">
        <x:v>0</x:v>
      </x:c>
      <x:c r="H268" s="10" t="n">
        <x:f>ABS(G268-F268)</x:f>
        <x:v>81</x:v>
      </x:c>
      <x:c r="I268" s="10" t="n">
        <x:f>G268-F268</x:f>
        <x:v>-81</x:v>
      </x:c>
    </x:row>
    <x:row r="269" ht="20" customHeight="1">
      <x:c r="A269" s="1" t="str">
        <x:v>21212</x:v>
      </x:c>
      <x:c r="B269" s="10" t="n">
        <x:v>1</x:v>
      </x:c>
      <x:c r="C269" s="9" t="d">
        <x:v>2011-10-19T00:00:00.000Z</x:v>
      </x:c>
      <x:c r="D269" s="9" t="d">
        <x:v>2011-10-31T00:00:00.000Z</x:v>
      </x:c>
      <x:c r="E269" s="1" t="str">
        <x:v>naive</x:v>
      </x:c>
      <x:c r="F269" s="10" t="n">
        <x:v>64</x:v>
      </x:c>
      <x:c r="G269" s="10" t="n">
        <x:v>0</x:v>
      </x:c>
      <x:c r="H269" s="10" t="n">
        <x:f>ABS(G269-F269)</x:f>
        <x:v>64</x:v>
      </x:c>
      <x:c r="I269" s="10" t="n">
        <x:f>G269-F269</x:f>
        <x:v>-64</x:v>
      </x:c>
    </x:row>
    <x:row r="270" ht="20" customHeight="1">
      <x:c r="A270" s="1" t="str">
        <x:v>21212</x:v>
      </x:c>
      <x:c r="B270" s="10" t="n">
        <x:v>1</x:v>
      </x:c>
      <x:c r="C270" s="9" t="d">
        <x:v>2011-10-19T00:00:00.000Z</x:v>
      </x:c>
      <x:c r="D270" s="9" t="d">
        <x:v>2011-11-01T00:00:00.000Z</x:v>
      </x:c>
      <x:c r="E270" s="1" t="str">
        <x:v>naive</x:v>
      </x:c>
      <x:c r="F270" s="10" t="n">
        <x:v>28</x:v>
      </x:c>
      <x:c r="G270" s="10" t="n">
        <x:v>0</x:v>
      </x:c>
      <x:c r="H270" s="10" t="n">
        <x:f>ABS(G270-F270)</x:f>
        <x:v>28</x:v>
      </x:c>
      <x:c r="I270" s="10" t="n">
        <x:f>G270-F270</x:f>
        <x:v>-28</x:v>
      </x:c>
    </x:row>
    <x:row r="271" ht="20" customHeight="1">
      <x:c r="A271" s="1" t="str">
        <x:v>21212</x:v>
      </x:c>
      <x:c r="B271" s="10" t="n">
        <x:v>1</x:v>
      </x:c>
      <x:c r="C271" s="9" t="d">
        <x:v>2011-10-19T00:00:00.000Z</x:v>
      </x:c>
      <x:c r="D271" s="9" t="d">
        <x:v>2011-11-02T00:00:00.000Z</x:v>
      </x:c>
      <x:c r="E271" s="1" t="str">
        <x:v>naive</x:v>
      </x:c>
      <x:c r="F271" s="10" t="n">
        <x:v>219</x:v>
      </x:c>
      <x:c r="G271" s="10" t="n">
        <x:v>0</x:v>
      </x:c>
      <x:c r="H271" s="10" t="n">
        <x:f>ABS(G271-F271)</x:f>
        <x:v>219</x:v>
      </x:c>
      <x:c r="I271" s="10" t="n">
        <x:f>G271-F271</x:f>
        <x:v>-219</x:v>
      </x:c>
    </x:row>
    <x:row r="272" ht="20" customHeight="1">
      <x:c r="A272" s="1" t="str">
        <x:v>21212</x:v>
      </x:c>
      <x:c r="B272" s="10" t="n">
        <x:v>1</x:v>
      </x:c>
      <x:c r="C272" s="9" t="d">
        <x:v>2011-10-19T00:00:00.000Z</x:v>
      </x:c>
      <x:c r="D272" s="9" t="d">
        <x:v>2011-10-20T00:00:00.000Z</x:v>
      </x:c>
      <x:c r="E272" s="1" t="str">
        <x:v>seasonal_naive</x:v>
      </x:c>
      <x:c r="F272" s="10" t="n">
        <x:v>72</x:v>
      </x:c>
      <x:c r="G272" s="10" t="n">
        <x:v>169</x:v>
      </x:c>
      <x:c r="H272" s="10" t="n">
        <x:f>ABS(G272-F272)</x:f>
        <x:v>97</x:v>
      </x:c>
      <x:c r="I272" s="10" t="n">
        <x:f>G272-F272</x:f>
        <x:v>97</x:v>
      </x:c>
    </x:row>
    <x:row r="273" ht="20" customHeight="1">
      <x:c r="A273" s="1" t="str">
        <x:v>21212</x:v>
      </x:c>
      <x:c r="B273" s="10" t="n">
        <x:v>1</x:v>
      </x:c>
      <x:c r="C273" s="9" t="d">
        <x:v>2011-10-19T00:00:00.000Z</x:v>
      </x:c>
      <x:c r="D273" s="9" t="d">
        <x:v>2011-10-21T00:00:00.000Z</x:v>
      </x:c>
      <x:c r="E273" s="1" t="str">
        <x:v>seasonal_naive</x:v>
      </x:c>
      <x:c r="F273" s="10" t="n">
        <x:v>49</x:v>
      </x:c>
      <x:c r="G273" s="10" t="n">
        <x:v>45</x:v>
      </x:c>
      <x:c r="H273" s="10" t="n">
        <x:f>ABS(G273-F273)</x:f>
        <x:v>4</x:v>
      </x:c>
      <x:c r="I273" s="10" t="n">
        <x:f>G273-F273</x:f>
        <x:v>-4</x:v>
      </x:c>
    </x:row>
    <x:row r="274" ht="20" customHeight="1">
      <x:c r="A274" s="1" t="str">
        <x:v>21212</x:v>
      </x:c>
      <x:c r="B274" s="10" t="n">
        <x:v>1</x:v>
      </x:c>
      <x:c r="C274" s="9" t="d">
        <x:v>2011-10-19T00:00:00.000Z</x:v>
      </x:c>
      <x:c r="D274" s="9" t="d">
        <x:v>2011-10-22T00:00:00.000Z</x:v>
      </x:c>
      <x:c r="E274" s="1" t="str">
        <x:v>seasonal_naive</x:v>
      </x:c>
      <x:c r="F274" s="10" t="n">
        <x:v>0</x:v>
      </x:c>
      <x:c r="G274" s="10" t="n">
        <x:v>0</x:v>
      </x:c>
      <x:c r="H274" s="10" t="n">
        <x:f>ABS(G274-F274)</x:f>
        <x:v>0</x:v>
      </x:c>
      <x:c r="I274" s="10" t="n">
        <x:f>G274-F274</x:f>
        <x:v>0</x:v>
      </x:c>
    </x:row>
    <x:row r="275" ht="20" customHeight="1">
      <x:c r="A275" s="1" t="str">
        <x:v>21212</x:v>
      </x:c>
      <x:c r="B275" s="10" t="n">
        <x:v>1</x:v>
      </x:c>
      <x:c r="C275" s="9" t="d">
        <x:v>2011-10-19T00:00:00.000Z</x:v>
      </x:c>
      <x:c r="D275" s="9" t="d">
        <x:v>2011-10-23T00:00:00.000Z</x:v>
      </x:c>
      <x:c r="E275" s="1" t="str">
        <x:v>seasonal_naive</x:v>
      </x:c>
      <x:c r="F275" s="10" t="n">
        <x:v>27</x:v>
      </x:c>
      <x:c r="G275" s="10" t="n">
        <x:v>24</x:v>
      </x:c>
      <x:c r="H275" s="10" t="n">
        <x:f>ABS(G275-F275)</x:f>
        <x:v>3</x:v>
      </x:c>
      <x:c r="I275" s="10" t="n">
        <x:f>G275-F275</x:f>
        <x:v>-3</x:v>
      </x:c>
    </x:row>
    <x:row r="276" ht="20" customHeight="1">
      <x:c r="A276" s="1" t="str">
        <x:v>21212</x:v>
      </x:c>
      <x:c r="B276" s="10" t="n">
        <x:v>1</x:v>
      </x:c>
      <x:c r="C276" s="9" t="d">
        <x:v>2011-10-19T00:00:00.000Z</x:v>
      </x:c>
      <x:c r="D276" s="9" t="d">
        <x:v>2011-10-24T00:00:00.000Z</x:v>
      </x:c>
      <x:c r="E276" s="1" t="str">
        <x:v>seasonal_naive</x:v>
      </x:c>
      <x:c r="F276" s="10" t="n">
        <x:v>14</x:v>
      </x:c>
      <x:c r="G276" s="10" t="n">
        <x:v>275</x:v>
      </x:c>
      <x:c r="H276" s="10" t="n">
        <x:f>ABS(G276-F276)</x:f>
        <x:v>261</x:v>
      </x:c>
      <x:c r="I276" s="10" t="n">
        <x:f>G276-F276</x:f>
        <x:v>261</x:v>
      </x:c>
    </x:row>
    <x:row r="277" ht="20" customHeight="1">
      <x:c r="A277" s="1" t="str">
        <x:v>21212</x:v>
      </x:c>
      <x:c r="B277" s="10" t="n">
        <x:v>1</x:v>
      </x:c>
      <x:c r="C277" s="9" t="d">
        <x:v>2011-10-19T00:00:00.000Z</x:v>
      </x:c>
      <x:c r="D277" s="9" t="d">
        <x:v>2011-10-25T00:00:00.000Z</x:v>
      </x:c>
      <x:c r="E277" s="1" t="str">
        <x:v>seasonal_naive</x:v>
      </x:c>
      <x:c r="F277" s="10" t="n">
        <x:v>61</x:v>
      </x:c>
      <x:c r="G277" s="10" t="n">
        <x:v>80</x:v>
      </x:c>
      <x:c r="H277" s="10" t="n">
        <x:f>ABS(G277-F277)</x:f>
        <x:v>19</x:v>
      </x:c>
      <x:c r="I277" s="10" t="n">
        <x:f>G277-F277</x:f>
        <x:v>19</x:v>
      </x:c>
    </x:row>
    <x:row r="278" ht="20" customHeight="1">
      <x:c r="A278" s="1" t="str">
        <x:v>21212</x:v>
      </x:c>
      <x:c r="B278" s="10" t="n">
        <x:v>1</x:v>
      </x:c>
      <x:c r="C278" s="9" t="d">
        <x:v>2011-10-19T00:00:00.000Z</x:v>
      </x:c>
      <x:c r="D278" s="9" t="d">
        <x:v>2011-10-26T00:00:00.000Z</x:v>
      </x:c>
      <x:c r="E278" s="1" t="str">
        <x:v>seasonal_naive</x:v>
      </x:c>
      <x:c r="F278" s="10" t="n">
        <x:v>60</x:v>
      </x:c>
      <x:c r="G278" s="10" t="n">
        <x:v>0</x:v>
      </x:c>
      <x:c r="H278" s="10" t="n">
        <x:f>ABS(G278-F278)</x:f>
        <x:v>60</x:v>
      </x:c>
      <x:c r="I278" s="10" t="n">
        <x:f>G278-F278</x:f>
        <x:v>-60</x:v>
      </x:c>
    </x:row>
    <x:row r="279" ht="20" customHeight="1">
      <x:c r="A279" s="1" t="str">
        <x:v>21212</x:v>
      </x:c>
      <x:c r="B279" s="10" t="n">
        <x:v>1</x:v>
      </x:c>
      <x:c r="C279" s="9" t="d">
        <x:v>2011-10-19T00:00:00.000Z</x:v>
      </x:c>
      <x:c r="D279" s="9" t="d">
        <x:v>2011-10-27T00:00:00.000Z</x:v>
      </x:c>
      <x:c r="E279" s="1" t="str">
        <x:v>seasonal_naive</x:v>
      </x:c>
      <x:c r="F279" s="10" t="n">
        <x:v>61</x:v>
      </x:c>
      <x:c r="G279" s="10" t="n">
        <x:v>169</x:v>
      </x:c>
      <x:c r="H279" s="10" t="n">
        <x:f>ABS(G279-F279)</x:f>
        <x:v>108</x:v>
      </x:c>
      <x:c r="I279" s="10" t="n">
        <x:f>G279-F279</x:f>
        <x:v>108</x:v>
      </x:c>
    </x:row>
    <x:row r="280" ht="20" customHeight="1">
      <x:c r="A280" s="1" t="str">
        <x:v>21212</x:v>
      </x:c>
      <x:c r="B280" s="10" t="n">
        <x:v>1</x:v>
      </x:c>
      <x:c r="C280" s="9" t="d">
        <x:v>2011-10-19T00:00:00.000Z</x:v>
      </x:c>
      <x:c r="D280" s="9" t="d">
        <x:v>2011-10-28T00:00:00.000Z</x:v>
      </x:c>
      <x:c r="E280" s="1" t="str">
        <x:v>seasonal_naive</x:v>
      </x:c>
      <x:c r="F280" s="10" t="n">
        <x:v>244</x:v>
      </x:c>
      <x:c r="G280" s="10" t="n">
        <x:v>45</x:v>
      </x:c>
      <x:c r="H280" s="10" t="n">
        <x:f>ABS(G280-F280)</x:f>
        <x:v>199</x:v>
      </x:c>
      <x:c r="I280" s="10" t="n">
        <x:f>G280-F280</x:f>
        <x:v>-199</x:v>
      </x:c>
    </x:row>
    <x:row r="281" ht="20" customHeight="1">
      <x:c r="A281" s="1" t="str">
        <x:v>21212</x:v>
      </x:c>
      <x:c r="B281" s="10" t="n">
        <x:v>1</x:v>
      </x:c>
      <x:c r="C281" s="9" t="d">
        <x:v>2011-10-19T00:00:00.000Z</x:v>
      </x:c>
      <x:c r="D281" s="9" t="d">
        <x:v>2011-10-29T00:00:00.000Z</x:v>
      </x:c>
      <x:c r="E281" s="1" t="str">
        <x:v>seasonal_naive</x:v>
      </x:c>
      <x:c r="F281" s="10" t="n">
        <x:v>0</x:v>
      </x:c>
      <x:c r="G281" s="10" t="n">
        <x:v>0</x:v>
      </x:c>
      <x:c r="H281" s="10" t="n">
        <x:f>ABS(G281-F281)</x:f>
        <x:v>0</x:v>
      </x:c>
      <x:c r="I281" s="10" t="n">
        <x:f>G281-F281</x:f>
        <x:v>0</x:v>
      </x:c>
    </x:row>
    <x:row r="282" ht="20" customHeight="1">
      <x:c r="A282" s="1" t="str">
        <x:v>21212</x:v>
      </x:c>
      <x:c r="B282" s="10" t="n">
        <x:v>1</x:v>
      </x:c>
      <x:c r="C282" s="9" t="d">
        <x:v>2011-10-19T00:00:00.000Z</x:v>
      </x:c>
      <x:c r="D282" s="9" t="d">
        <x:v>2011-10-30T00:00:00.000Z</x:v>
      </x:c>
      <x:c r="E282" s="1" t="str">
        <x:v>seasonal_naive</x:v>
      </x:c>
      <x:c r="F282" s="10" t="n">
        <x:v>81</x:v>
      </x:c>
      <x:c r="G282" s="10" t="n">
        <x:v>24</x:v>
      </x:c>
      <x:c r="H282" s="10" t="n">
        <x:f>ABS(G282-F282)</x:f>
        <x:v>57</x:v>
      </x:c>
      <x:c r="I282" s="10" t="n">
        <x:f>G282-F282</x:f>
        <x:v>-57</x:v>
      </x:c>
    </x:row>
    <x:row r="283" ht="20" customHeight="1">
      <x:c r="A283" s="1" t="str">
        <x:v>21212</x:v>
      </x:c>
      <x:c r="B283" s="10" t="n">
        <x:v>1</x:v>
      </x:c>
      <x:c r="C283" s="9" t="d">
        <x:v>2011-10-19T00:00:00.000Z</x:v>
      </x:c>
      <x:c r="D283" s="9" t="d">
        <x:v>2011-10-31T00:00:00.000Z</x:v>
      </x:c>
      <x:c r="E283" s="1" t="str">
        <x:v>seasonal_naive</x:v>
      </x:c>
      <x:c r="F283" s="10" t="n">
        <x:v>64</x:v>
      </x:c>
      <x:c r="G283" s="10" t="n">
        <x:v>275</x:v>
      </x:c>
      <x:c r="H283" s="10" t="n">
        <x:f>ABS(G283-F283)</x:f>
        <x:v>211</x:v>
      </x:c>
      <x:c r="I283" s="10" t="n">
        <x:f>G283-F283</x:f>
        <x:v>211</x:v>
      </x:c>
    </x:row>
    <x:row r="284" ht="20" customHeight="1">
      <x:c r="A284" s="1" t="str">
        <x:v>21212</x:v>
      </x:c>
      <x:c r="B284" s="10" t="n">
        <x:v>1</x:v>
      </x:c>
      <x:c r="C284" s="9" t="d">
        <x:v>2011-10-19T00:00:00.000Z</x:v>
      </x:c>
      <x:c r="D284" s="9" t="d">
        <x:v>2011-11-01T00:00:00.000Z</x:v>
      </x:c>
      <x:c r="E284" s="1" t="str">
        <x:v>seasonal_naive</x:v>
      </x:c>
      <x:c r="F284" s="10" t="n">
        <x:v>28</x:v>
      </x:c>
      <x:c r="G284" s="10" t="n">
        <x:v>80</x:v>
      </x:c>
      <x:c r="H284" s="10" t="n">
        <x:f>ABS(G284-F284)</x:f>
        <x:v>52</x:v>
      </x:c>
      <x:c r="I284" s="10" t="n">
        <x:f>G284-F284</x:f>
        <x:v>52</x:v>
      </x:c>
    </x:row>
    <x:row r="285" ht="20" customHeight="1">
      <x:c r="A285" s="1" t="str">
        <x:v>21212</x:v>
      </x:c>
      <x:c r="B285" s="10" t="n">
        <x:v>1</x:v>
      </x:c>
      <x:c r="C285" s="9" t="d">
        <x:v>2011-10-19T00:00:00.000Z</x:v>
      </x:c>
      <x:c r="D285" s="9" t="d">
        <x:v>2011-11-02T00:00:00.000Z</x:v>
      </x:c>
      <x:c r="E285" s="1" t="str">
        <x:v>seasonal_naive</x:v>
      </x:c>
      <x:c r="F285" s="10" t="n">
        <x:v>219</x:v>
      </x:c>
      <x:c r="G285" s="10" t="n">
        <x:v>0</x:v>
      </x:c>
      <x:c r="H285" s="10" t="n">
        <x:f>ABS(G285-F285)</x:f>
        <x:v>219</x:v>
      </x:c>
      <x:c r="I285" s="10" t="n">
        <x:f>G285-F285</x:f>
        <x:v>-219</x:v>
      </x:c>
    </x:row>
    <x:row r="286" ht="20" customHeight="1">
      <x:c r="A286" s="1" t="str">
        <x:v>21212</x:v>
      </x:c>
      <x:c r="B286" s="10" t="n">
        <x:v>1</x:v>
      </x:c>
      <x:c r="C286" s="9" t="d">
        <x:v>2011-10-19T00:00:00.000Z</x:v>
      </x:c>
      <x:c r="D286" s="9" t="d">
        <x:v>2011-10-20T00:00:00.000Z</x:v>
      </x:c>
      <x:c r="E286" s="1" t="str">
        <x:v>ridge</x:v>
      </x:c>
      <x:c r="F286" s="10" t="n">
        <x:v>72</x:v>
      </x:c>
      <x:c r="G286" s="10" t="n">
        <x:v>170.4029222289</x:v>
      </x:c>
      <x:c r="H286" s="10" t="n">
        <x:f>ABS(G286-F286)</x:f>
        <x:v>98.4029222289</x:v>
      </x:c>
      <x:c r="I286" s="10" t="n">
        <x:f>G286-F286</x:f>
        <x:v>98.4029222289</x:v>
      </x:c>
    </x:row>
    <x:row r="287" ht="20" customHeight="1">
      <x:c r="A287" s="1" t="str">
        <x:v>21212</x:v>
      </x:c>
      <x:c r="B287" s="10" t="n">
        <x:v>1</x:v>
      </x:c>
      <x:c r="C287" s="9" t="d">
        <x:v>2011-10-19T00:00:00.000Z</x:v>
      </x:c>
      <x:c r="D287" s="9" t="d">
        <x:v>2011-10-21T00:00:00.000Z</x:v>
      </x:c>
      <x:c r="E287" s="1" t="str">
        <x:v>ridge</x:v>
      </x:c>
      <x:c r="F287" s="10" t="n">
        <x:v>49</x:v>
      </x:c>
      <x:c r="G287" s="10" t="n">
        <x:v>97.4494479656</x:v>
      </x:c>
      <x:c r="H287" s="10" t="n">
        <x:f>ABS(G287-F287)</x:f>
        <x:v>48.4494479656</x:v>
      </x:c>
      <x:c r="I287" s="10" t="n">
        <x:f>G287-F287</x:f>
        <x:v>48.4494479656</x:v>
      </x:c>
    </x:row>
    <x:row r="288" ht="20" customHeight="1">
      <x:c r="A288" s="1" t="str">
        <x:v>21212</x:v>
      </x:c>
      <x:c r="B288" s="10" t="n">
        <x:v>1</x:v>
      </x:c>
      <x:c r="C288" s="9" t="d">
        <x:v>2011-10-19T00:00:00.000Z</x:v>
      </x:c>
      <x:c r="D288" s="9" t="d">
        <x:v>2011-10-22T00:00:00.000Z</x:v>
      </x:c>
      <x:c r="E288" s="1" t="str">
        <x:v>ridge</x:v>
      </x:c>
      <x:c r="F288" s="10" t="n">
        <x:v>0</x:v>
      </x:c>
      <x:c r="G288" s="10" t="n">
        <x:v>64.753279282</x:v>
      </x:c>
      <x:c r="H288" s="10" t="n">
        <x:f>ABS(G288-F288)</x:f>
        <x:v>64.753279282</x:v>
      </x:c>
      <x:c r="I288" s="10" t="n">
        <x:f>G288-F288</x:f>
        <x:v>64.753279282</x:v>
      </x:c>
    </x:row>
    <x:row r="289" ht="20" customHeight="1">
      <x:c r="A289" s="1" t="str">
        <x:v>21212</x:v>
      </x:c>
      <x:c r="B289" s="10" t="n">
        <x:v>1</x:v>
      </x:c>
      <x:c r="C289" s="9" t="d">
        <x:v>2011-10-19T00:00:00.000Z</x:v>
      </x:c>
      <x:c r="D289" s="9" t="d">
        <x:v>2011-10-23T00:00:00.000Z</x:v>
      </x:c>
      <x:c r="E289" s="1" t="str">
        <x:v>ridge</x:v>
      </x:c>
      <x:c r="F289" s="10" t="n">
        <x:v>27</x:v>
      </x:c>
      <x:c r="G289" s="10" t="n">
        <x:v>62.9826111068</x:v>
      </x:c>
      <x:c r="H289" s="10" t="n">
        <x:f>ABS(G289-F289)</x:f>
        <x:v>35.9826111068</x:v>
      </x:c>
      <x:c r="I289" s="10" t="n">
        <x:f>G289-F289</x:f>
        <x:v>35.9826111068</x:v>
      </x:c>
    </x:row>
    <x:row r="290" ht="20" customHeight="1">
      <x:c r="A290" s="1" t="str">
        <x:v>21212</x:v>
      </x:c>
      <x:c r="B290" s="10" t="n">
        <x:v>1</x:v>
      </x:c>
      <x:c r="C290" s="9" t="d">
        <x:v>2011-10-19T00:00:00.000Z</x:v>
      </x:c>
      <x:c r="D290" s="9" t="d">
        <x:v>2011-10-24T00:00:00.000Z</x:v>
      </x:c>
      <x:c r="E290" s="1" t="str">
        <x:v>ridge</x:v>
      </x:c>
      <x:c r="F290" s="10" t="n">
        <x:v>14</x:v>
      </x:c>
      <x:c r="G290" s="10" t="n">
        <x:v>92.7092783505</x:v>
      </x:c>
      <x:c r="H290" s="10" t="n">
        <x:f>ABS(G290-F290)</x:f>
        <x:v>78.7092783505</x:v>
      </x:c>
      <x:c r="I290" s="10" t="n">
        <x:f>G290-F290</x:f>
        <x:v>78.7092783505</x:v>
      </x:c>
    </x:row>
    <x:row r="291" ht="20" customHeight="1">
      <x:c r="A291" s="1" t="str">
        <x:v>21212</x:v>
      </x:c>
      <x:c r="B291" s="10" t="n">
        <x:v>1</x:v>
      </x:c>
      <x:c r="C291" s="9" t="d">
        <x:v>2011-10-19T00:00:00.000Z</x:v>
      </x:c>
      <x:c r="D291" s="9" t="d">
        <x:v>2011-10-25T00:00:00.000Z</x:v>
      </x:c>
      <x:c r="E291" s="1" t="str">
        <x:v>ridge</x:v>
      </x:c>
      <x:c r="F291" s="10" t="n">
        <x:v>61</x:v>
      </x:c>
      <x:c r="G291" s="10" t="n">
        <x:v>161.941012422</x:v>
      </x:c>
      <x:c r="H291" s="10" t="n">
        <x:f>ABS(G291-F291)</x:f>
        <x:v>100.941012422</x:v>
      </x:c>
      <x:c r="I291" s="10" t="n">
        <x:f>G291-F291</x:f>
        <x:v>100.941012422</x:v>
      </x:c>
    </x:row>
    <x:row r="292" ht="20" customHeight="1">
      <x:c r="A292" s="1" t="str">
        <x:v>21212</x:v>
      </x:c>
      <x:c r="B292" s="10" t="n">
        <x:v>1</x:v>
      </x:c>
      <x:c r="C292" s="9" t="d">
        <x:v>2011-10-19T00:00:00.000Z</x:v>
      </x:c>
      <x:c r="D292" s="9" t="d">
        <x:v>2011-10-26T00:00:00.000Z</x:v>
      </x:c>
      <x:c r="E292" s="1" t="str">
        <x:v>ridge</x:v>
      </x:c>
      <x:c r="F292" s="10" t="n">
        <x:v>60</x:v>
      </x:c>
      <x:c r="G292" s="10" t="n">
        <x:v>191.8984670366</x:v>
      </x:c>
      <x:c r="H292" s="10" t="n">
        <x:f>ABS(G292-F292)</x:f>
        <x:v>131.8984670366</x:v>
      </x:c>
      <x:c r="I292" s="10" t="n">
        <x:f>G292-F292</x:f>
        <x:v>131.8984670366</x:v>
      </x:c>
    </x:row>
    <x:row r="293" ht="20" customHeight="1">
      <x:c r="A293" s="1" t="str">
        <x:v>21212</x:v>
      </x:c>
      <x:c r="B293" s="10" t="n">
        <x:v>1</x:v>
      </x:c>
      <x:c r="C293" s="9" t="d">
        <x:v>2011-10-19T00:00:00.000Z</x:v>
      </x:c>
      <x:c r="D293" s="9" t="d">
        <x:v>2011-10-27T00:00:00.000Z</x:v>
      </x:c>
      <x:c r="E293" s="1" t="str">
        <x:v>ridge</x:v>
      </x:c>
      <x:c r="F293" s="10" t="n">
        <x:v>61</x:v>
      </x:c>
      <x:c r="G293" s="10" t="n">
        <x:v>146.208750919</x:v>
      </x:c>
      <x:c r="H293" s="10" t="n">
        <x:f>ABS(G293-F293)</x:f>
        <x:v>85.20875091900001</x:v>
      </x:c>
      <x:c r="I293" s="10" t="n">
        <x:f>G293-F293</x:f>
        <x:v>85.20875091900001</x:v>
      </x:c>
    </x:row>
    <x:row r="294" ht="20" customHeight="1">
      <x:c r="A294" s="1" t="str">
        <x:v>21212</x:v>
      </x:c>
      <x:c r="B294" s="10" t="n">
        <x:v>1</x:v>
      </x:c>
      <x:c r="C294" s="9" t="d">
        <x:v>2011-10-19T00:00:00.000Z</x:v>
      </x:c>
      <x:c r="D294" s="9" t="d">
        <x:v>2011-10-28T00:00:00.000Z</x:v>
      </x:c>
      <x:c r="E294" s="1" t="str">
        <x:v>ridge</x:v>
      </x:c>
      <x:c r="F294" s="10" t="n">
        <x:v>244</x:v>
      </x:c>
      <x:c r="G294" s="10" t="n">
        <x:v>96.6453057608</x:v>
      </x:c>
      <x:c r="H294" s="10" t="n">
        <x:f>ABS(G294-F294)</x:f>
        <x:v>147.3546942392</x:v>
      </x:c>
      <x:c r="I294" s="10" t="n">
        <x:f>G294-F294</x:f>
        <x:v>-147.3546942392</x:v>
      </x:c>
    </x:row>
    <x:row r="295" ht="20" customHeight="1">
      <x:c r="A295" s="1" t="str">
        <x:v>21212</x:v>
      </x:c>
      <x:c r="B295" s="10" t="n">
        <x:v>1</x:v>
      </x:c>
      <x:c r="C295" s="9" t="d">
        <x:v>2011-10-19T00:00:00.000Z</x:v>
      </x:c>
      <x:c r="D295" s="9" t="d">
        <x:v>2011-10-29T00:00:00.000Z</x:v>
      </x:c>
      <x:c r="E295" s="1" t="str">
        <x:v>ridge</x:v>
      </x:c>
      <x:c r="F295" s="10" t="n">
        <x:v>0</x:v>
      </x:c>
      <x:c r="G295" s="10" t="n">
        <x:v>50.471878542</x:v>
      </x:c>
      <x:c r="H295" s="10" t="n">
        <x:f>ABS(G295-F295)</x:f>
        <x:v>50.471878542</x:v>
      </x:c>
      <x:c r="I295" s="10" t="n">
        <x:f>G295-F295</x:f>
        <x:v>50.471878542</x:v>
      </x:c>
    </x:row>
    <x:row r="296" ht="20" customHeight="1">
      <x:c r="A296" s="1" t="str">
        <x:v>21212</x:v>
      </x:c>
      <x:c r="B296" s="10" t="n">
        <x:v>1</x:v>
      </x:c>
      <x:c r="C296" s="9" t="d">
        <x:v>2011-10-19T00:00:00.000Z</x:v>
      </x:c>
      <x:c r="D296" s="9" t="d">
        <x:v>2011-10-30T00:00:00.000Z</x:v>
      </x:c>
      <x:c r="E296" s="1" t="str">
        <x:v>ridge</x:v>
      </x:c>
      <x:c r="F296" s="10" t="n">
        <x:v>81</x:v>
      </x:c>
      <x:c r="G296" s="10" t="n">
        <x:v>49.2102808133</x:v>
      </x:c>
      <x:c r="H296" s="10" t="n">
        <x:f>ABS(G296-F296)</x:f>
        <x:v>31.789719186699998</x:v>
      </x:c>
      <x:c r="I296" s="10" t="n">
        <x:f>G296-F296</x:f>
        <x:v>-31.789719186699998</x:v>
      </x:c>
    </x:row>
    <x:row r="297" ht="20" customHeight="1">
      <x:c r="A297" s="1" t="str">
        <x:v>21212</x:v>
      </x:c>
      <x:c r="B297" s="10" t="n">
        <x:v>1</x:v>
      </x:c>
      <x:c r="C297" s="9" t="d">
        <x:v>2011-10-19T00:00:00.000Z</x:v>
      </x:c>
      <x:c r="D297" s="9" t="d">
        <x:v>2011-10-31T00:00:00.000Z</x:v>
      </x:c>
      <x:c r="E297" s="1" t="str">
        <x:v>ridge</x:v>
      </x:c>
      <x:c r="F297" s="10" t="n">
        <x:v>64</x:v>
      </x:c>
      <x:c r="G297" s="10" t="n">
        <x:v>82.5880308447</x:v>
      </x:c>
      <x:c r="H297" s="10" t="n">
        <x:f>ABS(G297-F297)</x:f>
        <x:v>18.5880308447</x:v>
      </x:c>
      <x:c r="I297" s="10" t="n">
        <x:f>G297-F297</x:f>
        <x:v>18.5880308447</x:v>
      </x:c>
    </x:row>
    <x:row r="298" ht="20" customHeight="1">
      <x:c r="A298" s="1" t="str">
        <x:v>21212</x:v>
      </x:c>
      <x:c r="B298" s="10" t="n">
        <x:v>1</x:v>
      </x:c>
      <x:c r="C298" s="9" t="d">
        <x:v>2011-10-19T00:00:00.000Z</x:v>
      </x:c>
      <x:c r="D298" s="9" t="d">
        <x:v>2011-11-01T00:00:00.000Z</x:v>
      </x:c>
      <x:c r="E298" s="1" t="str">
        <x:v>ridge</x:v>
      </x:c>
      <x:c r="F298" s="10" t="n">
        <x:v>28</x:v>
      </x:c>
      <x:c r="G298" s="10" t="n">
        <x:v>149.9268371984</x:v>
      </x:c>
      <x:c r="H298" s="10" t="n">
        <x:f>ABS(G298-F298)</x:f>
        <x:v>121.9268371984</x:v>
      </x:c>
      <x:c r="I298" s="10" t="n">
        <x:f>G298-F298</x:f>
        <x:v>121.9268371984</x:v>
      </x:c>
    </x:row>
    <x:row r="299" ht="20" customHeight="1">
      <x:c r="A299" s="1" t="str">
        <x:v>21212</x:v>
      </x:c>
      <x:c r="B299" s="10" t="n">
        <x:v>1</x:v>
      </x:c>
      <x:c r="C299" s="9" t="d">
        <x:v>2011-10-19T00:00:00.000Z</x:v>
      </x:c>
      <x:c r="D299" s="9" t="d">
        <x:v>2011-11-02T00:00:00.000Z</x:v>
      </x:c>
      <x:c r="E299" s="1" t="str">
        <x:v>ridge</x:v>
      </x:c>
      <x:c r="F299" s="10" t="n">
        <x:v>219</x:v>
      </x:c>
      <x:c r="G299" s="10" t="n">
        <x:v>174.9118674239</x:v>
      </x:c>
      <x:c r="H299" s="10" t="n">
        <x:f>ABS(G299-F299)</x:f>
        <x:v>44.08813257610001</x:v>
      </x:c>
      <x:c r="I299" s="10" t="n">
        <x:f>G299-F299</x:f>
        <x:v>-44.08813257610001</x:v>
      </x:c>
    </x:row>
    <x:row r="300" ht="20" customHeight="1">
      <x:c r="A300" s="1" t="str">
        <x:v>21212</x:v>
      </x:c>
      <x:c r="B300" s="10" t="n">
        <x:v>2</x:v>
      </x:c>
      <x:c r="C300" s="9" t="d">
        <x:v>2011-11-02T00:00:00.000Z</x:v>
      </x:c>
      <x:c r="D300" s="9" t="d">
        <x:v>2011-11-03T00:00:00.000Z</x:v>
      </x:c>
      <x:c r="E300" s="1" t="str">
        <x:v>naive</x:v>
      </x:c>
      <x:c r="F300" s="10" t="n">
        <x:v>529</x:v>
      </x:c>
      <x:c r="G300" s="10" t="n">
        <x:v>219</x:v>
      </x:c>
      <x:c r="H300" s="10" t="n">
        <x:f>ABS(G300-F300)</x:f>
        <x:v>310</x:v>
      </x:c>
      <x:c r="I300" s="10" t="n">
        <x:f>G300-F300</x:f>
        <x:v>-310</x:v>
      </x:c>
    </x:row>
    <x:row r="301" ht="20" customHeight="1">
      <x:c r="A301" s="1" t="str">
        <x:v>21212</x:v>
      </x:c>
      <x:c r="B301" s="10" t="n">
        <x:v>2</x:v>
      </x:c>
      <x:c r="C301" s="9" t="d">
        <x:v>2011-11-02T00:00:00.000Z</x:v>
      </x:c>
      <x:c r="D301" s="9" t="d">
        <x:v>2011-11-04T00:00:00.000Z</x:v>
      </x:c>
      <x:c r="E301" s="1" t="str">
        <x:v>naive</x:v>
      </x:c>
      <x:c r="F301" s="10" t="n">
        <x:v>55</x:v>
      </x:c>
      <x:c r="G301" s="10" t="n">
        <x:v>219</x:v>
      </x:c>
      <x:c r="H301" s="10" t="n">
        <x:f>ABS(G301-F301)</x:f>
        <x:v>164</x:v>
      </x:c>
      <x:c r="I301" s="10" t="n">
        <x:f>G301-F301</x:f>
        <x:v>164</x:v>
      </x:c>
    </x:row>
    <x:row r="302" ht="20" customHeight="1">
      <x:c r="A302" s="1" t="str">
        <x:v>21212</x:v>
      </x:c>
      <x:c r="B302" s="10" t="n">
        <x:v>2</x:v>
      </x:c>
      <x:c r="C302" s="9" t="d">
        <x:v>2011-11-02T00:00:00.000Z</x:v>
      </x:c>
      <x:c r="D302" s="9" t="d">
        <x:v>2011-11-05T00:00:00.000Z</x:v>
      </x:c>
      <x:c r="E302" s="1" t="str">
        <x:v>naive</x:v>
      </x:c>
      <x:c r="F302" s="10" t="n">
        <x:v>0</x:v>
      </x:c>
      <x:c r="G302" s="10" t="n">
        <x:v>219</x:v>
      </x:c>
      <x:c r="H302" s="10" t="n">
        <x:f>ABS(G302-F302)</x:f>
        <x:v>219</x:v>
      </x:c>
      <x:c r="I302" s="10" t="n">
        <x:f>G302-F302</x:f>
        <x:v>219</x:v>
      </x:c>
    </x:row>
    <x:row r="303" ht="20" customHeight="1">
      <x:c r="A303" s="1" t="str">
        <x:v>21212</x:v>
      </x:c>
      <x:c r="B303" s="10" t="n">
        <x:v>2</x:v>
      </x:c>
      <x:c r="C303" s="9" t="d">
        <x:v>2011-11-02T00:00:00.000Z</x:v>
      </x:c>
      <x:c r="D303" s="9" t="d">
        <x:v>2011-11-06T00:00:00.000Z</x:v>
      </x:c>
      <x:c r="E303" s="1" t="str">
        <x:v>naive</x:v>
      </x:c>
      <x:c r="F303" s="10" t="n">
        <x:v>146</x:v>
      </x:c>
      <x:c r="G303" s="10" t="n">
        <x:v>219</x:v>
      </x:c>
      <x:c r="H303" s="10" t="n">
        <x:f>ABS(G303-F303)</x:f>
        <x:v>73</x:v>
      </x:c>
      <x:c r="I303" s="10" t="n">
        <x:f>G303-F303</x:f>
        <x:v>73</x:v>
      </x:c>
    </x:row>
    <x:row r="304" ht="20" customHeight="1">
      <x:c r="A304" s="1" t="str">
        <x:v>21212</x:v>
      </x:c>
      <x:c r="B304" s="10" t="n">
        <x:v>2</x:v>
      </x:c>
      <x:c r="C304" s="9" t="d">
        <x:v>2011-11-02T00:00:00.000Z</x:v>
      </x:c>
      <x:c r="D304" s="9" t="d">
        <x:v>2011-11-07T00:00:00.000Z</x:v>
      </x:c>
      <x:c r="E304" s="1" t="str">
        <x:v>naive</x:v>
      </x:c>
      <x:c r="F304" s="10" t="n">
        <x:v>77</x:v>
      </x:c>
      <x:c r="G304" s="10" t="n">
        <x:v>219</x:v>
      </x:c>
      <x:c r="H304" s="10" t="n">
        <x:f>ABS(G304-F304)</x:f>
        <x:v>142</x:v>
      </x:c>
      <x:c r="I304" s="10" t="n">
        <x:f>G304-F304</x:f>
        <x:v>142</x:v>
      </x:c>
    </x:row>
    <x:row r="305" ht="20" customHeight="1">
      <x:c r="A305" s="1" t="str">
        <x:v>21212</x:v>
      </x:c>
      <x:c r="B305" s="10" t="n">
        <x:v>2</x:v>
      </x:c>
      <x:c r="C305" s="9" t="d">
        <x:v>2011-11-02T00:00:00.000Z</x:v>
      </x:c>
      <x:c r="D305" s="9" t="d">
        <x:v>2011-11-08T00:00:00.000Z</x:v>
      </x:c>
      <x:c r="E305" s="1" t="str">
        <x:v>naive</x:v>
      </x:c>
      <x:c r="F305" s="10" t="n">
        <x:v>66</x:v>
      </x:c>
      <x:c r="G305" s="10" t="n">
        <x:v>219</x:v>
      </x:c>
      <x:c r="H305" s="10" t="n">
        <x:f>ABS(G305-F305)</x:f>
        <x:v>153</x:v>
      </x:c>
      <x:c r="I305" s="10" t="n">
        <x:f>G305-F305</x:f>
        <x:v>153</x:v>
      </x:c>
    </x:row>
    <x:row r="306" ht="20" customHeight="1">
      <x:c r="A306" s="1" t="str">
        <x:v>21212</x:v>
      </x:c>
      <x:c r="B306" s="10" t="n">
        <x:v>2</x:v>
      </x:c>
      <x:c r="C306" s="9" t="d">
        <x:v>2011-11-02T00:00:00.000Z</x:v>
      </x:c>
      <x:c r="D306" s="9" t="d">
        <x:v>2011-11-09T00:00:00.000Z</x:v>
      </x:c>
      <x:c r="E306" s="1" t="str">
        <x:v>naive</x:v>
      </x:c>
      <x:c r="F306" s="10" t="n">
        <x:v>4</x:v>
      </x:c>
      <x:c r="G306" s="10" t="n">
        <x:v>219</x:v>
      </x:c>
      <x:c r="H306" s="10" t="n">
        <x:f>ABS(G306-F306)</x:f>
        <x:v>215</x:v>
      </x:c>
      <x:c r="I306" s="10" t="n">
        <x:f>G306-F306</x:f>
        <x:v>215</x:v>
      </x:c>
    </x:row>
    <x:row r="307" ht="20" customHeight="1">
      <x:c r="A307" s="1" t="str">
        <x:v>21212</x:v>
      </x:c>
      <x:c r="B307" s="10" t="n">
        <x:v>2</x:v>
      </x:c>
      <x:c r="C307" s="9" t="d">
        <x:v>2011-11-02T00:00:00.000Z</x:v>
      </x:c>
      <x:c r="D307" s="9" t="d">
        <x:v>2011-11-10T00:00:00.000Z</x:v>
      </x:c>
      <x:c r="E307" s="1" t="str">
        <x:v>naive</x:v>
      </x:c>
      <x:c r="F307" s="10" t="n">
        <x:v>78</x:v>
      </x:c>
      <x:c r="G307" s="10" t="n">
        <x:v>219</x:v>
      </x:c>
      <x:c r="H307" s="10" t="n">
        <x:f>ABS(G307-F307)</x:f>
        <x:v>141</x:v>
      </x:c>
      <x:c r="I307" s="10" t="n">
        <x:f>G307-F307</x:f>
        <x:v>141</x:v>
      </x:c>
    </x:row>
    <x:row r="308" ht="20" customHeight="1">
      <x:c r="A308" s="1" t="str">
        <x:v>21212</x:v>
      </x:c>
      <x:c r="B308" s="10" t="n">
        <x:v>2</x:v>
      </x:c>
      <x:c r="C308" s="9" t="d">
        <x:v>2011-11-02T00:00:00.000Z</x:v>
      </x:c>
      <x:c r="D308" s="9" t="d">
        <x:v>2011-11-11T00:00:00.000Z</x:v>
      </x:c>
      <x:c r="E308" s="1" t="str">
        <x:v>naive</x:v>
      </x:c>
      <x:c r="F308" s="10" t="n">
        <x:v>50</x:v>
      </x:c>
      <x:c r="G308" s="10" t="n">
        <x:v>219</x:v>
      </x:c>
      <x:c r="H308" s="10" t="n">
        <x:f>ABS(G308-F308)</x:f>
        <x:v>169</x:v>
      </x:c>
      <x:c r="I308" s="10" t="n">
        <x:f>G308-F308</x:f>
        <x:v>169</x:v>
      </x:c>
    </x:row>
    <x:row r="309" ht="20" customHeight="1">
      <x:c r="A309" s="1" t="str">
        <x:v>21212</x:v>
      </x:c>
      <x:c r="B309" s="10" t="n">
        <x:v>2</x:v>
      </x:c>
      <x:c r="C309" s="9" t="d">
        <x:v>2011-11-02T00:00:00.000Z</x:v>
      </x:c>
      <x:c r="D309" s="9" t="d">
        <x:v>2011-11-12T00:00:00.000Z</x:v>
      </x:c>
      <x:c r="E309" s="1" t="str">
        <x:v>naive</x:v>
      </x:c>
      <x:c r="F309" s="10" t="n">
        <x:v>0</x:v>
      </x:c>
      <x:c r="G309" s="10" t="n">
        <x:v>219</x:v>
      </x:c>
      <x:c r="H309" s="10" t="n">
        <x:f>ABS(G309-F309)</x:f>
        <x:v>219</x:v>
      </x:c>
      <x:c r="I309" s="10" t="n">
        <x:f>G309-F309</x:f>
        <x:v>219</x:v>
      </x:c>
    </x:row>
    <x:row r="310" ht="20" customHeight="1">
      <x:c r="A310" s="1" t="str">
        <x:v>21212</x:v>
      </x:c>
      <x:c r="B310" s="10" t="n">
        <x:v>2</x:v>
      </x:c>
      <x:c r="C310" s="9" t="d">
        <x:v>2011-11-02T00:00:00.000Z</x:v>
      </x:c>
      <x:c r="D310" s="9" t="d">
        <x:v>2011-11-13T00:00:00.000Z</x:v>
      </x:c>
      <x:c r="E310" s="1" t="str">
        <x:v>naive</x:v>
      </x:c>
      <x:c r="F310" s="10" t="n">
        <x:v>87</x:v>
      </x:c>
      <x:c r="G310" s="10" t="n">
        <x:v>219</x:v>
      </x:c>
      <x:c r="H310" s="10" t="n">
        <x:f>ABS(G310-F310)</x:f>
        <x:v>132</x:v>
      </x:c>
      <x:c r="I310" s="10" t="n">
        <x:f>G310-F310</x:f>
        <x:v>132</x:v>
      </x:c>
    </x:row>
    <x:row r="311" ht="20" customHeight="1">
      <x:c r="A311" s="1" t="str">
        <x:v>21212</x:v>
      </x:c>
      <x:c r="B311" s="10" t="n">
        <x:v>2</x:v>
      </x:c>
      <x:c r="C311" s="9" t="d">
        <x:v>2011-11-02T00:00:00.000Z</x:v>
      </x:c>
      <x:c r="D311" s="9" t="d">
        <x:v>2011-11-14T00:00:00.000Z</x:v>
      </x:c>
      <x:c r="E311" s="1" t="str">
        <x:v>naive</x:v>
      </x:c>
      <x:c r="F311" s="10" t="n">
        <x:v>164</x:v>
      </x:c>
      <x:c r="G311" s="10" t="n">
        <x:v>219</x:v>
      </x:c>
      <x:c r="H311" s="10" t="n">
        <x:f>ABS(G311-F311)</x:f>
        <x:v>55</x:v>
      </x:c>
      <x:c r="I311" s="10" t="n">
        <x:f>G311-F311</x:f>
        <x:v>55</x:v>
      </x:c>
    </x:row>
    <x:row r="312" ht="20" customHeight="1">
      <x:c r="A312" s="1" t="str">
        <x:v>21212</x:v>
      </x:c>
      <x:c r="B312" s="10" t="n">
        <x:v>2</x:v>
      </x:c>
      <x:c r="C312" s="9" t="d">
        <x:v>2011-11-02T00:00:00.000Z</x:v>
      </x:c>
      <x:c r="D312" s="9" t="d">
        <x:v>2011-11-15T00:00:00.000Z</x:v>
      </x:c>
      <x:c r="E312" s="1" t="str">
        <x:v>naive</x:v>
      </x:c>
      <x:c r="F312" s="10" t="n">
        <x:v>62</x:v>
      </x:c>
      <x:c r="G312" s="10" t="n">
        <x:v>219</x:v>
      </x:c>
      <x:c r="H312" s="10" t="n">
        <x:f>ABS(G312-F312)</x:f>
        <x:v>157</x:v>
      </x:c>
      <x:c r="I312" s="10" t="n">
        <x:f>G312-F312</x:f>
        <x:v>157</x:v>
      </x:c>
    </x:row>
    <x:row r="313" ht="20" customHeight="1">
      <x:c r="A313" s="1" t="str">
        <x:v>21212</x:v>
      </x:c>
      <x:c r="B313" s="10" t="n">
        <x:v>2</x:v>
      </x:c>
      <x:c r="C313" s="9" t="d">
        <x:v>2011-11-02T00:00:00.000Z</x:v>
      </x:c>
      <x:c r="D313" s="9" t="d">
        <x:v>2011-11-16T00:00:00.000Z</x:v>
      </x:c>
      <x:c r="E313" s="1" t="str">
        <x:v>naive</x:v>
      </x:c>
      <x:c r="F313" s="10" t="n">
        <x:v>88</x:v>
      </x:c>
      <x:c r="G313" s="10" t="n">
        <x:v>219</x:v>
      </x:c>
      <x:c r="H313" s="10" t="n">
        <x:f>ABS(G313-F313)</x:f>
        <x:v>131</x:v>
      </x:c>
      <x:c r="I313" s="10" t="n">
        <x:f>G313-F313</x:f>
        <x:v>131</x:v>
      </x:c>
    </x:row>
    <x:row r="314" ht="20" customHeight="1">
      <x:c r="A314" s="1" t="str">
        <x:v>21212</x:v>
      </x:c>
      <x:c r="B314" s="10" t="n">
        <x:v>2</x:v>
      </x:c>
      <x:c r="C314" s="9" t="d">
        <x:v>2011-11-02T00:00:00.000Z</x:v>
      </x:c>
      <x:c r="D314" s="9" t="d">
        <x:v>2011-11-03T00:00:00.000Z</x:v>
      </x:c>
      <x:c r="E314" s="1" t="str">
        <x:v>seasonal_naive</x:v>
      </x:c>
      <x:c r="F314" s="10" t="n">
        <x:v>529</x:v>
      </x:c>
      <x:c r="G314" s="10" t="n">
        <x:v>61</x:v>
      </x:c>
      <x:c r="H314" s="10" t="n">
        <x:f>ABS(G314-F314)</x:f>
        <x:v>468</x:v>
      </x:c>
      <x:c r="I314" s="10" t="n">
        <x:f>G314-F314</x:f>
        <x:v>-468</x:v>
      </x:c>
    </x:row>
    <x:row r="315" ht="20" customHeight="1">
      <x:c r="A315" s="1" t="str">
        <x:v>21212</x:v>
      </x:c>
      <x:c r="B315" s="10" t="n">
        <x:v>2</x:v>
      </x:c>
      <x:c r="C315" s="9" t="d">
        <x:v>2011-11-02T00:00:00.000Z</x:v>
      </x:c>
      <x:c r="D315" s="9" t="d">
        <x:v>2011-11-04T00:00:00.000Z</x:v>
      </x:c>
      <x:c r="E315" s="1" t="str">
        <x:v>seasonal_naive</x:v>
      </x:c>
      <x:c r="F315" s="10" t="n">
        <x:v>55</x:v>
      </x:c>
      <x:c r="G315" s="10" t="n">
        <x:v>244</x:v>
      </x:c>
      <x:c r="H315" s="10" t="n">
        <x:f>ABS(G315-F315)</x:f>
        <x:v>189</x:v>
      </x:c>
      <x:c r="I315" s="10" t="n">
        <x:f>G315-F315</x:f>
        <x:v>189</x:v>
      </x:c>
    </x:row>
    <x:row r="316" ht="20" customHeight="1">
      <x:c r="A316" s="1" t="str">
        <x:v>21212</x:v>
      </x:c>
      <x:c r="B316" s="10" t="n">
        <x:v>2</x:v>
      </x:c>
      <x:c r="C316" s="9" t="d">
        <x:v>2011-11-02T00:00:00.000Z</x:v>
      </x:c>
      <x:c r="D316" s="9" t="d">
        <x:v>2011-11-05T00:00:00.000Z</x:v>
      </x:c>
      <x:c r="E316" s="1" t="str">
        <x:v>seasonal_naive</x:v>
      </x:c>
      <x:c r="F316" s="10" t="n">
        <x:v>0</x:v>
      </x:c>
      <x:c r="G316" s="10" t="n">
        <x:v>0</x:v>
      </x:c>
      <x:c r="H316" s="10" t="n">
        <x:f>ABS(G316-F316)</x:f>
        <x:v>0</x:v>
      </x:c>
      <x:c r="I316" s="10" t="n">
        <x:f>G316-F316</x:f>
        <x:v>0</x:v>
      </x:c>
    </x:row>
    <x:row r="317" ht="20" customHeight="1">
      <x:c r="A317" s="1" t="str">
        <x:v>21212</x:v>
      </x:c>
      <x:c r="B317" s="10" t="n">
        <x:v>2</x:v>
      </x:c>
      <x:c r="C317" s="9" t="d">
        <x:v>2011-11-02T00:00:00.000Z</x:v>
      </x:c>
      <x:c r="D317" s="9" t="d">
        <x:v>2011-11-06T00:00:00.000Z</x:v>
      </x:c>
      <x:c r="E317" s="1" t="str">
        <x:v>seasonal_naive</x:v>
      </x:c>
      <x:c r="F317" s="10" t="n">
        <x:v>146</x:v>
      </x:c>
      <x:c r="G317" s="10" t="n">
        <x:v>81</x:v>
      </x:c>
      <x:c r="H317" s="10" t="n">
        <x:f>ABS(G317-F317)</x:f>
        <x:v>65</x:v>
      </x:c>
      <x:c r="I317" s="10" t="n">
        <x:f>G317-F317</x:f>
        <x:v>-65</x:v>
      </x:c>
    </x:row>
    <x:row r="318" ht="20" customHeight="1">
      <x:c r="A318" s="1" t="str">
        <x:v>21212</x:v>
      </x:c>
      <x:c r="B318" s="10" t="n">
        <x:v>2</x:v>
      </x:c>
      <x:c r="C318" s="9" t="d">
        <x:v>2011-11-02T00:00:00.000Z</x:v>
      </x:c>
      <x:c r="D318" s="9" t="d">
        <x:v>2011-11-07T00:00:00.000Z</x:v>
      </x:c>
      <x:c r="E318" s="1" t="str">
        <x:v>seasonal_naive</x:v>
      </x:c>
      <x:c r="F318" s="10" t="n">
        <x:v>77</x:v>
      </x:c>
      <x:c r="G318" s="10" t="n">
        <x:v>64</x:v>
      </x:c>
      <x:c r="H318" s="10" t="n">
        <x:f>ABS(G318-F318)</x:f>
        <x:v>13</x:v>
      </x:c>
      <x:c r="I318" s="10" t="n">
        <x:f>G318-F318</x:f>
        <x:v>-13</x:v>
      </x:c>
    </x:row>
    <x:row r="319" ht="20" customHeight="1">
      <x:c r="A319" s="1" t="str">
        <x:v>21212</x:v>
      </x:c>
      <x:c r="B319" s="10" t="n">
        <x:v>2</x:v>
      </x:c>
      <x:c r="C319" s="9" t="d">
        <x:v>2011-11-02T00:00:00.000Z</x:v>
      </x:c>
      <x:c r="D319" s="9" t="d">
        <x:v>2011-11-08T00:00:00.000Z</x:v>
      </x:c>
      <x:c r="E319" s="1" t="str">
        <x:v>seasonal_naive</x:v>
      </x:c>
      <x:c r="F319" s="10" t="n">
        <x:v>66</x:v>
      </x:c>
      <x:c r="G319" s="10" t="n">
        <x:v>28</x:v>
      </x:c>
      <x:c r="H319" s="10" t="n">
        <x:f>ABS(G319-F319)</x:f>
        <x:v>38</x:v>
      </x:c>
      <x:c r="I319" s="10" t="n">
        <x:f>G319-F319</x:f>
        <x:v>-38</x:v>
      </x:c>
    </x:row>
    <x:row r="320" ht="20" customHeight="1">
      <x:c r="A320" s="1" t="str">
        <x:v>21212</x:v>
      </x:c>
      <x:c r="B320" s="10" t="n">
        <x:v>2</x:v>
      </x:c>
      <x:c r="C320" s="9" t="d">
        <x:v>2011-11-02T00:00:00.000Z</x:v>
      </x:c>
      <x:c r="D320" s="9" t="d">
        <x:v>2011-11-09T00:00:00.000Z</x:v>
      </x:c>
      <x:c r="E320" s="1" t="str">
        <x:v>seasonal_naive</x:v>
      </x:c>
      <x:c r="F320" s="10" t="n">
        <x:v>4</x:v>
      </x:c>
      <x:c r="G320" s="10" t="n">
        <x:v>219</x:v>
      </x:c>
      <x:c r="H320" s="10" t="n">
        <x:f>ABS(G320-F320)</x:f>
        <x:v>215</x:v>
      </x:c>
      <x:c r="I320" s="10" t="n">
        <x:f>G320-F320</x:f>
        <x:v>215</x:v>
      </x:c>
    </x:row>
    <x:row r="321" ht="20" customHeight="1">
      <x:c r="A321" s="1" t="str">
        <x:v>21212</x:v>
      </x:c>
      <x:c r="B321" s="10" t="n">
        <x:v>2</x:v>
      </x:c>
      <x:c r="C321" s="9" t="d">
        <x:v>2011-11-02T00:00:00.000Z</x:v>
      </x:c>
      <x:c r="D321" s="9" t="d">
        <x:v>2011-11-10T00:00:00.000Z</x:v>
      </x:c>
      <x:c r="E321" s="1" t="str">
        <x:v>seasonal_naive</x:v>
      </x:c>
      <x:c r="F321" s="10" t="n">
        <x:v>78</x:v>
      </x:c>
      <x:c r="G321" s="10" t="n">
        <x:v>61</x:v>
      </x:c>
      <x:c r="H321" s="10" t="n">
        <x:f>ABS(G321-F321)</x:f>
        <x:v>17</x:v>
      </x:c>
      <x:c r="I321" s="10" t="n">
        <x:f>G321-F321</x:f>
        <x:v>-17</x:v>
      </x:c>
    </x:row>
    <x:row r="322" ht="20" customHeight="1">
      <x:c r="A322" s="1" t="str">
        <x:v>21212</x:v>
      </x:c>
      <x:c r="B322" s="10" t="n">
        <x:v>2</x:v>
      </x:c>
      <x:c r="C322" s="9" t="d">
        <x:v>2011-11-02T00:00:00.000Z</x:v>
      </x:c>
      <x:c r="D322" s="9" t="d">
        <x:v>2011-11-11T00:00:00.000Z</x:v>
      </x:c>
      <x:c r="E322" s="1" t="str">
        <x:v>seasonal_naive</x:v>
      </x:c>
      <x:c r="F322" s="10" t="n">
        <x:v>50</x:v>
      </x:c>
      <x:c r="G322" s="10" t="n">
        <x:v>244</x:v>
      </x:c>
      <x:c r="H322" s="10" t="n">
        <x:f>ABS(G322-F322)</x:f>
        <x:v>194</x:v>
      </x:c>
      <x:c r="I322" s="10" t="n">
        <x:f>G322-F322</x:f>
        <x:v>194</x:v>
      </x:c>
    </x:row>
    <x:row r="323" ht="20" customHeight="1">
      <x:c r="A323" s="1" t="str">
        <x:v>21212</x:v>
      </x:c>
      <x:c r="B323" s="10" t="n">
        <x:v>2</x:v>
      </x:c>
      <x:c r="C323" s="9" t="d">
        <x:v>2011-11-02T00:00:00.000Z</x:v>
      </x:c>
      <x:c r="D323" s="9" t="d">
        <x:v>2011-11-12T00:00:00.000Z</x:v>
      </x:c>
      <x:c r="E323" s="1" t="str">
        <x:v>seasonal_naive</x:v>
      </x:c>
      <x:c r="F323" s="10" t="n">
        <x:v>0</x:v>
      </x:c>
      <x:c r="G323" s="10" t="n">
        <x:v>0</x:v>
      </x:c>
      <x:c r="H323" s="10" t="n">
        <x:f>ABS(G323-F323)</x:f>
        <x:v>0</x:v>
      </x:c>
      <x:c r="I323" s="10" t="n">
        <x:f>G323-F323</x:f>
        <x:v>0</x:v>
      </x:c>
    </x:row>
    <x:row r="324" ht="20" customHeight="1">
      <x:c r="A324" s="1" t="str">
        <x:v>21212</x:v>
      </x:c>
      <x:c r="B324" s="10" t="n">
        <x:v>2</x:v>
      </x:c>
      <x:c r="C324" s="9" t="d">
        <x:v>2011-11-02T00:00:00.000Z</x:v>
      </x:c>
      <x:c r="D324" s="9" t="d">
        <x:v>2011-11-13T00:00:00.000Z</x:v>
      </x:c>
      <x:c r="E324" s="1" t="str">
        <x:v>seasonal_naive</x:v>
      </x:c>
      <x:c r="F324" s="10" t="n">
        <x:v>87</x:v>
      </x:c>
      <x:c r="G324" s="10" t="n">
        <x:v>81</x:v>
      </x:c>
      <x:c r="H324" s="10" t="n">
        <x:f>ABS(G324-F324)</x:f>
        <x:v>6</x:v>
      </x:c>
      <x:c r="I324" s="10" t="n">
        <x:f>G324-F324</x:f>
        <x:v>-6</x:v>
      </x:c>
    </x:row>
    <x:row r="325" ht="20" customHeight="1">
      <x:c r="A325" s="1" t="str">
        <x:v>21212</x:v>
      </x:c>
      <x:c r="B325" s="10" t="n">
        <x:v>2</x:v>
      </x:c>
      <x:c r="C325" s="9" t="d">
        <x:v>2011-11-02T00:00:00.000Z</x:v>
      </x:c>
      <x:c r="D325" s="9" t="d">
        <x:v>2011-11-14T00:00:00.000Z</x:v>
      </x:c>
      <x:c r="E325" s="1" t="str">
        <x:v>seasonal_naive</x:v>
      </x:c>
      <x:c r="F325" s="10" t="n">
        <x:v>164</x:v>
      </x:c>
      <x:c r="G325" s="10" t="n">
        <x:v>64</x:v>
      </x:c>
      <x:c r="H325" s="10" t="n">
        <x:f>ABS(G325-F325)</x:f>
        <x:v>100</x:v>
      </x:c>
      <x:c r="I325" s="10" t="n">
        <x:f>G325-F325</x:f>
        <x:v>-100</x:v>
      </x:c>
    </x:row>
    <x:row r="326" ht="20" customHeight="1">
      <x:c r="A326" s="1" t="str">
        <x:v>21212</x:v>
      </x:c>
      <x:c r="B326" s="10" t="n">
        <x:v>2</x:v>
      </x:c>
      <x:c r="C326" s="9" t="d">
        <x:v>2011-11-02T00:00:00.000Z</x:v>
      </x:c>
      <x:c r="D326" s="9" t="d">
        <x:v>2011-11-15T00:00:00.000Z</x:v>
      </x:c>
      <x:c r="E326" s="1" t="str">
        <x:v>seasonal_naive</x:v>
      </x:c>
      <x:c r="F326" s="10" t="n">
        <x:v>62</x:v>
      </x:c>
      <x:c r="G326" s="10" t="n">
        <x:v>28</x:v>
      </x:c>
      <x:c r="H326" s="10" t="n">
        <x:f>ABS(G326-F326)</x:f>
        <x:v>34</x:v>
      </x:c>
      <x:c r="I326" s="10" t="n">
        <x:f>G326-F326</x:f>
        <x:v>-34</x:v>
      </x:c>
    </x:row>
    <x:row r="327" ht="20" customHeight="1">
      <x:c r="A327" s="1" t="str">
        <x:v>21212</x:v>
      </x:c>
      <x:c r="B327" s="10" t="n">
        <x:v>2</x:v>
      </x:c>
      <x:c r="C327" s="9" t="d">
        <x:v>2011-11-02T00:00:00.000Z</x:v>
      </x:c>
      <x:c r="D327" s="9" t="d">
        <x:v>2011-11-16T00:00:00.000Z</x:v>
      </x:c>
      <x:c r="E327" s="1" t="str">
        <x:v>seasonal_naive</x:v>
      </x:c>
      <x:c r="F327" s="10" t="n">
        <x:v>88</x:v>
      </x:c>
      <x:c r="G327" s="10" t="n">
        <x:v>219</x:v>
      </x:c>
      <x:c r="H327" s="10" t="n">
        <x:f>ABS(G327-F327)</x:f>
        <x:v>131</x:v>
      </x:c>
      <x:c r="I327" s="10" t="n">
        <x:f>G327-F327</x:f>
        <x:v>131</x:v>
      </x:c>
    </x:row>
    <x:row r="328" ht="20" customHeight="1">
      <x:c r="A328" s="1" t="str">
        <x:v>21212</x:v>
      </x:c>
      <x:c r="B328" s="10" t="n">
        <x:v>2</x:v>
      </x:c>
      <x:c r="C328" s="9" t="d">
        <x:v>2011-11-02T00:00:00.000Z</x:v>
      </x:c>
      <x:c r="D328" s="9" t="d">
        <x:v>2011-11-03T00:00:00.000Z</x:v>
      </x:c>
      <x:c r="E328" s="1" t="str">
        <x:v>ridge</x:v>
      </x:c>
      <x:c r="F328" s="10" t="n">
        <x:v>529</x:v>
      </x:c>
      <x:c r="G328" s="10" t="n">
        <x:v>153.2145482098</x:v>
      </x:c>
      <x:c r="H328" s="10" t="n">
        <x:f>ABS(G328-F328)</x:f>
        <x:v>375.7854517902</x:v>
      </x:c>
      <x:c r="I328" s="10" t="n">
        <x:f>G328-F328</x:f>
        <x:v>-375.7854517902</x:v>
      </x:c>
    </x:row>
    <x:row r="329" ht="20" customHeight="1">
      <x:c r="A329" s="1" t="str">
        <x:v>21212</x:v>
      </x:c>
      <x:c r="B329" s="10" t="n">
        <x:v>2</x:v>
      </x:c>
      <x:c r="C329" s="9" t="d">
        <x:v>2011-11-02T00:00:00.000Z</x:v>
      </x:c>
      <x:c r="D329" s="9" t="d">
        <x:v>2011-11-04T00:00:00.000Z</x:v>
      </x:c>
      <x:c r="E329" s="1" t="str">
        <x:v>ridge</x:v>
      </x:c>
      <x:c r="F329" s="10" t="n">
        <x:v>55</x:v>
      </x:c>
      <x:c r="G329" s="10" t="n">
        <x:v>88.8622105921</x:v>
      </x:c>
      <x:c r="H329" s="10" t="n">
        <x:f>ABS(G329-F329)</x:f>
        <x:v>33.8622105921</x:v>
      </x:c>
      <x:c r="I329" s="10" t="n">
        <x:f>G329-F329</x:f>
        <x:v>33.8622105921</x:v>
      </x:c>
    </x:row>
    <x:row r="330" ht="20" customHeight="1">
      <x:c r="A330" s="1" t="str">
        <x:v>21212</x:v>
      </x:c>
      <x:c r="B330" s="10" t="n">
        <x:v>2</x:v>
      </x:c>
      <x:c r="C330" s="9" t="d">
        <x:v>2011-11-02T00:00:00.000Z</x:v>
      </x:c>
      <x:c r="D330" s="9" t="d">
        <x:v>2011-11-05T00:00:00.000Z</x:v>
      </x:c>
      <x:c r="E330" s="1" t="str">
        <x:v>ridge</x:v>
      </x:c>
      <x:c r="F330" s="10" t="n">
        <x:v>0</x:v>
      </x:c>
      <x:c r="G330" s="10" t="n">
        <x:v>57.7710116814</x:v>
      </x:c>
      <x:c r="H330" s="10" t="n">
        <x:f>ABS(G330-F330)</x:f>
        <x:v>57.7710116814</x:v>
      </x:c>
      <x:c r="I330" s="10" t="n">
        <x:f>G330-F330</x:f>
        <x:v>57.7710116814</x:v>
      </x:c>
    </x:row>
    <x:row r="331" ht="20" customHeight="1">
      <x:c r="A331" s="1" t="str">
        <x:v>21212</x:v>
      </x:c>
      <x:c r="B331" s="10" t="n">
        <x:v>2</x:v>
      </x:c>
      <x:c r="C331" s="9" t="d">
        <x:v>2011-11-02T00:00:00.000Z</x:v>
      </x:c>
      <x:c r="D331" s="9" t="d">
        <x:v>2011-11-06T00:00:00.000Z</x:v>
      </x:c>
      <x:c r="E331" s="1" t="str">
        <x:v>ridge</x:v>
      </x:c>
      <x:c r="F331" s="10" t="n">
        <x:v>146</x:v>
      </x:c>
      <x:c r="G331" s="10" t="n">
        <x:v>50.95510612</x:v>
      </x:c>
      <x:c r="H331" s="10" t="n">
        <x:f>ABS(G331-F331)</x:f>
        <x:v>95.04489387999999</x:v>
      </x:c>
      <x:c r="I331" s="10" t="n">
        <x:f>G331-F331</x:f>
        <x:v>-95.04489387999999</x:v>
      </x:c>
    </x:row>
    <x:row r="332" ht="20" customHeight="1">
      <x:c r="A332" s="1" t="str">
        <x:v>21212</x:v>
      </x:c>
      <x:c r="B332" s="10" t="n">
        <x:v>2</x:v>
      </x:c>
      <x:c r="C332" s="9" t="d">
        <x:v>2011-11-02T00:00:00.000Z</x:v>
      </x:c>
      <x:c r="D332" s="9" t="d">
        <x:v>2011-11-07T00:00:00.000Z</x:v>
      </x:c>
      <x:c r="E332" s="1" t="str">
        <x:v>ridge</x:v>
      </x:c>
      <x:c r="F332" s="10" t="n">
        <x:v>77</x:v>
      </x:c>
      <x:c r="G332" s="10" t="n">
        <x:v>100.599080203</x:v>
      </x:c>
      <x:c r="H332" s="10" t="n">
        <x:f>ABS(G332-F332)</x:f>
        <x:v>23.599080203</x:v>
      </x:c>
      <x:c r="I332" s="10" t="n">
        <x:f>G332-F332</x:f>
        <x:v>23.599080203</x:v>
      </x:c>
    </x:row>
    <x:row r="333" ht="20" customHeight="1">
      <x:c r="A333" s="1" t="str">
        <x:v>21212</x:v>
      </x:c>
      <x:c r="B333" s="10" t="n">
        <x:v>2</x:v>
      </x:c>
      <x:c r="C333" s="9" t="d">
        <x:v>2011-11-02T00:00:00.000Z</x:v>
      </x:c>
      <x:c r="D333" s="9" t="d">
        <x:v>2011-11-08T00:00:00.000Z</x:v>
      </x:c>
      <x:c r="E333" s="1" t="str">
        <x:v>ridge</x:v>
      </x:c>
      <x:c r="F333" s="10" t="n">
        <x:v>66</x:v>
      </x:c>
      <x:c r="G333" s="10" t="n">
        <x:v>161.0771697539</x:v>
      </x:c>
      <x:c r="H333" s="10" t="n">
        <x:f>ABS(G333-F333)</x:f>
        <x:v>95.0771697539</x:v>
      </x:c>
      <x:c r="I333" s="10" t="n">
        <x:f>G333-F333</x:f>
        <x:v>95.0771697539</x:v>
      </x:c>
    </x:row>
    <x:row r="334" ht="20" customHeight="1">
      <x:c r="A334" s="1" t="str">
        <x:v>21212</x:v>
      </x:c>
      <x:c r="B334" s="10" t="n">
        <x:v>2</x:v>
      </x:c>
      <x:c r="C334" s="9" t="d">
        <x:v>2011-11-02T00:00:00.000Z</x:v>
      </x:c>
      <x:c r="D334" s="9" t="d">
        <x:v>2011-11-09T00:00:00.000Z</x:v>
      </x:c>
      <x:c r="E334" s="1" t="str">
        <x:v>ridge</x:v>
      </x:c>
      <x:c r="F334" s="10" t="n">
        <x:v>4</x:v>
      </x:c>
      <x:c r="G334" s="10" t="n">
        <x:v>176.6610537748</x:v>
      </x:c>
      <x:c r="H334" s="10" t="n">
        <x:f>ABS(G334-F334)</x:f>
        <x:v>172.6610537748</x:v>
      </x:c>
      <x:c r="I334" s="10" t="n">
        <x:f>G334-F334</x:f>
        <x:v>172.6610537748</x:v>
      </x:c>
    </x:row>
    <x:row r="335" ht="20" customHeight="1">
      <x:c r="A335" s="1" t="str">
        <x:v>21212</x:v>
      </x:c>
      <x:c r="B335" s="10" t="n">
        <x:v>2</x:v>
      </x:c>
      <x:c r="C335" s="9" t="d">
        <x:v>2011-11-02T00:00:00.000Z</x:v>
      </x:c>
      <x:c r="D335" s="9" t="d">
        <x:v>2011-11-10T00:00:00.000Z</x:v>
      </x:c>
      <x:c r="E335" s="1" t="str">
        <x:v>ridge</x:v>
      </x:c>
      <x:c r="F335" s="10" t="n">
        <x:v>78</x:v>
      </x:c>
      <x:c r="G335" s="10" t="n">
        <x:v>149.6089689733</x:v>
      </x:c>
      <x:c r="H335" s="10" t="n">
        <x:f>ABS(G335-F335)</x:f>
        <x:v>71.6089689733</x:v>
      </x:c>
      <x:c r="I335" s="10" t="n">
        <x:f>G335-F335</x:f>
        <x:v>71.6089689733</x:v>
      </x:c>
    </x:row>
    <x:row r="336" ht="20" customHeight="1">
      <x:c r="A336" s="1" t="str">
        <x:v>21212</x:v>
      </x:c>
      <x:c r="B336" s="10" t="n">
        <x:v>2</x:v>
      </x:c>
      <x:c r="C336" s="9" t="d">
        <x:v>2011-11-02T00:00:00.000Z</x:v>
      </x:c>
      <x:c r="D336" s="9" t="d">
        <x:v>2011-11-11T00:00:00.000Z</x:v>
      </x:c>
      <x:c r="E336" s="1" t="str">
        <x:v>ridge</x:v>
      </x:c>
      <x:c r="F336" s="10" t="n">
        <x:v>50</x:v>
      </x:c>
      <x:c r="G336" s="10" t="n">
        <x:v>82.9530308228</x:v>
      </x:c>
      <x:c r="H336" s="10" t="n">
        <x:f>ABS(G336-F336)</x:f>
        <x:v>32.9530308228</x:v>
      </x:c>
      <x:c r="I336" s="10" t="n">
        <x:f>G336-F336</x:f>
        <x:v>32.9530308228</x:v>
      </x:c>
    </x:row>
    <x:row r="337" ht="20" customHeight="1">
      <x:c r="A337" s="1" t="str">
        <x:v>21212</x:v>
      </x:c>
      <x:c r="B337" s="10" t="n">
        <x:v>2</x:v>
      </x:c>
      <x:c r="C337" s="9" t="d">
        <x:v>2011-11-02T00:00:00.000Z</x:v>
      </x:c>
      <x:c r="D337" s="9" t="d">
        <x:v>2011-11-12T00:00:00.000Z</x:v>
      </x:c>
      <x:c r="E337" s="1" t="str">
        <x:v>ridge</x:v>
      </x:c>
      <x:c r="F337" s="10" t="n">
        <x:v>0</x:v>
      </x:c>
      <x:c r="G337" s="10" t="n">
        <x:v>50.62828767</x:v>
      </x:c>
      <x:c r="H337" s="10" t="n">
        <x:f>ABS(G337-F337)</x:f>
        <x:v>50.62828767</x:v>
      </x:c>
      <x:c r="I337" s="10" t="n">
        <x:f>G337-F337</x:f>
        <x:v>50.62828767</x:v>
      </x:c>
    </x:row>
    <x:row r="338" ht="20" customHeight="1">
      <x:c r="A338" s="1" t="str">
        <x:v>21212</x:v>
      </x:c>
      <x:c r="B338" s="10" t="n">
        <x:v>2</x:v>
      </x:c>
      <x:c r="C338" s="9" t="d">
        <x:v>2011-11-02T00:00:00.000Z</x:v>
      </x:c>
      <x:c r="D338" s="9" t="d">
        <x:v>2011-11-13T00:00:00.000Z</x:v>
      </x:c>
      <x:c r="E338" s="1" t="str">
        <x:v>ridge</x:v>
      </x:c>
      <x:c r="F338" s="10" t="n">
        <x:v>87</x:v>
      </x:c>
      <x:c r="G338" s="10" t="n">
        <x:v>44.588661343</x:v>
      </x:c>
      <x:c r="H338" s="10" t="n">
        <x:f>ABS(G338-F338)</x:f>
        <x:v>42.411338657</x:v>
      </x:c>
      <x:c r="I338" s="10" t="n">
        <x:f>G338-F338</x:f>
        <x:v>-42.411338657</x:v>
      </x:c>
    </x:row>
    <x:row r="339" ht="20" customHeight="1">
      <x:c r="A339" s="1" t="str">
        <x:v>21212</x:v>
      </x:c>
      <x:c r="B339" s="10" t="n">
        <x:v>2</x:v>
      </x:c>
      <x:c r="C339" s="9" t="d">
        <x:v>2011-11-02T00:00:00.000Z</x:v>
      </x:c>
      <x:c r="D339" s="9" t="d">
        <x:v>2011-11-14T00:00:00.000Z</x:v>
      </x:c>
      <x:c r="E339" s="1" t="str">
        <x:v>ridge</x:v>
      </x:c>
      <x:c r="F339" s="10" t="n">
        <x:v>164</x:v>
      </x:c>
      <x:c r="G339" s="10" t="n">
        <x:v>91.5112057232</x:v>
      </x:c>
      <x:c r="H339" s="10" t="n">
        <x:f>ABS(G339-F339)</x:f>
        <x:v>72.4887942768</x:v>
      </x:c>
      <x:c r="I339" s="10" t="n">
        <x:f>G339-F339</x:f>
        <x:v>-72.4887942768</x:v>
      </x:c>
    </x:row>
    <x:row r="340" ht="20" customHeight="1">
      <x:c r="A340" s="1" t="str">
        <x:v>21212</x:v>
      </x:c>
      <x:c r="B340" s="10" t="n">
        <x:v>2</x:v>
      </x:c>
      <x:c r="C340" s="9" t="d">
        <x:v>2011-11-02T00:00:00.000Z</x:v>
      </x:c>
      <x:c r="D340" s="9" t="d">
        <x:v>2011-11-15T00:00:00.000Z</x:v>
      </x:c>
      <x:c r="E340" s="1" t="str">
        <x:v>ridge</x:v>
      </x:c>
      <x:c r="F340" s="10" t="n">
        <x:v>62</x:v>
      </x:c>
      <x:c r="G340" s="10" t="n">
        <x:v>154.8994718148</x:v>
      </x:c>
      <x:c r="H340" s="10" t="n">
        <x:f>ABS(G340-F340)</x:f>
        <x:v>92.8994718148</x:v>
      </x:c>
      <x:c r="I340" s="10" t="n">
        <x:f>G340-F340</x:f>
        <x:v>92.8994718148</x:v>
      </x:c>
    </x:row>
    <x:row r="341" ht="20" customHeight="1">
      <x:c r="A341" s="1" t="str">
        <x:v>21212</x:v>
      </x:c>
      <x:c r="B341" s="10" t="n">
        <x:v>2</x:v>
      </x:c>
      <x:c r="C341" s="9" t="d">
        <x:v>2011-11-02T00:00:00.000Z</x:v>
      </x:c>
      <x:c r="D341" s="9" t="d">
        <x:v>2011-11-16T00:00:00.000Z</x:v>
      </x:c>
      <x:c r="E341" s="1" t="str">
        <x:v>ridge</x:v>
      </x:c>
      <x:c r="F341" s="10" t="n">
        <x:v>88</x:v>
      </x:c>
      <x:c r="G341" s="10" t="n">
        <x:v>166.1497667576</x:v>
      </x:c>
      <x:c r="H341" s="10" t="n">
        <x:f>ABS(G341-F341)</x:f>
        <x:v>78.14976675759999</x:v>
      </x:c>
      <x:c r="I341" s="10" t="n">
        <x:f>G341-F341</x:f>
        <x:v>78.14976675759999</x:v>
      </x:c>
    </x:row>
    <x:row r="342" ht="20" customHeight="1">
      <x:c r="A342" s="1" t="str">
        <x:v>21212</x:v>
      </x:c>
      <x:c r="B342" s="10" t="n">
        <x:v>3</x:v>
      </x:c>
      <x:c r="C342" s="9" t="d">
        <x:v>2011-11-16T00:00:00.000Z</x:v>
      </x:c>
      <x:c r="D342" s="9" t="d">
        <x:v>2011-11-17T00:00:00.000Z</x:v>
      </x:c>
      <x:c r="E342" s="1" t="str">
        <x:v>naive</x:v>
      </x:c>
      <x:c r="F342" s="10" t="n">
        <x:v>84</x:v>
      </x:c>
      <x:c r="G342" s="10" t="n">
        <x:v>88</x:v>
      </x:c>
      <x:c r="H342" s="10" t="n">
        <x:f>ABS(G342-F342)</x:f>
        <x:v>4</x:v>
      </x:c>
      <x:c r="I342" s="10" t="n">
        <x:f>G342-F342</x:f>
        <x:v>4</x:v>
      </x:c>
    </x:row>
    <x:row r="343" ht="20" customHeight="1">
      <x:c r="A343" s="1" t="str">
        <x:v>21212</x:v>
      </x:c>
      <x:c r="B343" s="10" t="n">
        <x:v>3</x:v>
      </x:c>
      <x:c r="C343" s="9" t="d">
        <x:v>2011-11-16T00:00:00.000Z</x:v>
      </x:c>
      <x:c r="D343" s="9" t="d">
        <x:v>2011-11-18T00:00:00.000Z</x:v>
      </x:c>
      <x:c r="E343" s="1" t="str">
        <x:v>naive</x:v>
      </x:c>
      <x:c r="F343" s="10" t="n">
        <x:v>109</x:v>
      </x:c>
      <x:c r="G343" s="10" t="n">
        <x:v>88</x:v>
      </x:c>
      <x:c r="H343" s="10" t="n">
        <x:f>ABS(G343-F343)</x:f>
        <x:v>21</x:v>
      </x:c>
      <x:c r="I343" s="10" t="n">
        <x:f>G343-F343</x:f>
        <x:v>-21</x:v>
      </x:c>
    </x:row>
    <x:row r="344" ht="20" customHeight="1">
      <x:c r="A344" s="1" t="str">
        <x:v>21212</x:v>
      </x:c>
      <x:c r="B344" s="10" t="n">
        <x:v>3</x:v>
      </x:c>
      <x:c r="C344" s="9" t="d">
        <x:v>2011-11-16T00:00:00.000Z</x:v>
      </x:c>
      <x:c r="D344" s="9" t="d">
        <x:v>2011-11-19T00:00:00.000Z</x:v>
      </x:c>
      <x:c r="E344" s="1" t="str">
        <x:v>naive</x:v>
      </x:c>
      <x:c r="F344" s="10" t="n">
        <x:v>0</x:v>
      </x:c>
      <x:c r="G344" s="10" t="n">
        <x:v>88</x:v>
      </x:c>
      <x:c r="H344" s="10" t="n">
        <x:f>ABS(G344-F344)</x:f>
        <x:v>88</x:v>
      </x:c>
      <x:c r="I344" s="10" t="n">
        <x:f>G344-F344</x:f>
        <x:v>88</x:v>
      </x:c>
    </x:row>
    <x:row r="345" ht="20" customHeight="1">
      <x:c r="A345" s="1" t="str">
        <x:v>21212</x:v>
      </x:c>
      <x:c r="B345" s="10" t="n">
        <x:v>3</x:v>
      </x:c>
      <x:c r="C345" s="9" t="d">
        <x:v>2011-11-16T00:00:00.000Z</x:v>
      </x:c>
      <x:c r="D345" s="9" t="d">
        <x:v>2011-11-20T00:00:00.000Z</x:v>
      </x:c>
      <x:c r="E345" s="1" t="str">
        <x:v>naive</x:v>
      </x:c>
      <x:c r="F345" s="10" t="n">
        <x:v>81</x:v>
      </x:c>
      <x:c r="G345" s="10" t="n">
        <x:v>88</x:v>
      </x:c>
      <x:c r="H345" s="10" t="n">
        <x:f>ABS(G345-F345)</x:f>
        <x:v>7</x:v>
      </x:c>
      <x:c r="I345" s="10" t="n">
        <x:f>G345-F345</x:f>
        <x:v>7</x:v>
      </x:c>
    </x:row>
    <x:row r="346" ht="20" customHeight="1">
      <x:c r="A346" s="1" t="str">
        <x:v>21212</x:v>
      </x:c>
      <x:c r="B346" s="10" t="n">
        <x:v>3</x:v>
      </x:c>
      <x:c r="C346" s="9" t="d">
        <x:v>2011-11-16T00:00:00.000Z</x:v>
      </x:c>
      <x:c r="D346" s="9" t="d">
        <x:v>2011-11-21T00:00:00.000Z</x:v>
      </x:c>
      <x:c r="E346" s="1" t="str">
        <x:v>naive</x:v>
      </x:c>
      <x:c r="F346" s="10" t="n">
        <x:v>100</x:v>
      </x:c>
      <x:c r="G346" s="10" t="n">
        <x:v>88</x:v>
      </x:c>
      <x:c r="H346" s="10" t="n">
        <x:f>ABS(G346-F346)</x:f>
        <x:v>12</x:v>
      </x:c>
      <x:c r="I346" s="10" t="n">
        <x:f>G346-F346</x:f>
        <x:v>-12</x:v>
      </x:c>
    </x:row>
    <x:row r="347" ht="20" customHeight="1">
      <x:c r="A347" s="1" t="str">
        <x:v>21212</x:v>
      </x:c>
      <x:c r="B347" s="10" t="n">
        <x:v>3</x:v>
      </x:c>
      <x:c r="C347" s="9" t="d">
        <x:v>2011-11-16T00:00:00.000Z</x:v>
      </x:c>
      <x:c r="D347" s="9" t="d">
        <x:v>2011-11-22T00:00:00.000Z</x:v>
      </x:c>
      <x:c r="E347" s="1" t="str">
        <x:v>naive</x:v>
      </x:c>
      <x:c r="F347" s="10" t="n">
        <x:v>99</x:v>
      </x:c>
      <x:c r="G347" s="10" t="n">
        <x:v>88</x:v>
      </x:c>
      <x:c r="H347" s="10" t="n">
        <x:f>ABS(G347-F347)</x:f>
        <x:v>11</x:v>
      </x:c>
      <x:c r="I347" s="10" t="n">
        <x:f>G347-F347</x:f>
        <x:v>-11</x:v>
      </x:c>
    </x:row>
    <x:row r="348" ht="20" customHeight="1">
      <x:c r="A348" s="1" t="str">
        <x:v>21212</x:v>
      </x:c>
      <x:c r="B348" s="10" t="n">
        <x:v>3</x:v>
      </x:c>
      <x:c r="C348" s="9" t="d">
        <x:v>2011-11-16T00:00:00.000Z</x:v>
      </x:c>
      <x:c r="D348" s="9" t="d">
        <x:v>2011-11-23T00:00:00.000Z</x:v>
      </x:c>
      <x:c r="E348" s="1" t="str">
        <x:v>naive</x:v>
      </x:c>
      <x:c r="F348" s="10" t="n">
        <x:v>81</x:v>
      </x:c>
      <x:c r="G348" s="10" t="n">
        <x:v>88</x:v>
      </x:c>
      <x:c r="H348" s="10" t="n">
        <x:f>ABS(G348-F348)</x:f>
        <x:v>7</x:v>
      </x:c>
      <x:c r="I348" s="10" t="n">
        <x:f>G348-F348</x:f>
        <x:v>7</x:v>
      </x:c>
    </x:row>
    <x:row r="349" ht="20" customHeight="1">
      <x:c r="A349" s="1" t="str">
        <x:v>21212</x:v>
      </x:c>
      <x:c r="B349" s="10" t="n">
        <x:v>3</x:v>
      </x:c>
      <x:c r="C349" s="9" t="d">
        <x:v>2011-11-16T00:00:00.000Z</x:v>
      </x:c>
      <x:c r="D349" s="9" t="d">
        <x:v>2011-11-24T00:00:00.000Z</x:v>
      </x:c>
      <x:c r="E349" s="1" t="str">
        <x:v>naive</x:v>
      </x:c>
      <x:c r="F349" s="10" t="n">
        <x:v>1</x:v>
      </x:c>
      <x:c r="G349" s="10" t="n">
        <x:v>88</x:v>
      </x:c>
      <x:c r="H349" s="10" t="n">
        <x:f>ABS(G349-F349)</x:f>
        <x:v>87</x:v>
      </x:c>
      <x:c r="I349" s="10" t="n">
        <x:f>G349-F349</x:f>
        <x:v>87</x:v>
      </x:c>
    </x:row>
    <x:row r="350" ht="20" customHeight="1">
      <x:c r="A350" s="1" t="str">
        <x:v>21212</x:v>
      </x:c>
      <x:c r="B350" s="10" t="n">
        <x:v>3</x:v>
      </x:c>
      <x:c r="C350" s="9" t="d">
        <x:v>2011-11-16T00:00:00.000Z</x:v>
      </x:c>
      <x:c r="D350" s="9" t="d">
        <x:v>2011-11-25T00:00:00.000Z</x:v>
      </x:c>
      <x:c r="E350" s="1" t="str">
        <x:v>naive</x:v>
      </x:c>
      <x:c r="F350" s="10" t="n">
        <x:v>45</x:v>
      </x:c>
      <x:c r="G350" s="10" t="n">
        <x:v>88</x:v>
      </x:c>
      <x:c r="H350" s="10" t="n">
        <x:f>ABS(G350-F350)</x:f>
        <x:v>43</x:v>
      </x:c>
      <x:c r="I350" s="10" t="n">
        <x:f>G350-F350</x:f>
        <x:v>43</x:v>
      </x:c>
    </x:row>
    <x:row r="351" ht="20" customHeight="1">
      <x:c r="A351" s="1" t="str">
        <x:v>21212</x:v>
      </x:c>
      <x:c r="B351" s="10" t="n">
        <x:v>3</x:v>
      </x:c>
      <x:c r="C351" s="9" t="d">
        <x:v>2011-11-16T00:00:00.000Z</x:v>
      </x:c>
      <x:c r="D351" s="9" t="d">
        <x:v>2011-11-26T00:00:00.000Z</x:v>
      </x:c>
      <x:c r="E351" s="1" t="str">
        <x:v>naive</x:v>
      </x:c>
      <x:c r="F351" s="10" t="n">
        <x:v>0</x:v>
      </x:c>
      <x:c r="G351" s="10" t="n">
        <x:v>88</x:v>
      </x:c>
      <x:c r="H351" s="10" t="n">
        <x:f>ABS(G351-F351)</x:f>
        <x:v>88</x:v>
      </x:c>
      <x:c r="I351" s="10" t="n">
        <x:f>G351-F351</x:f>
        <x:v>88</x:v>
      </x:c>
    </x:row>
    <x:row r="352" ht="20" customHeight="1">
      <x:c r="A352" s="1" t="str">
        <x:v>21212</x:v>
      </x:c>
      <x:c r="B352" s="10" t="n">
        <x:v>3</x:v>
      </x:c>
      <x:c r="C352" s="9" t="d">
        <x:v>2011-11-16T00:00:00.000Z</x:v>
      </x:c>
      <x:c r="D352" s="9" t="d">
        <x:v>2011-11-27T00:00:00.000Z</x:v>
      </x:c>
      <x:c r="E352" s="1" t="str">
        <x:v>naive</x:v>
      </x:c>
      <x:c r="F352" s="10" t="n">
        <x:v>15</x:v>
      </x:c>
      <x:c r="G352" s="10" t="n">
        <x:v>88</x:v>
      </x:c>
      <x:c r="H352" s="10" t="n">
        <x:f>ABS(G352-F352)</x:f>
        <x:v>73</x:v>
      </x:c>
      <x:c r="I352" s="10" t="n">
        <x:f>G352-F352</x:f>
        <x:v>73</x:v>
      </x:c>
    </x:row>
    <x:row r="353" ht="20" customHeight="1">
      <x:c r="A353" s="1" t="str">
        <x:v>21212</x:v>
      </x:c>
      <x:c r="B353" s="10" t="n">
        <x:v>3</x:v>
      </x:c>
      <x:c r="C353" s="9" t="d">
        <x:v>2011-11-16T00:00:00.000Z</x:v>
      </x:c>
      <x:c r="D353" s="9" t="d">
        <x:v>2011-11-28T00:00:00.000Z</x:v>
      </x:c>
      <x:c r="E353" s="1" t="str">
        <x:v>naive</x:v>
      </x:c>
      <x:c r="F353" s="10" t="n">
        <x:v>60</x:v>
      </x:c>
      <x:c r="G353" s="10" t="n">
        <x:v>88</x:v>
      </x:c>
      <x:c r="H353" s="10" t="n">
        <x:f>ABS(G353-F353)</x:f>
        <x:v>28</x:v>
      </x:c>
      <x:c r="I353" s="10" t="n">
        <x:f>G353-F353</x:f>
        <x:v>28</x:v>
      </x:c>
    </x:row>
    <x:row r="354" ht="20" customHeight="1">
      <x:c r="A354" s="1" t="str">
        <x:v>21212</x:v>
      </x:c>
      <x:c r="B354" s="10" t="n">
        <x:v>3</x:v>
      </x:c>
      <x:c r="C354" s="9" t="d">
        <x:v>2011-11-16T00:00:00.000Z</x:v>
      </x:c>
      <x:c r="D354" s="9" t="d">
        <x:v>2011-11-29T00:00:00.000Z</x:v>
      </x:c>
      <x:c r="E354" s="1" t="str">
        <x:v>naive</x:v>
      </x:c>
      <x:c r="F354" s="10" t="n">
        <x:v>52</x:v>
      </x:c>
      <x:c r="G354" s="10" t="n">
        <x:v>88</x:v>
      </x:c>
      <x:c r="H354" s="10" t="n">
        <x:f>ABS(G354-F354)</x:f>
        <x:v>36</x:v>
      </x:c>
      <x:c r="I354" s="10" t="n">
        <x:f>G354-F354</x:f>
        <x:v>36</x:v>
      </x:c>
    </x:row>
    <x:row r="355" ht="20" customHeight="1">
      <x:c r="A355" s="1" t="str">
        <x:v>21212</x:v>
      </x:c>
      <x:c r="B355" s="10" t="n">
        <x:v>3</x:v>
      </x:c>
      <x:c r="C355" s="9" t="d">
        <x:v>2011-11-16T00:00:00.000Z</x:v>
      </x:c>
      <x:c r="D355" s="9" t="d">
        <x:v>2011-11-30T00:00:00.000Z</x:v>
      </x:c>
      <x:c r="E355" s="1" t="str">
        <x:v>naive</x:v>
      </x:c>
      <x:c r="F355" s="10" t="n">
        <x:v>241</x:v>
      </x:c>
      <x:c r="G355" s="10" t="n">
        <x:v>88</x:v>
      </x:c>
      <x:c r="H355" s="10" t="n">
        <x:f>ABS(G355-F355)</x:f>
        <x:v>153</x:v>
      </x:c>
      <x:c r="I355" s="10" t="n">
        <x:f>G355-F355</x:f>
        <x:v>-153</x:v>
      </x:c>
    </x:row>
    <x:row r="356" ht="20" customHeight="1">
      <x:c r="A356" s="1" t="str">
        <x:v>21212</x:v>
      </x:c>
      <x:c r="B356" s="10" t="n">
        <x:v>3</x:v>
      </x:c>
      <x:c r="C356" s="9" t="d">
        <x:v>2011-11-16T00:00:00.000Z</x:v>
      </x:c>
      <x:c r="D356" s="9" t="d">
        <x:v>2011-11-17T00:00:00.000Z</x:v>
      </x:c>
      <x:c r="E356" s="1" t="str">
        <x:v>seasonal_naive</x:v>
      </x:c>
      <x:c r="F356" s="10" t="n">
        <x:v>84</x:v>
      </x:c>
      <x:c r="G356" s="10" t="n">
        <x:v>78</x:v>
      </x:c>
      <x:c r="H356" s="10" t="n">
        <x:f>ABS(G356-F356)</x:f>
        <x:v>6</x:v>
      </x:c>
      <x:c r="I356" s="10" t="n">
        <x:f>G356-F356</x:f>
        <x:v>-6</x:v>
      </x:c>
    </x:row>
    <x:row r="357" ht="20" customHeight="1">
      <x:c r="A357" s="1" t="str">
        <x:v>21212</x:v>
      </x:c>
      <x:c r="B357" s="10" t="n">
        <x:v>3</x:v>
      </x:c>
      <x:c r="C357" s="9" t="d">
        <x:v>2011-11-16T00:00:00.000Z</x:v>
      </x:c>
      <x:c r="D357" s="9" t="d">
        <x:v>2011-11-18T00:00:00.000Z</x:v>
      </x:c>
      <x:c r="E357" s="1" t="str">
        <x:v>seasonal_naive</x:v>
      </x:c>
      <x:c r="F357" s="10" t="n">
        <x:v>109</x:v>
      </x:c>
      <x:c r="G357" s="10" t="n">
        <x:v>50</x:v>
      </x:c>
      <x:c r="H357" s="10" t="n">
        <x:f>ABS(G357-F357)</x:f>
        <x:v>59</x:v>
      </x:c>
      <x:c r="I357" s="10" t="n">
        <x:f>G357-F357</x:f>
        <x:v>-59</x:v>
      </x:c>
    </x:row>
    <x:row r="358" ht="20" customHeight="1">
      <x:c r="A358" s="1" t="str">
        <x:v>21212</x:v>
      </x:c>
      <x:c r="B358" s="10" t="n">
        <x:v>3</x:v>
      </x:c>
      <x:c r="C358" s="9" t="d">
        <x:v>2011-11-16T00:00:00.000Z</x:v>
      </x:c>
      <x:c r="D358" s="9" t="d">
        <x:v>2011-11-19T00:00:00.000Z</x:v>
      </x:c>
      <x:c r="E358" s="1" t="str">
        <x:v>seasonal_naive</x:v>
      </x:c>
      <x:c r="F358" s="10" t="n">
        <x:v>0</x:v>
      </x:c>
      <x:c r="G358" s="10" t="n">
        <x:v>0</x:v>
      </x:c>
      <x:c r="H358" s="10" t="n">
        <x:f>ABS(G358-F358)</x:f>
        <x:v>0</x:v>
      </x:c>
      <x:c r="I358" s="10" t="n">
        <x:f>G358-F358</x:f>
        <x:v>0</x:v>
      </x:c>
    </x:row>
    <x:row r="359" ht="20" customHeight="1">
      <x:c r="A359" s="1" t="str">
        <x:v>21212</x:v>
      </x:c>
      <x:c r="B359" s="10" t="n">
        <x:v>3</x:v>
      </x:c>
      <x:c r="C359" s="9" t="d">
        <x:v>2011-11-16T00:00:00.000Z</x:v>
      </x:c>
      <x:c r="D359" s="9" t="d">
        <x:v>2011-11-20T00:00:00.000Z</x:v>
      </x:c>
      <x:c r="E359" s="1" t="str">
        <x:v>seasonal_naive</x:v>
      </x:c>
      <x:c r="F359" s="10" t="n">
        <x:v>81</x:v>
      </x:c>
      <x:c r="G359" s="10" t="n">
        <x:v>87</x:v>
      </x:c>
      <x:c r="H359" s="10" t="n">
        <x:f>ABS(G359-F359)</x:f>
        <x:v>6</x:v>
      </x:c>
      <x:c r="I359" s="10" t="n">
        <x:f>G359-F359</x:f>
        <x:v>6</x:v>
      </x:c>
    </x:row>
    <x:row r="360" ht="20" customHeight="1">
      <x:c r="A360" s="1" t="str">
        <x:v>21212</x:v>
      </x:c>
      <x:c r="B360" s="10" t="n">
        <x:v>3</x:v>
      </x:c>
      <x:c r="C360" s="9" t="d">
        <x:v>2011-11-16T00:00:00.000Z</x:v>
      </x:c>
      <x:c r="D360" s="9" t="d">
        <x:v>2011-11-21T00:00:00.000Z</x:v>
      </x:c>
      <x:c r="E360" s="1" t="str">
        <x:v>seasonal_naive</x:v>
      </x:c>
      <x:c r="F360" s="10" t="n">
        <x:v>100</x:v>
      </x:c>
      <x:c r="G360" s="10" t="n">
        <x:v>164</x:v>
      </x:c>
      <x:c r="H360" s="10" t="n">
        <x:f>ABS(G360-F360)</x:f>
        <x:v>64</x:v>
      </x:c>
      <x:c r="I360" s="10" t="n">
        <x:f>G360-F360</x:f>
        <x:v>64</x:v>
      </x:c>
    </x:row>
    <x:row r="361" ht="20" customHeight="1">
      <x:c r="A361" s="1" t="str">
        <x:v>21212</x:v>
      </x:c>
      <x:c r="B361" s="10" t="n">
        <x:v>3</x:v>
      </x:c>
      <x:c r="C361" s="9" t="d">
        <x:v>2011-11-16T00:00:00.000Z</x:v>
      </x:c>
      <x:c r="D361" s="9" t="d">
        <x:v>2011-11-22T00:00:00.000Z</x:v>
      </x:c>
      <x:c r="E361" s="1" t="str">
        <x:v>seasonal_naive</x:v>
      </x:c>
      <x:c r="F361" s="10" t="n">
        <x:v>99</x:v>
      </x:c>
      <x:c r="G361" s="10" t="n">
        <x:v>62</x:v>
      </x:c>
      <x:c r="H361" s="10" t="n">
        <x:f>ABS(G361-F361)</x:f>
        <x:v>37</x:v>
      </x:c>
      <x:c r="I361" s="10" t="n">
        <x:f>G361-F361</x:f>
        <x:v>-37</x:v>
      </x:c>
    </x:row>
    <x:row r="362" ht="20" customHeight="1">
      <x:c r="A362" s="1" t="str">
        <x:v>21212</x:v>
      </x:c>
      <x:c r="B362" s="10" t="n">
        <x:v>3</x:v>
      </x:c>
      <x:c r="C362" s="9" t="d">
        <x:v>2011-11-16T00:00:00.000Z</x:v>
      </x:c>
      <x:c r="D362" s="9" t="d">
        <x:v>2011-11-23T00:00:00.000Z</x:v>
      </x:c>
      <x:c r="E362" s="1" t="str">
        <x:v>seasonal_naive</x:v>
      </x:c>
      <x:c r="F362" s="10" t="n">
        <x:v>81</x:v>
      </x:c>
      <x:c r="G362" s="10" t="n">
        <x:v>88</x:v>
      </x:c>
      <x:c r="H362" s="10" t="n">
        <x:f>ABS(G362-F362)</x:f>
        <x:v>7</x:v>
      </x:c>
      <x:c r="I362" s="10" t="n">
        <x:f>G362-F362</x:f>
        <x:v>7</x:v>
      </x:c>
    </x:row>
    <x:row r="363" ht="20" customHeight="1">
      <x:c r="A363" s="1" t="str">
        <x:v>21212</x:v>
      </x:c>
      <x:c r="B363" s="10" t="n">
        <x:v>3</x:v>
      </x:c>
      <x:c r="C363" s="9" t="d">
        <x:v>2011-11-16T00:00:00.000Z</x:v>
      </x:c>
      <x:c r="D363" s="9" t="d">
        <x:v>2011-11-24T00:00:00.000Z</x:v>
      </x:c>
      <x:c r="E363" s="1" t="str">
        <x:v>seasonal_naive</x:v>
      </x:c>
      <x:c r="F363" s="10" t="n">
        <x:v>1</x:v>
      </x:c>
      <x:c r="G363" s="10" t="n">
        <x:v>78</x:v>
      </x:c>
      <x:c r="H363" s="10" t="n">
        <x:f>ABS(G363-F363)</x:f>
        <x:v>77</x:v>
      </x:c>
      <x:c r="I363" s="10" t="n">
        <x:f>G363-F363</x:f>
        <x:v>77</x:v>
      </x:c>
    </x:row>
    <x:row r="364" ht="20" customHeight="1">
      <x:c r="A364" s="1" t="str">
        <x:v>21212</x:v>
      </x:c>
      <x:c r="B364" s="10" t="n">
        <x:v>3</x:v>
      </x:c>
      <x:c r="C364" s="9" t="d">
        <x:v>2011-11-16T00:00:00.000Z</x:v>
      </x:c>
      <x:c r="D364" s="9" t="d">
        <x:v>2011-11-25T00:00:00.000Z</x:v>
      </x:c>
      <x:c r="E364" s="1" t="str">
        <x:v>seasonal_naive</x:v>
      </x:c>
      <x:c r="F364" s="10" t="n">
        <x:v>45</x:v>
      </x:c>
      <x:c r="G364" s="10" t="n">
        <x:v>50</x:v>
      </x:c>
      <x:c r="H364" s="10" t="n">
        <x:f>ABS(G364-F364)</x:f>
        <x:v>5</x:v>
      </x:c>
      <x:c r="I364" s="10" t="n">
        <x:f>G364-F364</x:f>
        <x:v>5</x:v>
      </x:c>
    </x:row>
    <x:row r="365" ht="20" customHeight="1">
      <x:c r="A365" s="1" t="str">
        <x:v>21212</x:v>
      </x:c>
      <x:c r="B365" s="10" t="n">
        <x:v>3</x:v>
      </x:c>
      <x:c r="C365" s="9" t="d">
        <x:v>2011-11-16T00:00:00.000Z</x:v>
      </x:c>
      <x:c r="D365" s="9" t="d">
        <x:v>2011-11-26T00:00:00.000Z</x:v>
      </x:c>
      <x:c r="E365" s="1" t="str">
        <x:v>seasonal_naive</x:v>
      </x:c>
      <x:c r="F365" s="10" t="n">
        <x:v>0</x:v>
      </x:c>
      <x:c r="G365" s="10" t="n">
        <x:v>0</x:v>
      </x:c>
      <x:c r="H365" s="10" t="n">
        <x:f>ABS(G365-F365)</x:f>
        <x:v>0</x:v>
      </x:c>
      <x:c r="I365" s="10" t="n">
        <x:f>G365-F365</x:f>
        <x:v>0</x:v>
      </x:c>
    </x:row>
    <x:row r="366" ht="20" customHeight="1">
      <x:c r="A366" s="1" t="str">
        <x:v>21212</x:v>
      </x:c>
      <x:c r="B366" s="10" t="n">
        <x:v>3</x:v>
      </x:c>
      <x:c r="C366" s="9" t="d">
        <x:v>2011-11-16T00:00:00.000Z</x:v>
      </x:c>
      <x:c r="D366" s="9" t="d">
        <x:v>2011-11-27T00:00:00.000Z</x:v>
      </x:c>
      <x:c r="E366" s="1" t="str">
        <x:v>seasonal_naive</x:v>
      </x:c>
      <x:c r="F366" s="10" t="n">
        <x:v>15</x:v>
      </x:c>
      <x:c r="G366" s="10" t="n">
        <x:v>87</x:v>
      </x:c>
      <x:c r="H366" s="10" t="n">
        <x:f>ABS(G366-F366)</x:f>
        <x:v>72</x:v>
      </x:c>
      <x:c r="I366" s="10" t="n">
        <x:f>G366-F366</x:f>
        <x:v>72</x:v>
      </x:c>
    </x:row>
    <x:row r="367" ht="20" customHeight="1">
      <x:c r="A367" s="1" t="str">
        <x:v>21212</x:v>
      </x:c>
      <x:c r="B367" s="10" t="n">
        <x:v>3</x:v>
      </x:c>
      <x:c r="C367" s="9" t="d">
        <x:v>2011-11-16T00:00:00.000Z</x:v>
      </x:c>
      <x:c r="D367" s="9" t="d">
        <x:v>2011-11-28T00:00:00.000Z</x:v>
      </x:c>
      <x:c r="E367" s="1" t="str">
        <x:v>seasonal_naive</x:v>
      </x:c>
      <x:c r="F367" s="10" t="n">
        <x:v>60</x:v>
      </x:c>
      <x:c r="G367" s="10" t="n">
        <x:v>164</x:v>
      </x:c>
      <x:c r="H367" s="10" t="n">
        <x:f>ABS(G367-F367)</x:f>
        <x:v>104</x:v>
      </x:c>
      <x:c r="I367" s="10" t="n">
        <x:f>G367-F367</x:f>
        <x:v>104</x:v>
      </x:c>
    </x:row>
    <x:row r="368" ht="20" customHeight="1">
      <x:c r="A368" s="1" t="str">
        <x:v>21212</x:v>
      </x:c>
      <x:c r="B368" s="10" t="n">
        <x:v>3</x:v>
      </x:c>
      <x:c r="C368" s="9" t="d">
        <x:v>2011-11-16T00:00:00.000Z</x:v>
      </x:c>
      <x:c r="D368" s="9" t="d">
        <x:v>2011-11-29T00:00:00.000Z</x:v>
      </x:c>
      <x:c r="E368" s="1" t="str">
        <x:v>seasonal_naive</x:v>
      </x:c>
      <x:c r="F368" s="10" t="n">
        <x:v>52</x:v>
      </x:c>
      <x:c r="G368" s="10" t="n">
        <x:v>62</x:v>
      </x:c>
      <x:c r="H368" s="10" t="n">
        <x:f>ABS(G368-F368)</x:f>
        <x:v>10</x:v>
      </x:c>
      <x:c r="I368" s="10" t="n">
        <x:f>G368-F368</x:f>
        <x:v>10</x:v>
      </x:c>
    </x:row>
    <x:row r="369" ht="20" customHeight="1">
      <x:c r="A369" s="1" t="str">
        <x:v>21212</x:v>
      </x:c>
      <x:c r="B369" s="10" t="n">
        <x:v>3</x:v>
      </x:c>
      <x:c r="C369" s="9" t="d">
        <x:v>2011-11-16T00:00:00.000Z</x:v>
      </x:c>
      <x:c r="D369" s="9" t="d">
        <x:v>2011-11-30T00:00:00.000Z</x:v>
      </x:c>
      <x:c r="E369" s="1" t="str">
        <x:v>seasonal_naive</x:v>
      </x:c>
      <x:c r="F369" s="10" t="n">
        <x:v>241</x:v>
      </x:c>
      <x:c r="G369" s="10" t="n">
        <x:v>88</x:v>
      </x:c>
      <x:c r="H369" s="10" t="n">
        <x:f>ABS(G369-F369)</x:f>
        <x:v>153</x:v>
      </x:c>
      <x:c r="I369" s="10" t="n">
        <x:f>G369-F369</x:f>
        <x:v>-153</x:v>
      </x:c>
    </x:row>
    <x:row r="370" ht="20" customHeight="1">
      <x:c r="A370" s="1" t="str">
        <x:v>21212</x:v>
      </x:c>
      <x:c r="B370" s="10" t="n">
        <x:v>3</x:v>
      </x:c>
      <x:c r="C370" s="9" t="d">
        <x:v>2011-11-16T00:00:00.000Z</x:v>
      </x:c>
      <x:c r="D370" s="9" t="d">
        <x:v>2011-11-17T00:00:00.000Z</x:v>
      </x:c>
      <x:c r="E370" s="1" t="str">
        <x:v>ridge</x:v>
      </x:c>
      <x:c r="F370" s="10" t="n">
        <x:v>84</x:v>
      </x:c>
      <x:c r="G370" s="10" t="n">
        <x:v>128.0675270432</x:v>
      </x:c>
      <x:c r="H370" s="10" t="n">
        <x:f>ABS(G370-F370)</x:f>
        <x:v>44.06752704319999</x:v>
      </x:c>
      <x:c r="I370" s="10" t="n">
        <x:f>G370-F370</x:f>
        <x:v>44.06752704319999</x:v>
      </x:c>
    </x:row>
    <x:row r="371" ht="20" customHeight="1">
      <x:c r="A371" s="1" t="str">
        <x:v>21212</x:v>
      </x:c>
      <x:c r="B371" s="10" t="n">
        <x:v>3</x:v>
      </x:c>
      <x:c r="C371" s="9" t="d">
        <x:v>2011-11-16T00:00:00.000Z</x:v>
      </x:c>
      <x:c r="D371" s="9" t="d">
        <x:v>2011-11-18T00:00:00.000Z</x:v>
      </x:c>
      <x:c r="E371" s="1" t="str">
        <x:v>ridge</x:v>
      </x:c>
      <x:c r="F371" s="10" t="n">
        <x:v>109</x:v>
      </x:c>
      <x:c r="G371" s="10" t="n">
        <x:v>91.119279813</x:v>
      </x:c>
      <x:c r="H371" s="10" t="n">
        <x:f>ABS(G371-F371)</x:f>
        <x:v>17.880720186999994</x:v>
      </x:c>
      <x:c r="I371" s="10" t="n">
        <x:f>G371-F371</x:f>
        <x:v>-17.880720186999994</x:v>
      </x:c>
    </x:row>
    <x:row r="372" ht="20" customHeight="1">
      <x:c r="A372" s="1" t="str">
        <x:v>21212</x:v>
      </x:c>
      <x:c r="B372" s="10" t="n">
        <x:v>3</x:v>
      </x:c>
      <x:c r="C372" s="9" t="d">
        <x:v>2011-11-16T00:00:00.000Z</x:v>
      </x:c>
      <x:c r="D372" s="9" t="d">
        <x:v>2011-11-19T00:00:00.000Z</x:v>
      </x:c>
      <x:c r="E372" s="1" t="str">
        <x:v>ridge</x:v>
      </x:c>
      <x:c r="F372" s="10" t="n">
        <x:v>0</x:v>
      </x:c>
      <x:c r="G372" s="10" t="n">
        <x:v>47.8577693691</x:v>
      </x:c>
      <x:c r="H372" s="10" t="n">
        <x:f>ABS(G372-F372)</x:f>
        <x:v>47.8577693691</x:v>
      </x:c>
      <x:c r="I372" s="10" t="n">
        <x:f>G372-F372</x:f>
        <x:v>47.8577693691</x:v>
      </x:c>
    </x:row>
    <x:row r="373" ht="20" customHeight="1">
      <x:c r="A373" s="1" t="str">
        <x:v>21212</x:v>
      </x:c>
      <x:c r="B373" s="10" t="n">
        <x:v>3</x:v>
      </x:c>
      <x:c r="C373" s="9" t="d">
        <x:v>2011-11-16T00:00:00.000Z</x:v>
      </x:c>
      <x:c r="D373" s="9" t="d">
        <x:v>2011-11-20T00:00:00.000Z</x:v>
      </x:c>
      <x:c r="E373" s="1" t="str">
        <x:v>ridge</x:v>
      </x:c>
      <x:c r="F373" s="10" t="n">
        <x:v>81</x:v>
      </x:c>
      <x:c r="G373" s="10" t="n">
        <x:v>34.0728803146</x:v>
      </x:c>
      <x:c r="H373" s="10" t="n">
        <x:f>ABS(G373-F373)</x:f>
        <x:v>46.9271196854</x:v>
      </x:c>
      <x:c r="I373" s="10" t="n">
        <x:f>G373-F373</x:f>
        <x:v>-46.9271196854</x:v>
      </x:c>
    </x:row>
    <x:row r="374" ht="20" customHeight="1">
      <x:c r="A374" s="1" t="str">
        <x:v>21212</x:v>
      </x:c>
      <x:c r="B374" s="10" t="n">
        <x:v>3</x:v>
      </x:c>
      <x:c r="C374" s="9" t="d">
        <x:v>2011-11-16T00:00:00.000Z</x:v>
      </x:c>
      <x:c r="D374" s="9" t="d">
        <x:v>2011-11-21T00:00:00.000Z</x:v>
      </x:c>
      <x:c r="E374" s="1" t="str">
        <x:v>ridge</x:v>
      </x:c>
      <x:c r="F374" s="10" t="n">
        <x:v>100</x:v>
      </x:c>
      <x:c r="G374" s="10" t="n">
        <x:v>80.5609461984</x:v>
      </x:c>
      <x:c r="H374" s="10" t="n">
        <x:f>ABS(G374-F374)</x:f>
        <x:v>19.439053801599997</x:v>
      </x:c>
      <x:c r="I374" s="10" t="n">
        <x:f>G374-F374</x:f>
        <x:v>-19.439053801599997</x:v>
      </x:c>
    </x:row>
    <x:row r="375" ht="20" customHeight="1">
      <x:c r="A375" s="1" t="str">
        <x:v>21212</x:v>
      </x:c>
      <x:c r="B375" s="10" t="n">
        <x:v>3</x:v>
      </x:c>
      <x:c r="C375" s="9" t="d">
        <x:v>2011-11-16T00:00:00.000Z</x:v>
      </x:c>
      <x:c r="D375" s="9" t="d">
        <x:v>2011-11-22T00:00:00.000Z</x:v>
      </x:c>
      <x:c r="E375" s="1" t="str">
        <x:v>ridge</x:v>
      </x:c>
      <x:c r="F375" s="10" t="n">
        <x:v>99</x:v>
      </x:c>
      <x:c r="G375" s="10" t="n">
        <x:v>142.6413860886</x:v>
      </x:c>
      <x:c r="H375" s="10" t="n">
        <x:f>ABS(G375-F375)</x:f>
        <x:v>43.6413860886</x:v>
      </x:c>
      <x:c r="I375" s="10" t="n">
        <x:f>G375-F375</x:f>
        <x:v>43.6413860886</x:v>
      </x:c>
    </x:row>
    <x:row r="376" ht="20" customHeight="1">
      <x:c r="A376" s="1" t="str">
        <x:v>21212</x:v>
      </x:c>
      <x:c r="B376" s="10" t="n">
        <x:v>3</x:v>
      </x:c>
      <x:c r="C376" s="9" t="d">
        <x:v>2011-11-16T00:00:00.000Z</x:v>
      </x:c>
      <x:c r="D376" s="9" t="d">
        <x:v>2011-11-23T00:00:00.000Z</x:v>
      </x:c>
      <x:c r="E376" s="1" t="str">
        <x:v>ridge</x:v>
      </x:c>
      <x:c r="F376" s="10" t="n">
        <x:v>81</x:v>
      </x:c>
      <x:c r="G376" s="10" t="n">
        <x:v>170.0884151445</x:v>
      </x:c>
      <x:c r="H376" s="10" t="n">
        <x:f>ABS(G376-F376)</x:f>
        <x:v>89.0884151445</x:v>
      </x:c>
      <x:c r="I376" s="10" t="n">
        <x:f>G376-F376</x:f>
        <x:v>89.0884151445</x:v>
      </x:c>
    </x:row>
    <x:row r="377" ht="20" customHeight="1">
      <x:c r="A377" s="1" t="str">
        <x:v>21212</x:v>
      </x:c>
      <x:c r="B377" s="10" t="n">
        <x:v>3</x:v>
      </x:c>
      <x:c r="C377" s="9" t="d">
        <x:v>2011-11-16T00:00:00.000Z</x:v>
      </x:c>
      <x:c r="D377" s="9" t="d">
        <x:v>2011-11-24T00:00:00.000Z</x:v>
      </x:c>
      <x:c r="E377" s="1" t="str">
        <x:v>ridge</x:v>
      </x:c>
      <x:c r="F377" s="10" t="n">
        <x:v>1</x:v>
      </x:c>
      <x:c r="G377" s="10" t="n">
        <x:v>135.7447143508</x:v>
      </x:c>
      <x:c r="H377" s="10" t="n">
        <x:f>ABS(G377-F377)</x:f>
        <x:v>134.7447143508</x:v>
      </x:c>
      <x:c r="I377" s="10" t="n">
        <x:f>G377-F377</x:f>
        <x:v>134.7447143508</x:v>
      </x:c>
    </x:row>
    <x:row r="378" ht="20" customHeight="1">
      <x:c r="A378" s="1" t="str">
        <x:v>21212</x:v>
      </x:c>
      <x:c r="B378" s="10" t="n">
        <x:v>3</x:v>
      </x:c>
      <x:c r="C378" s="9" t="d">
        <x:v>2011-11-16T00:00:00.000Z</x:v>
      </x:c>
      <x:c r="D378" s="9" t="d">
        <x:v>2011-11-25T00:00:00.000Z</x:v>
      </x:c>
      <x:c r="E378" s="1" t="str">
        <x:v>ridge</x:v>
      </x:c>
      <x:c r="F378" s="10" t="n">
        <x:v>45</x:v>
      </x:c>
      <x:c r="G378" s="10" t="n">
        <x:v>79.0924773874</x:v>
      </x:c>
      <x:c r="H378" s="10" t="n">
        <x:f>ABS(G378-F378)</x:f>
        <x:v>34.092477387399995</x:v>
      </x:c>
      <x:c r="I378" s="10" t="n">
        <x:f>G378-F378</x:f>
        <x:v>34.092477387399995</x:v>
      </x:c>
    </x:row>
    <x:row r="379" ht="20" customHeight="1">
      <x:c r="A379" s="1" t="str">
        <x:v>21212</x:v>
      </x:c>
      <x:c r="B379" s="10" t="n">
        <x:v>3</x:v>
      </x:c>
      <x:c r="C379" s="9" t="d">
        <x:v>2011-11-16T00:00:00.000Z</x:v>
      </x:c>
      <x:c r="D379" s="9" t="d">
        <x:v>2011-11-26T00:00:00.000Z</x:v>
      </x:c>
      <x:c r="E379" s="1" t="str">
        <x:v>ridge</x:v>
      </x:c>
      <x:c r="F379" s="10" t="n">
        <x:v>0</x:v>
      </x:c>
      <x:c r="G379" s="10" t="n">
        <x:v>41.3883779432</x:v>
      </x:c>
      <x:c r="H379" s="10" t="n">
        <x:f>ABS(G379-F379)</x:f>
        <x:v>41.3883779432</x:v>
      </x:c>
      <x:c r="I379" s="10" t="n">
        <x:f>G379-F379</x:f>
        <x:v>41.3883779432</x:v>
      </x:c>
    </x:row>
    <x:row r="380" ht="20" customHeight="1">
      <x:c r="A380" s="1" t="str">
        <x:v>21212</x:v>
      </x:c>
      <x:c r="B380" s="10" t="n">
        <x:v>3</x:v>
      </x:c>
      <x:c r="C380" s="9" t="d">
        <x:v>2011-11-16T00:00:00.000Z</x:v>
      </x:c>
      <x:c r="D380" s="9" t="d">
        <x:v>2011-11-27T00:00:00.000Z</x:v>
      </x:c>
      <x:c r="E380" s="1" t="str">
        <x:v>ridge</x:v>
      </x:c>
      <x:c r="F380" s="10" t="n">
        <x:v>15</x:v>
      </x:c>
      <x:c r="G380" s="10" t="n">
        <x:v>35.4116608351</x:v>
      </x:c>
      <x:c r="H380" s="10" t="n">
        <x:f>ABS(G380-F380)</x:f>
        <x:v>20.4116608351</x:v>
      </x:c>
      <x:c r="I380" s="10" t="n">
        <x:f>G380-F380</x:f>
        <x:v>20.4116608351</x:v>
      </x:c>
    </x:row>
    <x:row r="381" ht="20" customHeight="1">
      <x:c r="A381" s="1" t="str">
        <x:v>21212</x:v>
      </x:c>
      <x:c r="B381" s="10" t="n">
        <x:v>3</x:v>
      </x:c>
      <x:c r="C381" s="9" t="d">
        <x:v>2011-11-16T00:00:00.000Z</x:v>
      </x:c>
      <x:c r="D381" s="9" t="d">
        <x:v>2011-11-28T00:00:00.000Z</x:v>
      </x:c>
      <x:c r="E381" s="1" t="str">
        <x:v>ridge</x:v>
      </x:c>
      <x:c r="F381" s="10" t="n">
        <x:v>60</x:v>
      </x:c>
      <x:c r="G381" s="10" t="n">
        <x:v>77.7069704075</x:v>
      </x:c>
      <x:c r="H381" s="10" t="n">
        <x:f>ABS(G381-F381)</x:f>
        <x:v>17.706970407499995</x:v>
      </x:c>
      <x:c r="I381" s="10" t="n">
        <x:f>G381-F381</x:f>
        <x:v>17.706970407499995</x:v>
      </x:c>
    </x:row>
    <x:row r="382" ht="20" customHeight="1">
      <x:c r="A382" s="1" t="str">
        <x:v>21212</x:v>
      </x:c>
      <x:c r="B382" s="10" t="n">
        <x:v>3</x:v>
      </x:c>
      <x:c r="C382" s="9" t="d">
        <x:v>2011-11-16T00:00:00.000Z</x:v>
      </x:c>
      <x:c r="D382" s="9" t="d">
        <x:v>2011-11-29T00:00:00.000Z</x:v>
      </x:c>
      <x:c r="E382" s="1" t="str">
        <x:v>ridge</x:v>
      </x:c>
      <x:c r="F382" s="10" t="n">
        <x:v>52</x:v>
      </x:c>
      <x:c r="G382" s="10" t="n">
        <x:v>138.7754664205</x:v>
      </x:c>
      <x:c r="H382" s="10" t="n">
        <x:f>ABS(G382-F382)</x:f>
        <x:v>86.77546642050001</x:v>
      </x:c>
      <x:c r="I382" s="10" t="n">
        <x:f>G382-F382</x:f>
        <x:v>86.77546642050001</x:v>
      </x:c>
    </x:row>
    <x:row r="383" ht="20" customHeight="1">
      <x:c r="A383" s="1" t="str">
        <x:v>21212</x:v>
      </x:c>
      <x:c r="B383" s="10" t="n">
        <x:v>3</x:v>
      </x:c>
      <x:c r="C383" s="9" t="d">
        <x:v>2011-11-16T00:00:00.000Z</x:v>
      </x:c>
      <x:c r="D383" s="9" t="d">
        <x:v>2011-11-30T00:00:00.000Z</x:v>
      </x:c>
      <x:c r="E383" s="1" t="str">
        <x:v>ridge</x:v>
      </x:c>
      <x:c r="F383" s="10" t="n">
        <x:v>241</x:v>
      </x:c>
      <x:c r="G383" s="10" t="n">
        <x:v>158.3624140898</x:v>
      </x:c>
      <x:c r="H383" s="10" t="n">
        <x:f>ABS(G383-F383)</x:f>
        <x:v>82.63758591019999</x:v>
      </x:c>
      <x:c r="I383" s="10" t="n">
        <x:f>G383-F383</x:f>
        <x:v>-82.63758591019999</x:v>
      </x:c>
    </x:row>
    <x:row r="384" ht="20" customHeight="1">
      <x:c r="A384" s="1" t="str">
        <x:v>21733</x:v>
      </x:c>
      <x:c r="B384" s="10" t="n">
        <x:v>1</x:v>
      </x:c>
      <x:c r="C384" s="9" t="d">
        <x:v>2011-10-19T00:00:00.000Z</x:v>
      </x:c>
      <x:c r="D384" s="9" t="d">
        <x:v>2011-10-20T00:00:00.000Z</x:v>
      </x:c>
      <x:c r="E384" s="1" t="str">
        <x:v>naive</x:v>
      </x:c>
      <x:c r="F384" s="10" t="n">
        <x:v>4</x:v>
      </x:c>
      <x:c r="G384" s="10" t="n">
        <x:v>10</x:v>
      </x:c>
      <x:c r="H384" s="10" t="n">
        <x:f>ABS(G384-F384)</x:f>
        <x:v>6</x:v>
      </x:c>
      <x:c r="I384" s="10" t="n">
        <x:f>G384-F384</x:f>
        <x:v>6</x:v>
      </x:c>
    </x:row>
    <x:row r="385" ht="20" customHeight="1">
      <x:c r="A385" s="1" t="str">
        <x:v>21733</x:v>
      </x:c>
      <x:c r="B385" s="10" t="n">
        <x:v>1</x:v>
      </x:c>
      <x:c r="C385" s="9" t="d">
        <x:v>2011-10-19T00:00:00.000Z</x:v>
      </x:c>
      <x:c r="D385" s="9" t="d">
        <x:v>2011-10-21T00:00:00.000Z</x:v>
      </x:c>
      <x:c r="E385" s="1" t="str">
        <x:v>naive</x:v>
      </x:c>
      <x:c r="F385" s="10" t="n">
        <x:v>1</x:v>
      </x:c>
      <x:c r="G385" s="10" t="n">
        <x:v>10</x:v>
      </x:c>
      <x:c r="H385" s="10" t="n">
        <x:f>ABS(G385-F385)</x:f>
        <x:v>9</x:v>
      </x:c>
      <x:c r="I385" s="10" t="n">
        <x:f>G385-F385</x:f>
        <x:v>9</x:v>
      </x:c>
    </x:row>
    <x:row r="386" ht="20" customHeight="1">
      <x:c r="A386" s="1" t="str">
        <x:v>21733</x:v>
      </x:c>
      <x:c r="B386" s="10" t="n">
        <x:v>1</x:v>
      </x:c>
      <x:c r="C386" s="9" t="d">
        <x:v>2011-10-19T00:00:00.000Z</x:v>
      </x:c>
      <x:c r="D386" s="9" t="d">
        <x:v>2011-10-22T00:00:00.000Z</x:v>
      </x:c>
      <x:c r="E386" s="1" t="str">
        <x:v>naive</x:v>
      </x:c>
      <x:c r="F386" s="10" t="n">
        <x:v>0</x:v>
      </x:c>
      <x:c r="G386" s="10" t="n">
        <x:v>10</x:v>
      </x:c>
      <x:c r="H386" s="10" t="n">
        <x:f>ABS(G386-F386)</x:f>
        <x:v>10</x:v>
      </x:c>
      <x:c r="I386" s="10" t="n">
        <x:f>G386-F386</x:f>
        <x:v>10</x:v>
      </x:c>
    </x:row>
    <x:row r="387" ht="20" customHeight="1">
      <x:c r="A387" s="1" t="str">
        <x:v>21733</x:v>
      </x:c>
      <x:c r="B387" s="10" t="n">
        <x:v>1</x:v>
      </x:c>
      <x:c r="C387" s="9" t="d">
        <x:v>2011-10-19T00:00:00.000Z</x:v>
      </x:c>
      <x:c r="D387" s="9" t="d">
        <x:v>2011-10-23T00:00:00.000Z</x:v>
      </x:c>
      <x:c r="E387" s="1" t="str">
        <x:v>naive</x:v>
      </x:c>
      <x:c r="F387" s="10" t="n">
        <x:v>2</x:v>
      </x:c>
      <x:c r="G387" s="10" t="n">
        <x:v>10</x:v>
      </x:c>
      <x:c r="H387" s="10" t="n">
        <x:f>ABS(G387-F387)</x:f>
        <x:v>8</x:v>
      </x:c>
      <x:c r="I387" s="10" t="n">
        <x:f>G387-F387</x:f>
        <x:v>8</x:v>
      </x:c>
    </x:row>
    <x:row r="388" ht="20" customHeight="1">
      <x:c r="A388" s="1" t="str">
        <x:v>21733</x:v>
      </x:c>
      <x:c r="B388" s="10" t="n">
        <x:v>1</x:v>
      </x:c>
      <x:c r="C388" s="9" t="d">
        <x:v>2011-10-19T00:00:00.000Z</x:v>
      </x:c>
      <x:c r="D388" s="9" t="d">
        <x:v>2011-10-24T00:00:00.000Z</x:v>
      </x:c>
      <x:c r="E388" s="1" t="str">
        <x:v>naive</x:v>
      </x:c>
      <x:c r="F388" s="10" t="n">
        <x:v>71</x:v>
      </x:c>
      <x:c r="G388" s="10" t="n">
        <x:v>10</x:v>
      </x:c>
      <x:c r="H388" s="10" t="n">
        <x:f>ABS(G388-F388)</x:f>
        <x:v>61</x:v>
      </x:c>
      <x:c r="I388" s="10" t="n">
        <x:f>G388-F388</x:f>
        <x:v>-61</x:v>
      </x:c>
    </x:row>
    <x:row r="389" ht="20" customHeight="1">
      <x:c r="A389" s="1" t="str">
        <x:v>21733</x:v>
      </x:c>
      <x:c r="B389" s="10" t="n">
        <x:v>1</x:v>
      </x:c>
      <x:c r="C389" s="9" t="d">
        <x:v>2011-10-19T00:00:00.000Z</x:v>
      </x:c>
      <x:c r="D389" s="9" t="d">
        <x:v>2011-10-25T00:00:00.000Z</x:v>
      </x:c>
      <x:c r="E389" s="1" t="str">
        <x:v>naive</x:v>
      </x:c>
      <x:c r="F389" s="10" t="n">
        <x:v>17</x:v>
      </x:c>
      <x:c r="G389" s="10" t="n">
        <x:v>10</x:v>
      </x:c>
      <x:c r="H389" s="10" t="n">
        <x:f>ABS(G389-F389)</x:f>
        <x:v>7</x:v>
      </x:c>
      <x:c r="I389" s="10" t="n">
        <x:f>G389-F389</x:f>
        <x:v>-7</x:v>
      </x:c>
    </x:row>
    <x:row r="390" ht="20" customHeight="1">
      <x:c r="A390" s="1" t="str">
        <x:v>21733</x:v>
      </x:c>
      <x:c r="B390" s="10" t="n">
        <x:v>1</x:v>
      </x:c>
      <x:c r="C390" s="9" t="d">
        <x:v>2011-10-19T00:00:00.000Z</x:v>
      </x:c>
      <x:c r="D390" s="9" t="d">
        <x:v>2011-10-26T00:00:00.000Z</x:v>
      </x:c>
      <x:c r="E390" s="1" t="str">
        <x:v>naive</x:v>
      </x:c>
      <x:c r="F390" s="10" t="n">
        <x:v>5</x:v>
      </x:c>
      <x:c r="G390" s="10" t="n">
        <x:v>10</x:v>
      </x:c>
      <x:c r="H390" s="10" t="n">
        <x:f>ABS(G390-F390)</x:f>
        <x:v>5</x:v>
      </x:c>
      <x:c r="I390" s="10" t="n">
        <x:f>G390-F390</x:f>
        <x:v>5</x:v>
      </x:c>
    </x:row>
    <x:row r="391" ht="20" customHeight="1">
      <x:c r="A391" s="1" t="str">
        <x:v>21733</x:v>
      </x:c>
      <x:c r="B391" s="10" t="n">
        <x:v>1</x:v>
      </x:c>
      <x:c r="C391" s="9" t="d">
        <x:v>2011-10-19T00:00:00.000Z</x:v>
      </x:c>
      <x:c r="D391" s="9" t="d">
        <x:v>2011-10-27T00:00:00.000Z</x:v>
      </x:c>
      <x:c r="E391" s="1" t="str">
        <x:v>naive</x:v>
      </x:c>
      <x:c r="F391" s="10" t="n">
        <x:v>33</x:v>
      </x:c>
      <x:c r="G391" s="10" t="n">
        <x:v>10</x:v>
      </x:c>
      <x:c r="H391" s="10" t="n">
        <x:f>ABS(G391-F391)</x:f>
        <x:v>23</x:v>
      </x:c>
      <x:c r="I391" s="10" t="n">
        <x:f>G391-F391</x:f>
        <x:v>-23</x:v>
      </x:c>
    </x:row>
    <x:row r="392" ht="20" customHeight="1">
      <x:c r="A392" s="1" t="str">
        <x:v>21733</x:v>
      </x:c>
      <x:c r="B392" s="10" t="n">
        <x:v>1</x:v>
      </x:c>
      <x:c r="C392" s="9" t="d">
        <x:v>2011-10-19T00:00:00.000Z</x:v>
      </x:c>
      <x:c r="D392" s="9" t="d">
        <x:v>2011-10-28T00:00:00.000Z</x:v>
      </x:c>
      <x:c r="E392" s="1" t="str">
        <x:v>naive</x:v>
      </x:c>
      <x:c r="F392" s="10" t="n">
        <x:v>13</x:v>
      </x:c>
      <x:c r="G392" s="10" t="n">
        <x:v>10</x:v>
      </x:c>
      <x:c r="H392" s="10" t="n">
        <x:f>ABS(G392-F392)</x:f>
        <x:v>3</x:v>
      </x:c>
      <x:c r="I392" s="10" t="n">
        <x:f>G392-F392</x:f>
        <x:v>-3</x:v>
      </x:c>
    </x:row>
    <x:row r="393" ht="20" customHeight="1">
      <x:c r="A393" s="1" t="str">
        <x:v>21733</x:v>
      </x:c>
      <x:c r="B393" s="10" t="n">
        <x:v>1</x:v>
      </x:c>
      <x:c r="C393" s="9" t="d">
        <x:v>2011-10-19T00:00:00.000Z</x:v>
      </x:c>
      <x:c r="D393" s="9" t="d">
        <x:v>2011-10-29T00:00:00.000Z</x:v>
      </x:c>
      <x:c r="E393" s="1" t="str">
        <x:v>naive</x:v>
      </x:c>
      <x:c r="F393" s="10" t="n">
        <x:v>0</x:v>
      </x:c>
      <x:c r="G393" s="10" t="n">
        <x:v>10</x:v>
      </x:c>
      <x:c r="H393" s="10" t="n">
        <x:f>ABS(G393-F393)</x:f>
        <x:v>10</x:v>
      </x:c>
      <x:c r="I393" s="10" t="n">
        <x:f>G393-F393</x:f>
        <x:v>10</x:v>
      </x:c>
    </x:row>
    <x:row r="394" ht="20" customHeight="1">
      <x:c r="A394" s="1" t="str">
        <x:v>21733</x:v>
      </x:c>
      <x:c r="B394" s="10" t="n">
        <x:v>1</x:v>
      </x:c>
      <x:c r="C394" s="9" t="d">
        <x:v>2011-10-19T00:00:00.000Z</x:v>
      </x:c>
      <x:c r="D394" s="9" t="d">
        <x:v>2011-10-30T00:00:00.000Z</x:v>
      </x:c>
      <x:c r="E394" s="1" t="str">
        <x:v>naive</x:v>
      </x:c>
      <x:c r="F394" s="10" t="n">
        <x:v>5</x:v>
      </x:c>
      <x:c r="G394" s="10" t="n">
        <x:v>10</x:v>
      </x:c>
      <x:c r="H394" s="10" t="n">
        <x:f>ABS(G394-F394)</x:f>
        <x:v>5</x:v>
      </x:c>
      <x:c r="I394" s="10" t="n">
        <x:f>G394-F394</x:f>
        <x:v>5</x:v>
      </x:c>
    </x:row>
    <x:row r="395" ht="20" customHeight="1">
      <x:c r="A395" s="1" t="str">
        <x:v>21733</x:v>
      </x:c>
      <x:c r="B395" s="10" t="n">
        <x:v>1</x:v>
      </x:c>
      <x:c r="C395" s="9" t="d">
        <x:v>2011-10-19T00:00:00.000Z</x:v>
      </x:c>
      <x:c r="D395" s="9" t="d">
        <x:v>2011-10-31T00:00:00.000Z</x:v>
      </x:c>
      <x:c r="E395" s="1" t="str">
        <x:v>naive</x:v>
      </x:c>
      <x:c r="F395" s="10" t="n">
        <x:v>4</x:v>
      </x:c>
      <x:c r="G395" s="10" t="n">
        <x:v>10</x:v>
      </x:c>
      <x:c r="H395" s="10" t="n">
        <x:f>ABS(G395-F395)</x:f>
        <x:v>6</x:v>
      </x:c>
      <x:c r="I395" s="10" t="n">
        <x:f>G395-F395</x:f>
        <x:v>6</x:v>
      </x:c>
    </x:row>
    <x:row r="396" ht="20" customHeight="1">
      <x:c r="A396" s="1" t="str">
        <x:v>21733</x:v>
      </x:c>
      <x:c r="B396" s="10" t="n">
        <x:v>1</x:v>
      </x:c>
      <x:c r="C396" s="9" t="d">
        <x:v>2011-10-19T00:00:00.000Z</x:v>
      </x:c>
      <x:c r="D396" s="9" t="d">
        <x:v>2011-11-01T00:00:00.000Z</x:v>
      </x:c>
      <x:c r="E396" s="1" t="str">
        <x:v>naive</x:v>
      </x:c>
      <x:c r="F396" s="10" t="n">
        <x:v>11</x:v>
      </x:c>
      <x:c r="G396" s="10" t="n">
        <x:v>10</x:v>
      </x:c>
      <x:c r="H396" s="10" t="n">
        <x:f>ABS(G396-F396)</x:f>
        <x:v>1</x:v>
      </x:c>
      <x:c r="I396" s="10" t="n">
        <x:f>G396-F396</x:f>
        <x:v>-1</x:v>
      </x:c>
    </x:row>
    <x:row r="397" ht="20" customHeight="1">
      <x:c r="A397" s="1" t="str">
        <x:v>21733</x:v>
      </x:c>
      <x:c r="B397" s="10" t="n">
        <x:v>1</x:v>
      </x:c>
      <x:c r="C397" s="9" t="d">
        <x:v>2011-10-19T00:00:00.000Z</x:v>
      </x:c>
      <x:c r="D397" s="9" t="d">
        <x:v>2011-11-02T00:00:00.000Z</x:v>
      </x:c>
      <x:c r="E397" s="1" t="str">
        <x:v>naive</x:v>
      </x:c>
      <x:c r="F397" s="10" t="n">
        <x:v>4</x:v>
      </x:c>
      <x:c r="G397" s="10" t="n">
        <x:v>10</x:v>
      </x:c>
      <x:c r="H397" s="10" t="n">
        <x:f>ABS(G397-F397)</x:f>
        <x:v>6</x:v>
      </x:c>
      <x:c r="I397" s="10" t="n">
        <x:f>G397-F397</x:f>
        <x:v>6</x:v>
      </x:c>
    </x:row>
    <x:row r="398" ht="20" customHeight="1">
      <x:c r="A398" s="1" t="str">
        <x:v>21733</x:v>
      </x:c>
      <x:c r="B398" s="10" t="n">
        <x:v>1</x:v>
      </x:c>
      <x:c r="C398" s="9" t="d">
        <x:v>2011-10-19T00:00:00.000Z</x:v>
      </x:c>
      <x:c r="D398" s="9" t="d">
        <x:v>2011-10-20T00:00:00.000Z</x:v>
      </x:c>
      <x:c r="E398" s="1" t="str">
        <x:v>seasonal_naive</x:v>
      </x:c>
      <x:c r="F398" s="10" t="n">
        <x:v>4</x:v>
      </x:c>
      <x:c r="G398" s="10" t="n">
        <x:v>10</x:v>
      </x:c>
      <x:c r="H398" s="10" t="n">
        <x:f>ABS(G398-F398)</x:f>
        <x:v>6</x:v>
      </x:c>
      <x:c r="I398" s="10" t="n">
        <x:f>G398-F398</x:f>
        <x:v>6</x:v>
      </x:c>
    </x:row>
    <x:row r="399" ht="20" customHeight="1">
      <x:c r="A399" s="1" t="str">
        <x:v>21733</x:v>
      </x:c>
      <x:c r="B399" s="10" t="n">
        <x:v>1</x:v>
      </x:c>
      <x:c r="C399" s="9" t="d">
        <x:v>2011-10-19T00:00:00.000Z</x:v>
      </x:c>
      <x:c r="D399" s="9" t="d">
        <x:v>2011-10-21T00:00:00.000Z</x:v>
      </x:c>
      <x:c r="E399" s="1" t="str">
        <x:v>seasonal_naive</x:v>
      </x:c>
      <x:c r="F399" s="10" t="n">
        <x:v>1</x:v>
      </x:c>
      <x:c r="G399" s="10" t="n">
        <x:v>19</x:v>
      </x:c>
      <x:c r="H399" s="10" t="n">
        <x:f>ABS(G399-F399)</x:f>
        <x:v>18</x:v>
      </x:c>
      <x:c r="I399" s="10" t="n">
        <x:f>G399-F399</x:f>
        <x:v>18</x:v>
      </x:c>
    </x:row>
    <x:row r="400" ht="20" customHeight="1">
      <x:c r="A400" s="1" t="str">
        <x:v>21733</x:v>
      </x:c>
      <x:c r="B400" s="10" t="n">
        <x:v>1</x:v>
      </x:c>
      <x:c r="C400" s="9" t="d">
        <x:v>2011-10-19T00:00:00.000Z</x:v>
      </x:c>
      <x:c r="D400" s="9" t="d">
        <x:v>2011-10-22T00:00:00.000Z</x:v>
      </x:c>
      <x:c r="E400" s="1" t="str">
        <x:v>seasonal_naive</x:v>
      </x:c>
      <x:c r="F400" s="10" t="n">
        <x:v>0</x:v>
      </x:c>
      <x:c r="G400" s="10" t="n">
        <x:v>0</x:v>
      </x:c>
      <x:c r="H400" s="10" t="n">
        <x:f>ABS(G400-F400)</x:f>
        <x:v>0</x:v>
      </x:c>
      <x:c r="I400" s="10" t="n">
        <x:f>G400-F400</x:f>
        <x:v>0</x:v>
      </x:c>
    </x:row>
    <x:row r="401" ht="20" customHeight="1">
      <x:c r="A401" s="1" t="str">
        <x:v>21733</x:v>
      </x:c>
      <x:c r="B401" s="10" t="n">
        <x:v>1</x:v>
      </x:c>
      <x:c r="C401" s="9" t="d">
        <x:v>2011-10-19T00:00:00.000Z</x:v>
      </x:c>
      <x:c r="D401" s="9" t="d">
        <x:v>2011-10-23T00:00:00.000Z</x:v>
      </x:c>
      <x:c r="E401" s="1" t="str">
        <x:v>seasonal_naive</x:v>
      </x:c>
      <x:c r="F401" s="10" t="n">
        <x:v>2</x:v>
      </x:c>
      <x:c r="G401" s="10" t="n">
        <x:v>53</x:v>
      </x:c>
      <x:c r="H401" s="10" t="n">
        <x:f>ABS(G401-F401)</x:f>
        <x:v>51</x:v>
      </x:c>
      <x:c r="I401" s="10" t="n">
        <x:f>G401-F401</x:f>
        <x:v>51</x:v>
      </x:c>
    </x:row>
    <x:row r="402" ht="20" customHeight="1">
      <x:c r="A402" s="1" t="str">
        <x:v>21733</x:v>
      </x:c>
      <x:c r="B402" s="10" t="n">
        <x:v>1</x:v>
      </x:c>
      <x:c r="C402" s="9" t="d">
        <x:v>2011-10-19T00:00:00.000Z</x:v>
      </x:c>
      <x:c r="D402" s="9" t="d">
        <x:v>2011-10-24T00:00:00.000Z</x:v>
      </x:c>
      <x:c r="E402" s="1" t="str">
        <x:v>seasonal_naive</x:v>
      </x:c>
      <x:c r="F402" s="10" t="n">
        <x:v>71</x:v>
      </x:c>
      <x:c r="G402" s="10" t="n">
        <x:v>70</x:v>
      </x:c>
      <x:c r="H402" s="10" t="n">
        <x:f>ABS(G402-F402)</x:f>
        <x:v>1</x:v>
      </x:c>
      <x:c r="I402" s="10" t="n">
        <x:f>G402-F402</x:f>
        <x:v>-1</x:v>
      </x:c>
    </x:row>
    <x:row r="403" ht="20" customHeight="1">
      <x:c r="A403" s="1" t="str">
        <x:v>21733</x:v>
      </x:c>
      <x:c r="B403" s="10" t="n">
        <x:v>1</x:v>
      </x:c>
      <x:c r="C403" s="9" t="d">
        <x:v>2011-10-19T00:00:00.000Z</x:v>
      </x:c>
      <x:c r="D403" s="9" t="d">
        <x:v>2011-10-25T00:00:00.000Z</x:v>
      </x:c>
      <x:c r="E403" s="1" t="str">
        <x:v>seasonal_naive</x:v>
      </x:c>
      <x:c r="F403" s="10" t="n">
        <x:v>17</x:v>
      </x:c>
      <x:c r="G403" s="10" t="n">
        <x:v>2</x:v>
      </x:c>
      <x:c r="H403" s="10" t="n">
        <x:f>ABS(G403-F403)</x:f>
        <x:v>15</x:v>
      </x:c>
      <x:c r="I403" s="10" t="n">
        <x:f>G403-F403</x:f>
        <x:v>-15</x:v>
      </x:c>
    </x:row>
    <x:row r="404" ht="20" customHeight="1">
      <x:c r="A404" s="1" t="str">
        <x:v>21733</x:v>
      </x:c>
      <x:c r="B404" s="10" t="n">
        <x:v>1</x:v>
      </x:c>
      <x:c r="C404" s="9" t="d">
        <x:v>2011-10-19T00:00:00.000Z</x:v>
      </x:c>
      <x:c r="D404" s="9" t="d">
        <x:v>2011-10-26T00:00:00.000Z</x:v>
      </x:c>
      <x:c r="E404" s="1" t="str">
        <x:v>seasonal_naive</x:v>
      </x:c>
      <x:c r="F404" s="10" t="n">
        <x:v>5</x:v>
      </x:c>
      <x:c r="G404" s="10" t="n">
        <x:v>10</x:v>
      </x:c>
      <x:c r="H404" s="10" t="n">
        <x:f>ABS(G404-F404)</x:f>
        <x:v>5</x:v>
      </x:c>
      <x:c r="I404" s="10" t="n">
        <x:f>G404-F404</x:f>
        <x:v>5</x:v>
      </x:c>
    </x:row>
    <x:row r="405" ht="20" customHeight="1">
      <x:c r="A405" s="1" t="str">
        <x:v>21733</x:v>
      </x:c>
      <x:c r="B405" s="10" t="n">
        <x:v>1</x:v>
      </x:c>
      <x:c r="C405" s="9" t="d">
        <x:v>2011-10-19T00:00:00.000Z</x:v>
      </x:c>
      <x:c r="D405" s="9" t="d">
        <x:v>2011-10-27T00:00:00.000Z</x:v>
      </x:c>
      <x:c r="E405" s="1" t="str">
        <x:v>seasonal_naive</x:v>
      </x:c>
      <x:c r="F405" s="10" t="n">
        <x:v>33</x:v>
      </x:c>
      <x:c r="G405" s="10" t="n">
        <x:v>10</x:v>
      </x:c>
      <x:c r="H405" s="10" t="n">
        <x:f>ABS(G405-F405)</x:f>
        <x:v>23</x:v>
      </x:c>
      <x:c r="I405" s="10" t="n">
        <x:f>G405-F405</x:f>
        <x:v>-23</x:v>
      </x:c>
    </x:row>
    <x:row r="406" ht="20" customHeight="1">
      <x:c r="A406" s="1" t="str">
        <x:v>21733</x:v>
      </x:c>
      <x:c r="B406" s="10" t="n">
        <x:v>1</x:v>
      </x:c>
      <x:c r="C406" s="9" t="d">
        <x:v>2011-10-19T00:00:00.000Z</x:v>
      </x:c>
      <x:c r="D406" s="9" t="d">
        <x:v>2011-10-28T00:00:00.000Z</x:v>
      </x:c>
      <x:c r="E406" s="1" t="str">
        <x:v>seasonal_naive</x:v>
      </x:c>
      <x:c r="F406" s="10" t="n">
        <x:v>13</x:v>
      </x:c>
      <x:c r="G406" s="10" t="n">
        <x:v>19</x:v>
      </x:c>
      <x:c r="H406" s="10" t="n">
        <x:f>ABS(G406-F406)</x:f>
        <x:v>6</x:v>
      </x:c>
      <x:c r="I406" s="10" t="n">
        <x:f>G406-F406</x:f>
        <x:v>6</x:v>
      </x:c>
    </x:row>
    <x:row r="407" ht="20" customHeight="1">
      <x:c r="A407" s="1" t="str">
        <x:v>21733</x:v>
      </x:c>
      <x:c r="B407" s="10" t="n">
        <x:v>1</x:v>
      </x:c>
      <x:c r="C407" s="9" t="d">
        <x:v>2011-10-19T00:00:00.000Z</x:v>
      </x:c>
      <x:c r="D407" s="9" t="d">
        <x:v>2011-10-29T00:00:00.000Z</x:v>
      </x:c>
      <x:c r="E407" s="1" t="str">
        <x:v>seasonal_naive</x:v>
      </x:c>
      <x:c r="F407" s="10" t="n">
        <x:v>0</x:v>
      </x:c>
      <x:c r="G407" s="10" t="n">
        <x:v>0</x:v>
      </x:c>
      <x:c r="H407" s="10" t="n">
        <x:f>ABS(G407-F407)</x:f>
        <x:v>0</x:v>
      </x:c>
      <x:c r="I407" s="10" t="n">
        <x:f>G407-F407</x:f>
        <x:v>0</x:v>
      </x:c>
    </x:row>
    <x:row r="408" ht="20" customHeight="1">
      <x:c r="A408" s="1" t="str">
        <x:v>21733</x:v>
      </x:c>
      <x:c r="B408" s="10" t="n">
        <x:v>1</x:v>
      </x:c>
      <x:c r="C408" s="9" t="d">
        <x:v>2011-10-19T00:00:00.000Z</x:v>
      </x:c>
      <x:c r="D408" s="9" t="d">
        <x:v>2011-10-30T00:00:00.000Z</x:v>
      </x:c>
      <x:c r="E408" s="1" t="str">
        <x:v>seasonal_naive</x:v>
      </x:c>
      <x:c r="F408" s="10" t="n">
        <x:v>5</x:v>
      </x:c>
      <x:c r="G408" s="10" t="n">
        <x:v>53</x:v>
      </x:c>
      <x:c r="H408" s="10" t="n">
        <x:f>ABS(G408-F408)</x:f>
        <x:v>48</x:v>
      </x:c>
      <x:c r="I408" s="10" t="n">
        <x:f>G408-F408</x:f>
        <x:v>48</x:v>
      </x:c>
    </x:row>
    <x:row r="409" ht="20" customHeight="1">
      <x:c r="A409" s="1" t="str">
        <x:v>21733</x:v>
      </x:c>
      <x:c r="B409" s="10" t="n">
        <x:v>1</x:v>
      </x:c>
      <x:c r="C409" s="9" t="d">
        <x:v>2011-10-19T00:00:00.000Z</x:v>
      </x:c>
      <x:c r="D409" s="9" t="d">
        <x:v>2011-10-31T00:00:00.000Z</x:v>
      </x:c>
      <x:c r="E409" s="1" t="str">
        <x:v>seasonal_naive</x:v>
      </x:c>
      <x:c r="F409" s="10" t="n">
        <x:v>4</x:v>
      </x:c>
      <x:c r="G409" s="10" t="n">
        <x:v>70</x:v>
      </x:c>
      <x:c r="H409" s="10" t="n">
        <x:f>ABS(G409-F409)</x:f>
        <x:v>66</x:v>
      </x:c>
      <x:c r="I409" s="10" t="n">
        <x:f>G409-F409</x:f>
        <x:v>66</x:v>
      </x:c>
    </x:row>
    <x:row r="410" ht="20" customHeight="1">
      <x:c r="A410" s="1" t="str">
        <x:v>21733</x:v>
      </x:c>
      <x:c r="B410" s="10" t="n">
        <x:v>1</x:v>
      </x:c>
      <x:c r="C410" s="9" t="d">
        <x:v>2011-10-19T00:00:00.000Z</x:v>
      </x:c>
      <x:c r="D410" s="9" t="d">
        <x:v>2011-11-01T00:00:00.000Z</x:v>
      </x:c>
      <x:c r="E410" s="1" t="str">
        <x:v>seasonal_naive</x:v>
      </x:c>
      <x:c r="F410" s="10" t="n">
        <x:v>11</x:v>
      </x:c>
      <x:c r="G410" s="10" t="n">
        <x:v>2</x:v>
      </x:c>
      <x:c r="H410" s="10" t="n">
        <x:f>ABS(G410-F410)</x:f>
        <x:v>9</x:v>
      </x:c>
      <x:c r="I410" s="10" t="n">
        <x:f>G410-F410</x:f>
        <x:v>-9</x:v>
      </x:c>
    </x:row>
    <x:row r="411" ht="20" customHeight="1">
      <x:c r="A411" s="1" t="str">
        <x:v>21733</x:v>
      </x:c>
      <x:c r="B411" s="10" t="n">
        <x:v>1</x:v>
      </x:c>
      <x:c r="C411" s="9" t="d">
        <x:v>2011-10-19T00:00:00.000Z</x:v>
      </x:c>
      <x:c r="D411" s="9" t="d">
        <x:v>2011-11-02T00:00:00.000Z</x:v>
      </x:c>
      <x:c r="E411" s="1" t="str">
        <x:v>seasonal_naive</x:v>
      </x:c>
      <x:c r="F411" s="10" t="n">
        <x:v>4</x:v>
      </x:c>
      <x:c r="G411" s="10" t="n">
        <x:v>10</x:v>
      </x:c>
      <x:c r="H411" s="10" t="n">
        <x:f>ABS(G411-F411)</x:f>
        <x:v>6</x:v>
      </x:c>
      <x:c r="I411" s="10" t="n">
        <x:f>G411-F411</x:f>
        <x:v>6</x:v>
      </x:c>
    </x:row>
    <x:row r="412" ht="20" customHeight="1">
      <x:c r="A412" s="1" t="str">
        <x:v>21733</x:v>
      </x:c>
      <x:c r="B412" s="10" t="n">
        <x:v>1</x:v>
      </x:c>
      <x:c r="C412" s="9" t="d">
        <x:v>2011-10-19T00:00:00.000Z</x:v>
      </x:c>
      <x:c r="D412" s="9" t="d">
        <x:v>2011-10-20T00:00:00.000Z</x:v>
      </x:c>
      <x:c r="E412" s="1" t="str">
        <x:v>ridge</x:v>
      </x:c>
      <x:c r="F412" s="10" t="n">
        <x:v>4</x:v>
      </x:c>
      <x:c r="G412" s="10" t="n">
        <x:v>22.4586752082</x:v>
      </x:c>
      <x:c r="H412" s="10" t="n">
        <x:f>ABS(G412-F412)</x:f>
        <x:v>18.4586752082</x:v>
      </x:c>
      <x:c r="I412" s="10" t="n">
        <x:f>G412-F412</x:f>
        <x:v>18.4586752082</x:v>
      </x:c>
    </x:row>
    <x:row r="413" ht="20" customHeight="1">
      <x:c r="A413" s="1" t="str">
        <x:v>21733</x:v>
      </x:c>
      <x:c r="B413" s="10" t="n">
        <x:v>1</x:v>
      </x:c>
      <x:c r="C413" s="9" t="d">
        <x:v>2011-10-19T00:00:00.000Z</x:v>
      </x:c>
      <x:c r="D413" s="9" t="d">
        <x:v>2011-10-21T00:00:00.000Z</x:v>
      </x:c>
      <x:c r="E413" s="1" t="str">
        <x:v>ridge</x:v>
      </x:c>
      <x:c r="F413" s="10" t="n">
        <x:v>1</x:v>
      </x:c>
      <x:c r="G413" s="10" t="n">
        <x:v>9.1353681402</x:v>
      </x:c>
      <x:c r="H413" s="10" t="n">
        <x:f>ABS(G413-F413)</x:f>
        <x:v>8.1353681402</x:v>
      </x:c>
      <x:c r="I413" s="10" t="n">
        <x:f>G413-F413</x:f>
        <x:v>8.1353681402</x:v>
      </x:c>
    </x:row>
    <x:row r="414" ht="20" customHeight="1">
      <x:c r="A414" s="1" t="str">
        <x:v>21733</x:v>
      </x:c>
      <x:c r="B414" s="10" t="n">
        <x:v>1</x:v>
      </x:c>
      <x:c r="C414" s="9" t="d">
        <x:v>2011-10-19T00:00:00.000Z</x:v>
      </x:c>
      <x:c r="D414" s="9" t="d">
        <x:v>2011-10-22T00:00:00.000Z</x:v>
      </x:c>
      <x:c r="E414" s="1" t="str">
        <x:v>ridge</x:v>
      </x:c>
      <x:c r="F414" s="10" t="n">
        <x:v>0</x:v>
      </x:c>
      <x:c r="G414" s="10" t="n">
        <x:v>4.6472756116</x:v>
      </x:c>
      <x:c r="H414" s="10" t="n">
        <x:f>ABS(G414-F414)</x:f>
        <x:v>4.6472756116</x:v>
      </x:c>
      <x:c r="I414" s="10" t="n">
        <x:f>G414-F414</x:f>
        <x:v>4.6472756116</x:v>
      </x:c>
    </x:row>
    <x:row r="415" ht="20" customHeight="1">
      <x:c r="A415" s="1" t="str">
        <x:v>21733</x:v>
      </x:c>
      <x:c r="B415" s="10" t="n">
        <x:v>1</x:v>
      </x:c>
      <x:c r="C415" s="9" t="d">
        <x:v>2011-10-19T00:00:00.000Z</x:v>
      </x:c>
      <x:c r="D415" s="9" t="d">
        <x:v>2011-10-23T00:00:00.000Z</x:v>
      </x:c>
      <x:c r="E415" s="1" t="str">
        <x:v>ridge</x:v>
      </x:c>
      <x:c r="F415" s="10" t="n">
        <x:v>2</x:v>
      </x:c>
      <x:c r="G415" s="10" t="n">
        <x:v>7.6947775093</x:v>
      </x:c>
      <x:c r="H415" s="10" t="n">
        <x:f>ABS(G415-F415)</x:f>
        <x:v>5.6947775093</x:v>
      </x:c>
      <x:c r="I415" s="10" t="n">
        <x:f>G415-F415</x:f>
        <x:v>5.6947775093</x:v>
      </x:c>
    </x:row>
    <x:row r="416" ht="20" customHeight="1">
      <x:c r="A416" s="1" t="str">
        <x:v>21733</x:v>
      </x:c>
      <x:c r="B416" s="10" t="n">
        <x:v>1</x:v>
      </x:c>
      <x:c r="C416" s="9" t="d">
        <x:v>2011-10-19T00:00:00.000Z</x:v>
      </x:c>
      <x:c r="D416" s="9" t="d">
        <x:v>2011-10-24T00:00:00.000Z</x:v>
      </x:c>
      <x:c r="E416" s="1" t="str">
        <x:v>ridge</x:v>
      </x:c>
      <x:c r="F416" s="10" t="n">
        <x:v>71</x:v>
      </x:c>
      <x:c r="G416" s="10" t="n">
        <x:v>18.441872308</x:v>
      </x:c>
      <x:c r="H416" s="10" t="n">
        <x:f>ABS(G416-F416)</x:f>
        <x:v>52.558127692</x:v>
      </x:c>
      <x:c r="I416" s="10" t="n">
        <x:f>G416-F416</x:f>
        <x:v>-52.558127692</x:v>
      </x:c>
    </x:row>
    <x:row r="417" ht="20" customHeight="1">
      <x:c r="A417" s="1" t="str">
        <x:v>21733</x:v>
      </x:c>
      <x:c r="B417" s="10" t="n">
        <x:v>1</x:v>
      </x:c>
      <x:c r="C417" s="9" t="d">
        <x:v>2011-10-19T00:00:00.000Z</x:v>
      </x:c>
      <x:c r="D417" s="9" t="d">
        <x:v>2011-10-25T00:00:00.000Z</x:v>
      </x:c>
      <x:c r="E417" s="1" t="str">
        <x:v>ridge</x:v>
      </x:c>
      <x:c r="F417" s="10" t="n">
        <x:v>17</x:v>
      </x:c>
      <x:c r="G417" s="10" t="n">
        <x:v>29.7006753551</x:v>
      </x:c>
      <x:c r="H417" s="10" t="n">
        <x:f>ABS(G417-F417)</x:f>
        <x:v>12.7006753551</x:v>
      </x:c>
      <x:c r="I417" s="10" t="n">
        <x:f>G417-F417</x:f>
        <x:v>12.7006753551</x:v>
      </x:c>
    </x:row>
    <x:row r="418" ht="20" customHeight="1">
      <x:c r="A418" s="1" t="str">
        <x:v>21733</x:v>
      </x:c>
      <x:c r="B418" s="10" t="n">
        <x:v>1</x:v>
      </x:c>
      <x:c r="C418" s="9" t="d">
        <x:v>2011-10-19T00:00:00.000Z</x:v>
      </x:c>
      <x:c r="D418" s="9" t="d">
        <x:v>2011-10-26T00:00:00.000Z</x:v>
      </x:c>
      <x:c r="E418" s="1" t="str">
        <x:v>ridge</x:v>
      </x:c>
      <x:c r="F418" s="10" t="n">
        <x:v>5</x:v>
      </x:c>
      <x:c r="G418" s="10" t="n">
        <x:v>30.5031265106</x:v>
      </x:c>
      <x:c r="H418" s="10" t="n">
        <x:f>ABS(G418-F418)</x:f>
        <x:v>25.5031265106</x:v>
      </x:c>
      <x:c r="I418" s="10" t="n">
        <x:f>G418-F418</x:f>
        <x:v>25.5031265106</x:v>
      </x:c>
    </x:row>
    <x:row r="419" ht="20" customHeight="1">
      <x:c r="A419" s="1" t="str">
        <x:v>21733</x:v>
      </x:c>
      <x:c r="B419" s="10" t="n">
        <x:v>1</x:v>
      </x:c>
      <x:c r="C419" s="9" t="d">
        <x:v>2011-10-19T00:00:00.000Z</x:v>
      </x:c>
      <x:c r="D419" s="9" t="d">
        <x:v>2011-10-27T00:00:00.000Z</x:v>
      </x:c>
      <x:c r="E419" s="1" t="str">
        <x:v>ridge</x:v>
      </x:c>
      <x:c r="F419" s="10" t="n">
        <x:v>33</x:v>
      </x:c>
      <x:c r="G419" s="10" t="n">
        <x:v>20.6814980471</x:v>
      </x:c>
      <x:c r="H419" s="10" t="n">
        <x:f>ABS(G419-F419)</x:f>
        <x:v>12.3185019529</x:v>
      </x:c>
      <x:c r="I419" s="10" t="n">
        <x:f>G419-F419</x:f>
        <x:v>-12.3185019529</x:v>
      </x:c>
    </x:row>
    <x:row r="420" ht="20" customHeight="1">
      <x:c r="A420" s="1" t="str">
        <x:v>21733</x:v>
      </x:c>
      <x:c r="B420" s="10" t="n">
        <x:v>1</x:v>
      </x:c>
      <x:c r="C420" s="9" t="d">
        <x:v>2011-10-19T00:00:00.000Z</x:v>
      </x:c>
      <x:c r="D420" s="9" t="d">
        <x:v>2011-10-28T00:00:00.000Z</x:v>
      </x:c>
      <x:c r="E420" s="1" t="str">
        <x:v>ridge</x:v>
      </x:c>
      <x:c r="F420" s="10" t="n">
        <x:v>13</x:v>
      </x:c>
      <x:c r="G420" s="10" t="n">
        <x:v>8.8461877835</x:v>
      </x:c>
      <x:c r="H420" s="10" t="n">
        <x:f>ABS(G420-F420)</x:f>
        <x:v>4.1538122165</x:v>
      </x:c>
      <x:c r="I420" s="10" t="n">
        <x:f>G420-F420</x:f>
        <x:v>-4.1538122165</x:v>
      </x:c>
    </x:row>
    <x:row r="421" ht="20" customHeight="1">
      <x:c r="A421" s="1" t="str">
        <x:v>21733</x:v>
      </x:c>
      <x:c r="B421" s="10" t="n">
        <x:v>1</x:v>
      </x:c>
      <x:c r="C421" s="9" t="d">
        <x:v>2011-10-19T00:00:00.000Z</x:v>
      </x:c>
      <x:c r="D421" s="9" t="d">
        <x:v>2011-10-29T00:00:00.000Z</x:v>
      </x:c>
      <x:c r="E421" s="1" t="str">
        <x:v>ridge</x:v>
      </x:c>
      <x:c r="F421" s="10" t="n">
        <x:v>0</x:v>
      </x:c>
      <x:c r="G421" s="10" t="n">
        <x:v>3.9194657657</x:v>
      </x:c>
      <x:c r="H421" s="10" t="n">
        <x:f>ABS(G421-F421)</x:f>
        <x:v>3.9194657657</x:v>
      </x:c>
      <x:c r="I421" s="10" t="n">
        <x:f>G421-F421</x:f>
        <x:v>3.9194657657</x:v>
      </x:c>
    </x:row>
    <x:row r="422" ht="20" customHeight="1">
      <x:c r="A422" s="1" t="str">
        <x:v>21733</x:v>
      </x:c>
      <x:c r="B422" s="10" t="n">
        <x:v>1</x:v>
      </x:c>
      <x:c r="C422" s="9" t="d">
        <x:v>2011-10-19T00:00:00.000Z</x:v>
      </x:c>
      <x:c r="D422" s="9" t="d">
        <x:v>2011-10-30T00:00:00.000Z</x:v>
      </x:c>
      <x:c r="E422" s="1" t="str">
        <x:v>ridge</x:v>
      </x:c>
      <x:c r="F422" s="10" t="n">
        <x:v>5</x:v>
      </x:c>
      <x:c r="G422" s="10" t="n">
        <x:v>7.9818507449</x:v>
      </x:c>
      <x:c r="H422" s="10" t="n">
        <x:f>ABS(G422-F422)</x:f>
        <x:v>2.9818507449</x:v>
      </x:c>
      <x:c r="I422" s="10" t="n">
        <x:f>G422-F422</x:f>
        <x:v>2.9818507449</x:v>
      </x:c>
    </x:row>
    <x:row r="423" ht="20" customHeight="1">
      <x:c r="A423" s="1" t="str">
        <x:v>21733</x:v>
      </x:c>
      <x:c r="B423" s="10" t="n">
        <x:v>1</x:v>
      </x:c>
      <x:c r="C423" s="9" t="d">
        <x:v>2011-10-19T00:00:00.000Z</x:v>
      </x:c>
      <x:c r="D423" s="9" t="d">
        <x:v>2011-10-31T00:00:00.000Z</x:v>
      </x:c>
      <x:c r="E423" s="1" t="str">
        <x:v>ridge</x:v>
      </x:c>
      <x:c r="F423" s="10" t="n">
        <x:v>4</x:v>
      </x:c>
      <x:c r="G423" s="10" t="n">
        <x:v>19.3943681174</x:v>
      </x:c>
      <x:c r="H423" s="10" t="n">
        <x:f>ABS(G423-F423)</x:f>
        <x:v>15.394368117399999</x:v>
      </x:c>
      <x:c r="I423" s="10" t="n">
        <x:f>G423-F423</x:f>
        <x:v>15.394368117399999</x:v>
      </x:c>
    </x:row>
    <x:row r="424" ht="20" customHeight="1">
      <x:c r="A424" s="1" t="str">
        <x:v>21733</x:v>
      </x:c>
      <x:c r="B424" s="10" t="n">
        <x:v>1</x:v>
      </x:c>
      <x:c r="C424" s="9" t="d">
        <x:v>2011-10-19T00:00:00.000Z</x:v>
      </x:c>
      <x:c r="D424" s="9" t="d">
        <x:v>2011-11-01T00:00:00.000Z</x:v>
      </x:c>
      <x:c r="E424" s="1" t="str">
        <x:v>ridge</x:v>
      </x:c>
      <x:c r="F424" s="10" t="n">
        <x:v>11</x:v>
      </x:c>
      <x:c r="G424" s="10" t="n">
        <x:v>30.2340052628</x:v>
      </x:c>
      <x:c r="H424" s="10" t="n">
        <x:f>ABS(G424-F424)</x:f>
        <x:v>19.2340052628</x:v>
      </x:c>
      <x:c r="I424" s="10" t="n">
        <x:f>G424-F424</x:f>
        <x:v>19.2340052628</x:v>
      </x:c>
    </x:row>
    <x:row r="425" ht="20" customHeight="1">
      <x:c r="A425" s="1" t="str">
        <x:v>21733</x:v>
      </x:c>
      <x:c r="B425" s="10" t="n">
        <x:v>1</x:v>
      </x:c>
      <x:c r="C425" s="9" t="d">
        <x:v>2011-10-19T00:00:00.000Z</x:v>
      </x:c>
      <x:c r="D425" s="9" t="d">
        <x:v>2011-11-02T00:00:00.000Z</x:v>
      </x:c>
      <x:c r="E425" s="1" t="str">
        <x:v>ridge</x:v>
      </x:c>
      <x:c r="F425" s="10" t="n">
        <x:v>4</x:v>
      </x:c>
      <x:c r="G425" s="10" t="n">
        <x:v>30.1738363348</x:v>
      </x:c>
      <x:c r="H425" s="10" t="n">
        <x:f>ABS(G425-F425)</x:f>
        <x:v>26.1738363348</x:v>
      </x:c>
      <x:c r="I425" s="10" t="n">
        <x:f>G425-F425</x:f>
        <x:v>26.1738363348</x:v>
      </x:c>
    </x:row>
    <x:row r="426" ht="20" customHeight="1">
      <x:c r="A426" s="1" t="str">
        <x:v>21733</x:v>
      </x:c>
      <x:c r="B426" s="10" t="n">
        <x:v>2</x:v>
      </x:c>
      <x:c r="C426" s="9" t="d">
        <x:v>2011-11-02T00:00:00.000Z</x:v>
      </x:c>
      <x:c r="D426" s="9" t="d">
        <x:v>2011-11-03T00:00:00.000Z</x:v>
      </x:c>
      <x:c r="E426" s="1" t="str">
        <x:v>naive</x:v>
      </x:c>
      <x:c r="F426" s="10" t="n">
        <x:v>544</x:v>
      </x:c>
      <x:c r="G426" s="10" t="n">
        <x:v>4</x:v>
      </x:c>
      <x:c r="H426" s="10" t="n">
        <x:f>ABS(G426-F426)</x:f>
        <x:v>540</x:v>
      </x:c>
      <x:c r="I426" s="10" t="n">
        <x:f>G426-F426</x:f>
        <x:v>-540</x:v>
      </x:c>
    </x:row>
    <x:row r="427" ht="20" customHeight="1">
      <x:c r="A427" s="1" t="str">
        <x:v>21733</x:v>
      </x:c>
      <x:c r="B427" s="10" t="n">
        <x:v>2</x:v>
      </x:c>
      <x:c r="C427" s="9" t="d">
        <x:v>2011-11-02T00:00:00.000Z</x:v>
      </x:c>
      <x:c r="D427" s="9" t="d">
        <x:v>2011-11-04T00:00:00.000Z</x:v>
      </x:c>
      <x:c r="E427" s="1" t="str">
        <x:v>naive</x:v>
      </x:c>
      <x:c r="F427" s="10" t="n">
        <x:v>77</x:v>
      </x:c>
      <x:c r="G427" s="10" t="n">
        <x:v>4</x:v>
      </x:c>
      <x:c r="H427" s="10" t="n">
        <x:f>ABS(G427-F427)</x:f>
        <x:v>73</x:v>
      </x:c>
      <x:c r="I427" s="10" t="n">
        <x:f>G427-F427</x:f>
        <x:v>-73</x:v>
      </x:c>
    </x:row>
    <x:row r="428" ht="20" customHeight="1">
      <x:c r="A428" s="1" t="str">
        <x:v>21733</x:v>
      </x:c>
      <x:c r="B428" s="10" t="n">
        <x:v>2</x:v>
      </x:c>
      <x:c r="C428" s="9" t="d">
        <x:v>2011-11-02T00:00:00.000Z</x:v>
      </x:c>
      <x:c r="D428" s="9" t="d">
        <x:v>2011-11-05T00:00:00.000Z</x:v>
      </x:c>
      <x:c r="E428" s="1" t="str">
        <x:v>naive</x:v>
      </x:c>
      <x:c r="F428" s="10" t="n">
        <x:v>0</x:v>
      </x:c>
      <x:c r="G428" s="10" t="n">
        <x:v>4</x:v>
      </x:c>
      <x:c r="H428" s="10" t="n">
        <x:f>ABS(G428-F428)</x:f>
        <x:v>4</x:v>
      </x:c>
      <x:c r="I428" s="10" t="n">
        <x:f>G428-F428</x:f>
        <x:v>4</x:v>
      </x:c>
    </x:row>
    <x:row r="429" ht="20" customHeight="1">
      <x:c r="A429" s="1" t="str">
        <x:v>21733</x:v>
      </x:c>
      <x:c r="B429" s="10" t="n">
        <x:v>2</x:v>
      </x:c>
      <x:c r="C429" s="9" t="d">
        <x:v>2011-11-02T00:00:00.000Z</x:v>
      </x:c>
      <x:c r="D429" s="9" t="d">
        <x:v>2011-11-06T00:00:00.000Z</x:v>
      </x:c>
      <x:c r="E429" s="1" t="str">
        <x:v>naive</x:v>
      </x:c>
      <x:c r="F429" s="10" t="n">
        <x:v>20</x:v>
      </x:c>
      <x:c r="G429" s="10" t="n">
        <x:v>4</x:v>
      </x:c>
      <x:c r="H429" s="10" t="n">
        <x:f>ABS(G429-F429)</x:f>
        <x:v>16</x:v>
      </x:c>
      <x:c r="I429" s="10" t="n">
        <x:f>G429-F429</x:f>
        <x:v>-16</x:v>
      </x:c>
    </x:row>
    <x:row r="430" ht="20" customHeight="1">
      <x:c r="A430" s="1" t="str">
        <x:v>21733</x:v>
      </x:c>
      <x:c r="B430" s="10" t="n">
        <x:v>2</x:v>
      </x:c>
      <x:c r="C430" s="9" t="d">
        <x:v>2011-11-02T00:00:00.000Z</x:v>
      </x:c>
      <x:c r="D430" s="9" t="d">
        <x:v>2011-11-07T00:00:00.000Z</x:v>
      </x:c>
      <x:c r="E430" s="1" t="str">
        <x:v>naive</x:v>
      </x:c>
      <x:c r="F430" s="10" t="n">
        <x:v>42</x:v>
      </x:c>
      <x:c r="G430" s="10" t="n">
        <x:v>4</x:v>
      </x:c>
      <x:c r="H430" s="10" t="n">
        <x:f>ABS(G430-F430)</x:f>
        <x:v>38</x:v>
      </x:c>
      <x:c r="I430" s="10" t="n">
        <x:f>G430-F430</x:f>
        <x:v>-38</x:v>
      </x:c>
    </x:row>
    <x:row r="431" ht="20" customHeight="1">
      <x:c r="A431" s="1" t="str">
        <x:v>21733</x:v>
      </x:c>
      <x:c r="B431" s="10" t="n">
        <x:v>2</x:v>
      </x:c>
      <x:c r="C431" s="9" t="d">
        <x:v>2011-11-02T00:00:00.000Z</x:v>
      </x:c>
      <x:c r="D431" s="9" t="d">
        <x:v>2011-11-08T00:00:00.000Z</x:v>
      </x:c>
      <x:c r="E431" s="1" t="str">
        <x:v>naive</x:v>
      </x:c>
      <x:c r="F431" s="10" t="n">
        <x:v>19</x:v>
      </x:c>
      <x:c r="G431" s="10" t="n">
        <x:v>4</x:v>
      </x:c>
      <x:c r="H431" s="10" t="n">
        <x:f>ABS(G431-F431)</x:f>
        <x:v>15</x:v>
      </x:c>
      <x:c r="I431" s="10" t="n">
        <x:f>G431-F431</x:f>
        <x:v>-15</x:v>
      </x:c>
    </x:row>
    <x:row r="432" ht="20" customHeight="1">
      <x:c r="A432" s="1" t="str">
        <x:v>21733</x:v>
      </x:c>
      <x:c r="B432" s="10" t="n">
        <x:v>2</x:v>
      </x:c>
      <x:c r="C432" s="9" t="d">
        <x:v>2011-11-02T00:00:00.000Z</x:v>
      </x:c>
      <x:c r="D432" s="9" t="d">
        <x:v>2011-11-09T00:00:00.000Z</x:v>
      </x:c>
      <x:c r="E432" s="1" t="str">
        <x:v>naive</x:v>
      </x:c>
      <x:c r="F432" s="10" t="n">
        <x:v>8</x:v>
      </x:c>
      <x:c r="G432" s="10" t="n">
        <x:v>4</x:v>
      </x:c>
      <x:c r="H432" s="10" t="n">
        <x:f>ABS(G432-F432)</x:f>
        <x:v>4</x:v>
      </x:c>
      <x:c r="I432" s="10" t="n">
        <x:f>G432-F432</x:f>
        <x:v>-4</x:v>
      </x:c>
    </x:row>
    <x:row r="433" ht="20" customHeight="1">
      <x:c r="A433" s="1" t="str">
        <x:v>21733</x:v>
      </x:c>
      <x:c r="B433" s="10" t="n">
        <x:v>2</x:v>
      </x:c>
      <x:c r="C433" s="9" t="d">
        <x:v>2011-11-02T00:00:00.000Z</x:v>
      </x:c>
      <x:c r="D433" s="9" t="d">
        <x:v>2011-11-10T00:00:00.000Z</x:v>
      </x:c>
      <x:c r="E433" s="1" t="str">
        <x:v>naive</x:v>
      </x:c>
      <x:c r="F433" s="10" t="n">
        <x:v>11</x:v>
      </x:c>
      <x:c r="G433" s="10" t="n">
        <x:v>4</x:v>
      </x:c>
      <x:c r="H433" s="10" t="n">
        <x:f>ABS(G433-F433)</x:f>
        <x:v>7</x:v>
      </x:c>
      <x:c r="I433" s="10" t="n">
        <x:f>G433-F433</x:f>
        <x:v>-7</x:v>
      </x:c>
    </x:row>
    <x:row r="434" ht="20" customHeight="1">
      <x:c r="A434" s="1" t="str">
        <x:v>21733</x:v>
      </x:c>
      <x:c r="B434" s="10" t="n">
        <x:v>2</x:v>
      </x:c>
      <x:c r="C434" s="9" t="d">
        <x:v>2011-11-02T00:00:00.000Z</x:v>
      </x:c>
      <x:c r="D434" s="9" t="d">
        <x:v>2011-11-11T00:00:00.000Z</x:v>
      </x:c>
      <x:c r="E434" s="1" t="str">
        <x:v>naive</x:v>
      </x:c>
      <x:c r="F434" s="10" t="n">
        <x:v>53</x:v>
      </x:c>
      <x:c r="G434" s="10" t="n">
        <x:v>4</x:v>
      </x:c>
      <x:c r="H434" s="10" t="n">
        <x:f>ABS(G434-F434)</x:f>
        <x:v>49</x:v>
      </x:c>
      <x:c r="I434" s="10" t="n">
        <x:f>G434-F434</x:f>
        <x:v>-49</x:v>
      </x:c>
    </x:row>
    <x:row r="435" ht="20" customHeight="1">
      <x:c r="A435" s="1" t="str">
        <x:v>21733</x:v>
      </x:c>
      <x:c r="B435" s="10" t="n">
        <x:v>2</x:v>
      </x:c>
      <x:c r="C435" s="9" t="d">
        <x:v>2011-11-02T00:00:00.000Z</x:v>
      </x:c>
      <x:c r="D435" s="9" t="d">
        <x:v>2011-11-12T00:00:00.000Z</x:v>
      </x:c>
      <x:c r="E435" s="1" t="str">
        <x:v>naive</x:v>
      </x:c>
      <x:c r="F435" s="10" t="n">
        <x:v>0</x:v>
      </x:c>
      <x:c r="G435" s="10" t="n">
        <x:v>4</x:v>
      </x:c>
      <x:c r="H435" s="10" t="n">
        <x:f>ABS(G435-F435)</x:f>
        <x:v>4</x:v>
      </x:c>
      <x:c r="I435" s="10" t="n">
        <x:f>G435-F435</x:f>
        <x:v>4</x:v>
      </x:c>
    </x:row>
    <x:row r="436" ht="20" customHeight="1">
      <x:c r="A436" s="1" t="str">
        <x:v>21733</x:v>
      </x:c>
      <x:c r="B436" s="10" t="n">
        <x:v>2</x:v>
      </x:c>
      <x:c r="C436" s="9" t="d">
        <x:v>2011-11-02T00:00:00.000Z</x:v>
      </x:c>
      <x:c r="D436" s="9" t="d">
        <x:v>2011-11-13T00:00:00.000Z</x:v>
      </x:c>
      <x:c r="E436" s="1" t="str">
        <x:v>naive</x:v>
      </x:c>
      <x:c r="F436" s="10" t="n">
        <x:v>56</x:v>
      </x:c>
      <x:c r="G436" s="10" t="n">
        <x:v>4</x:v>
      </x:c>
      <x:c r="H436" s="10" t="n">
        <x:f>ABS(G436-F436)</x:f>
        <x:v>52</x:v>
      </x:c>
      <x:c r="I436" s="10" t="n">
        <x:f>G436-F436</x:f>
        <x:v>-52</x:v>
      </x:c>
    </x:row>
    <x:row r="437" ht="20" customHeight="1">
      <x:c r="A437" s="1" t="str">
        <x:v>21733</x:v>
      </x:c>
      <x:c r="B437" s="10" t="n">
        <x:v>2</x:v>
      </x:c>
      <x:c r="C437" s="9" t="d">
        <x:v>2011-11-02T00:00:00.000Z</x:v>
      </x:c>
      <x:c r="D437" s="9" t="d">
        <x:v>2011-11-14T00:00:00.000Z</x:v>
      </x:c>
      <x:c r="E437" s="1" t="str">
        <x:v>naive</x:v>
      </x:c>
      <x:c r="F437" s="10" t="n">
        <x:v>8</x:v>
      </x:c>
      <x:c r="G437" s="10" t="n">
        <x:v>4</x:v>
      </x:c>
      <x:c r="H437" s="10" t="n">
        <x:f>ABS(G437-F437)</x:f>
        <x:v>4</x:v>
      </x:c>
      <x:c r="I437" s="10" t="n">
        <x:f>G437-F437</x:f>
        <x:v>-4</x:v>
      </x:c>
    </x:row>
    <x:row r="438" ht="20" customHeight="1">
      <x:c r="A438" s="1" t="str">
        <x:v>21733</x:v>
      </x:c>
      <x:c r="B438" s="10" t="n">
        <x:v>2</x:v>
      </x:c>
      <x:c r="C438" s="9" t="d">
        <x:v>2011-11-02T00:00:00.000Z</x:v>
      </x:c>
      <x:c r="D438" s="9" t="d">
        <x:v>2011-11-15T00:00:00.000Z</x:v>
      </x:c>
      <x:c r="E438" s="1" t="str">
        <x:v>naive</x:v>
      </x:c>
      <x:c r="F438" s="10" t="n">
        <x:v>16</x:v>
      </x:c>
      <x:c r="G438" s="10" t="n">
        <x:v>4</x:v>
      </x:c>
      <x:c r="H438" s="10" t="n">
        <x:f>ABS(G438-F438)</x:f>
        <x:v>12</x:v>
      </x:c>
      <x:c r="I438" s="10" t="n">
        <x:f>G438-F438</x:f>
        <x:v>-12</x:v>
      </x:c>
    </x:row>
    <x:row r="439" ht="20" customHeight="1">
      <x:c r="A439" s="1" t="str">
        <x:v>21733</x:v>
      </x:c>
      <x:c r="B439" s="10" t="n">
        <x:v>2</x:v>
      </x:c>
      <x:c r="C439" s="9" t="d">
        <x:v>2011-11-02T00:00:00.000Z</x:v>
      </x:c>
      <x:c r="D439" s="9" t="d">
        <x:v>2011-11-16T00:00:00.000Z</x:v>
      </x:c>
      <x:c r="E439" s="1" t="str">
        <x:v>naive</x:v>
      </x:c>
      <x:c r="F439" s="10" t="n">
        <x:v>22</x:v>
      </x:c>
      <x:c r="G439" s="10" t="n">
        <x:v>4</x:v>
      </x:c>
      <x:c r="H439" s="10" t="n">
        <x:f>ABS(G439-F439)</x:f>
        <x:v>18</x:v>
      </x:c>
      <x:c r="I439" s="10" t="n">
        <x:f>G439-F439</x:f>
        <x:v>-18</x:v>
      </x:c>
    </x:row>
    <x:row r="440" ht="20" customHeight="1">
      <x:c r="A440" s="1" t="str">
        <x:v>21733</x:v>
      </x:c>
      <x:c r="B440" s="10" t="n">
        <x:v>2</x:v>
      </x:c>
      <x:c r="C440" s="9" t="d">
        <x:v>2011-11-02T00:00:00.000Z</x:v>
      </x:c>
      <x:c r="D440" s="9" t="d">
        <x:v>2011-11-03T00:00:00.000Z</x:v>
      </x:c>
      <x:c r="E440" s="1" t="str">
        <x:v>seasonal_naive</x:v>
      </x:c>
      <x:c r="F440" s="10" t="n">
        <x:v>544</x:v>
      </x:c>
      <x:c r="G440" s="10" t="n">
        <x:v>33</x:v>
      </x:c>
      <x:c r="H440" s="10" t="n">
        <x:f>ABS(G440-F440)</x:f>
        <x:v>511</x:v>
      </x:c>
      <x:c r="I440" s="10" t="n">
        <x:f>G440-F440</x:f>
        <x:v>-511</x:v>
      </x:c>
    </x:row>
    <x:row r="441" ht="20" customHeight="1">
      <x:c r="A441" s="1" t="str">
        <x:v>21733</x:v>
      </x:c>
      <x:c r="B441" s="10" t="n">
        <x:v>2</x:v>
      </x:c>
      <x:c r="C441" s="9" t="d">
        <x:v>2011-11-02T00:00:00.000Z</x:v>
      </x:c>
      <x:c r="D441" s="9" t="d">
        <x:v>2011-11-04T00:00:00.000Z</x:v>
      </x:c>
      <x:c r="E441" s="1" t="str">
        <x:v>seasonal_naive</x:v>
      </x:c>
      <x:c r="F441" s="10" t="n">
        <x:v>77</x:v>
      </x:c>
      <x:c r="G441" s="10" t="n">
        <x:v>13</x:v>
      </x:c>
      <x:c r="H441" s="10" t="n">
        <x:f>ABS(G441-F441)</x:f>
        <x:v>64</x:v>
      </x:c>
      <x:c r="I441" s="10" t="n">
        <x:f>G441-F441</x:f>
        <x:v>-64</x:v>
      </x:c>
    </x:row>
    <x:row r="442" ht="20" customHeight="1">
      <x:c r="A442" s="1" t="str">
        <x:v>21733</x:v>
      </x:c>
      <x:c r="B442" s="10" t="n">
        <x:v>2</x:v>
      </x:c>
      <x:c r="C442" s="9" t="d">
        <x:v>2011-11-02T00:00:00.000Z</x:v>
      </x:c>
      <x:c r="D442" s="9" t="d">
        <x:v>2011-11-05T00:00:00.000Z</x:v>
      </x:c>
      <x:c r="E442" s="1" t="str">
        <x:v>seasonal_naive</x:v>
      </x:c>
      <x:c r="F442" s="10" t="n">
        <x:v>0</x:v>
      </x:c>
      <x:c r="G442" s="10" t="n">
        <x:v>0</x:v>
      </x:c>
      <x:c r="H442" s="10" t="n">
        <x:f>ABS(G442-F442)</x:f>
        <x:v>0</x:v>
      </x:c>
      <x:c r="I442" s="10" t="n">
        <x:f>G442-F442</x:f>
        <x:v>0</x:v>
      </x:c>
    </x:row>
    <x:row r="443" ht="20" customHeight="1">
      <x:c r="A443" s="1" t="str">
        <x:v>21733</x:v>
      </x:c>
      <x:c r="B443" s="10" t="n">
        <x:v>2</x:v>
      </x:c>
      <x:c r="C443" s="9" t="d">
        <x:v>2011-11-02T00:00:00.000Z</x:v>
      </x:c>
      <x:c r="D443" s="9" t="d">
        <x:v>2011-11-06T00:00:00.000Z</x:v>
      </x:c>
      <x:c r="E443" s="1" t="str">
        <x:v>seasonal_naive</x:v>
      </x:c>
      <x:c r="F443" s="10" t="n">
        <x:v>20</x:v>
      </x:c>
      <x:c r="G443" s="10" t="n">
        <x:v>5</x:v>
      </x:c>
      <x:c r="H443" s="10" t="n">
        <x:f>ABS(G443-F443)</x:f>
        <x:v>15</x:v>
      </x:c>
      <x:c r="I443" s="10" t="n">
        <x:f>G443-F443</x:f>
        <x:v>-15</x:v>
      </x:c>
    </x:row>
    <x:row r="444" ht="20" customHeight="1">
      <x:c r="A444" s="1" t="str">
        <x:v>21733</x:v>
      </x:c>
      <x:c r="B444" s="10" t="n">
        <x:v>2</x:v>
      </x:c>
      <x:c r="C444" s="9" t="d">
        <x:v>2011-11-02T00:00:00.000Z</x:v>
      </x:c>
      <x:c r="D444" s="9" t="d">
        <x:v>2011-11-07T00:00:00.000Z</x:v>
      </x:c>
      <x:c r="E444" s="1" t="str">
        <x:v>seasonal_naive</x:v>
      </x:c>
      <x:c r="F444" s="10" t="n">
        <x:v>42</x:v>
      </x:c>
      <x:c r="G444" s="10" t="n">
        <x:v>4</x:v>
      </x:c>
      <x:c r="H444" s="10" t="n">
        <x:f>ABS(G444-F444)</x:f>
        <x:v>38</x:v>
      </x:c>
      <x:c r="I444" s="10" t="n">
        <x:f>G444-F444</x:f>
        <x:v>-38</x:v>
      </x:c>
    </x:row>
    <x:row r="445" ht="20" customHeight="1">
      <x:c r="A445" s="1" t="str">
        <x:v>21733</x:v>
      </x:c>
      <x:c r="B445" s="10" t="n">
        <x:v>2</x:v>
      </x:c>
      <x:c r="C445" s="9" t="d">
        <x:v>2011-11-02T00:00:00.000Z</x:v>
      </x:c>
      <x:c r="D445" s="9" t="d">
        <x:v>2011-11-08T00:00:00.000Z</x:v>
      </x:c>
      <x:c r="E445" s="1" t="str">
        <x:v>seasonal_naive</x:v>
      </x:c>
      <x:c r="F445" s="10" t="n">
        <x:v>19</x:v>
      </x:c>
      <x:c r="G445" s="10" t="n">
        <x:v>11</x:v>
      </x:c>
      <x:c r="H445" s="10" t="n">
        <x:f>ABS(G445-F445)</x:f>
        <x:v>8</x:v>
      </x:c>
      <x:c r="I445" s="10" t="n">
        <x:f>G445-F445</x:f>
        <x:v>-8</x:v>
      </x:c>
    </x:row>
    <x:row r="446" ht="20" customHeight="1">
      <x:c r="A446" s="1" t="str">
        <x:v>21733</x:v>
      </x:c>
      <x:c r="B446" s="10" t="n">
        <x:v>2</x:v>
      </x:c>
      <x:c r="C446" s="9" t="d">
        <x:v>2011-11-02T00:00:00.000Z</x:v>
      </x:c>
      <x:c r="D446" s="9" t="d">
        <x:v>2011-11-09T00:00:00.000Z</x:v>
      </x:c>
      <x:c r="E446" s="1" t="str">
        <x:v>seasonal_naive</x:v>
      </x:c>
      <x:c r="F446" s="10" t="n">
        <x:v>8</x:v>
      </x:c>
      <x:c r="G446" s="10" t="n">
        <x:v>4</x:v>
      </x:c>
      <x:c r="H446" s="10" t="n">
        <x:f>ABS(G446-F446)</x:f>
        <x:v>4</x:v>
      </x:c>
      <x:c r="I446" s="10" t="n">
        <x:f>G446-F446</x:f>
        <x:v>-4</x:v>
      </x:c>
    </x:row>
    <x:row r="447" ht="20" customHeight="1">
      <x:c r="A447" s="1" t="str">
        <x:v>21733</x:v>
      </x:c>
      <x:c r="B447" s="10" t="n">
        <x:v>2</x:v>
      </x:c>
      <x:c r="C447" s="9" t="d">
        <x:v>2011-11-02T00:00:00.000Z</x:v>
      </x:c>
      <x:c r="D447" s="9" t="d">
        <x:v>2011-11-10T00:00:00.000Z</x:v>
      </x:c>
      <x:c r="E447" s="1" t="str">
        <x:v>seasonal_naive</x:v>
      </x:c>
      <x:c r="F447" s="10" t="n">
        <x:v>11</x:v>
      </x:c>
      <x:c r="G447" s="10" t="n">
        <x:v>33</x:v>
      </x:c>
      <x:c r="H447" s="10" t="n">
        <x:f>ABS(G447-F447)</x:f>
        <x:v>22</x:v>
      </x:c>
      <x:c r="I447" s="10" t="n">
        <x:f>G447-F447</x:f>
        <x:v>22</x:v>
      </x:c>
    </x:row>
    <x:row r="448" ht="20" customHeight="1">
      <x:c r="A448" s="1" t="str">
        <x:v>21733</x:v>
      </x:c>
      <x:c r="B448" s="10" t="n">
        <x:v>2</x:v>
      </x:c>
      <x:c r="C448" s="9" t="d">
        <x:v>2011-11-02T00:00:00.000Z</x:v>
      </x:c>
      <x:c r="D448" s="9" t="d">
        <x:v>2011-11-11T00:00:00.000Z</x:v>
      </x:c>
      <x:c r="E448" s="1" t="str">
        <x:v>seasonal_naive</x:v>
      </x:c>
      <x:c r="F448" s="10" t="n">
        <x:v>53</x:v>
      </x:c>
      <x:c r="G448" s="10" t="n">
        <x:v>13</x:v>
      </x:c>
      <x:c r="H448" s="10" t="n">
        <x:f>ABS(G448-F448)</x:f>
        <x:v>40</x:v>
      </x:c>
      <x:c r="I448" s="10" t="n">
        <x:f>G448-F448</x:f>
        <x:v>-40</x:v>
      </x:c>
    </x:row>
    <x:row r="449" ht="20" customHeight="1">
      <x:c r="A449" s="1" t="str">
        <x:v>21733</x:v>
      </x:c>
      <x:c r="B449" s="10" t="n">
        <x:v>2</x:v>
      </x:c>
      <x:c r="C449" s="9" t="d">
        <x:v>2011-11-02T00:00:00.000Z</x:v>
      </x:c>
      <x:c r="D449" s="9" t="d">
        <x:v>2011-11-12T00:00:00.000Z</x:v>
      </x:c>
      <x:c r="E449" s="1" t="str">
        <x:v>seasonal_naive</x:v>
      </x:c>
      <x:c r="F449" s="10" t="n">
        <x:v>0</x:v>
      </x:c>
      <x:c r="G449" s="10" t="n">
        <x:v>0</x:v>
      </x:c>
      <x:c r="H449" s="10" t="n">
        <x:f>ABS(G449-F449)</x:f>
        <x:v>0</x:v>
      </x:c>
      <x:c r="I449" s="10" t="n">
        <x:f>G449-F449</x:f>
        <x:v>0</x:v>
      </x:c>
    </x:row>
    <x:row r="450" ht="20" customHeight="1">
      <x:c r="A450" s="1" t="str">
        <x:v>21733</x:v>
      </x:c>
      <x:c r="B450" s="10" t="n">
        <x:v>2</x:v>
      </x:c>
      <x:c r="C450" s="9" t="d">
        <x:v>2011-11-02T00:00:00.000Z</x:v>
      </x:c>
      <x:c r="D450" s="9" t="d">
        <x:v>2011-11-13T00:00:00.000Z</x:v>
      </x:c>
      <x:c r="E450" s="1" t="str">
        <x:v>seasonal_naive</x:v>
      </x:c>
      <x:c r="F450" s="10" t="n">
        <x:v>56</x:v>
      </x:c>
      <x:c r="G450" s="10" t="n">
        <x:v>5</x:v>
      </x:c>
      <x:c r="H450" s="10" t="n">
        <x:f>ABS(G450-F450)</x:f>
        <x:v>51</x:v>
      </x:c>
      <x:c r="I450" s="10" t="n">
        <x:f>G450-F450</x:f>
        <x:v>-51</x:v>
      </x:c>
    </x:row>
    <x:row r="451" ht="20" customHeight="1">
      <x:c r="A451" s="1" t="str">
        <x:v>21733</x:v>
      </x:c>
      <x:c r="B451" s="10" t="n">
        <x:v>2</x:v>
      </x:c>
      <x:c r="C451" s="9" t="d">
        <x:v>2011-11-02T00:00:00.000Z</x:v>
      </x:c>
      <x:c r="D451" s="9" t="d">
        <x:v>2011-11-14T00:00:00.000Z</x:v>
      </x:c>
      <x:c r="E451" s="1" t="str">
        <x:v>seasonal_naive</x:v>
      </x:c>
      <x:c r="F451" s="10" t="n">
        <x:v>8</x:v>
      </x:c>
      <x:c r="G451" s="10" t="n">
        <x:v>4</x:v>
      </x:c>
      <x:c r="H451" s="10" t="n">
        <x:f>ABS(G451-F451)</x:f>
        <x:v>4</x:v>
      </x:c>
      <x:c r="I451" s="10" t="n">
        <x:f>G451-F451</x:f>
        <x:v>-4</x:v>
      </x:c>
    </x:row>
    <x:row r="452" ht="20" customHeight="1">
      <x:c r="A452" s="1" t="str">
        <x:v>21733</x:v>
      </x:c>
      <x:c r="B452" s="10" t="n">
        <x:v>2</x:v>
      </x:c>
      <x:c r="C452" s="9" t="d">
        <x:v>2011-11-02T00:00:00.000Z</x:v>
      </x:c>
      <x:c r="D452" s="9" t="d">
        <x:v>2011-11-15T00:00:00.000Z</x:v>
      </x:c>
      <x:c r="E452" s="1" t="str">
        <x:v>seasonal_naive</x:v>
      </x:c>
      <x:c r="F452" s="10" t="n">
        <x:v>16</x:v>
      </x:c>
      <x:c r="G452" s="10" t="n">
        <x:v>11</x:v>
      </x:c>
      <x:c r="H452" s="10" t="n">
        <x:f>ABS(G452-F452)</x:f>
        <x:v>5</x:v>
      </x:c>
      <x:c r="I452" s="10" t="n">
        <x:f>G452-F452</x:f>
        <x:v>-5</x:v>
      </x:c>
    </x:row>
    <x:row r="453" ht="20" customHeight="1">
      <x:c r="A453" s="1" t="str">
        <x:v>21733</x:v>
      </x:c>
      <x:c r="B453" s="10" t="n">
        <x:v>2</x:v>
      </x:c>
      <x:c r="C453" s="9" t="d">
        <x:v>2011-11-02T00:00:00.000Z</x:v>
      </x:c>
      <x:c r="D453" s="9" t="d">
        <x:v>2011-11-16T00:00:00.000Z</x:v>
      </x:c>
      <x:c r="E453" s="1" t="str">
        <x:v>seasonal_naive</x:v>
      </x:c>
      <x:c r="F453" s="10" t="n">
        <x:v>22</x:v>
      </x:c>
      <x:c r="G453" s="10" t="n">
        <x:v>4</x:v>
      </x:c>
      <x:c r="H453" s="10" t="n">
        <x:f>ABS(G453-F453)</x:f>
        <x:v>18</x:v>
      </x:c>
      <x:c r="I453" s="10" t="n">
        <x:f>G453-F453</x:f>
        <x:v>-18</x:v>
      </x:c>
    </x:row>
    <x:row r="454" ht="20" customHeight="1">
      <x:c r="A454" s="1" t="str">
        <x:v>21733</x:v>
      </x:c>
      <x:c r="B454" s="10" t="n">
        <x:v>2</x:v>
      </x:c>
      <x:c r="C454" s="9" t="d">
        <x:v>2011-11-02T00:00:00.000Z</x:v>
      </x:c>
      <x:c r="D454" s="9" t="d">
        <x:v>2011-11-03T00:00:00.000Z</x:v>
      </x:c>
      <x:c r="E454" s="1" t="str">
        <x:v>ridge</x:v>
      </x:c>
      <x:c r="F454" s="10" t="n">
        <x:v>544</x:v>
      </x:c>
      <x:c r="G454" s="10" t="n">
        <x:v>19.8647011907</x:v>
      </x:c>
      <x:c r="H454" s="10" t="n">
        <x:f>ABS(G454-F454)</x:f>
        <x:v>524.1352988093</x:v>
      </x:c>
      <x:c r="I454" s="10" t="n">
        <x:f>G454-F454</x:f>
        <x:v>-524.1352988093</x:v>
      </x:c>
    </x:row>
    <x:row r="455" ht="20" customHeight="1">
      <x:c r="A455" s="1" t="str">
        <x:v>21733</x:v>
      </x:c>
      <x:c r="B455" s="10" t="n">
        <x:v>2</x:v>
      </x:c>
      <x:c r="C455" s="9" t="d">
        <x:v>2011-11-02T00:00:00.000Z</x:v>
      </x:c>
      <x:c r="D455" s="9" t="d">
        <x:v>2011-11-04T00:00:00.000Z</x:v>
      </x:c>
      <x:c r="E455" s="1" t="str">
        <x:v>ridge</x:v>
      </x:c>
      <x:c r="F455" s="10" t="n">
        <x:v>77</x:v>
      </x:c>
      <x:c r="G455" s="10" t="n">
        <x:v>7.7747711735</x:v>
      </x:c>
      <x:c r="H455" s="10" t="n">
        <x:f>ABS(G455-F455)</x:f>
        <x:v>69.2252288265</x:v>
      </x:c>
      <x:c r="I455" s="10" t="n">
        <x:f>G455-F455</x:f>
        <x:v>-69.2252288265</x:v>
      </x:c>
    </x:row>
    <x:row r="456" ht="20" customHeight="1">
      <x:c r="A456" s="1" t="str">
        <x:v>21733</x:v>
      </x:c>
      <x:c r="B456" s="10" t="n">
        <x:v>2</x:v>
      </x:c>
      <x:c r="C456" s="9" t="d">
        <x:v>2011-11-02T00:00:00.000Z</x:v>
      </x:c>
      <x:c r="D456" s="9" t="d">
        <x:v>2011-11-05T00:00:00.000Z</x:v>
      </x:c>
      <x:c r="E456" s="1" t="str">
        <x:v>ridge</x:v>
      </x:c>
      <x:c r="F456" s="10" t="n">
        <x:v>0</x:v>
      </x:c>
      <x:c r="G456" s="10" t="n">
        <x:v>3.0457422912</x:v>
      </x:c>
      <x:c r="H456" s="10" t="n">
        <x:f>ABS(G456-F456)</x:f>
        <x:v>3.0457422912</x:v>
      </x:c>
      <x:c r="I456" s="10" t="n">
        <x:f>G456-F456</x:f>
        <x:v>3.0457422912</x:v>
      </x:c>
    </x:row>
    <x:row r="457" ht="20" customHeight="1">
      <x:c r="A457" s="1" t="str">
        <x:v>21733</x:v>
      </x:c>
      <x:c r="B457" s="10" t="n">
        <x:v>2</x:v>
      </x:c>
      <x:c r="C457" s="9" t="d">
        <x:v>2011-11-02T00:00:00.000Z</x:v>
      </x:c>
      <x:c r="D457" s="9" t="d">
        <x:v>2011-11-06T00:00:00.000Z</x:v>
      </x:c>
      <x:c r="E457" s="1" t="str">
        <x:v>ridge</x:v>
      </x:c>
      <x:c r="F457" s="10" t="n">
        <x:v>20</x:v>
      </x:c>
      <x:c r="G457" s="10" t="n">
        <x:v>8.2878679588</x:v>
      </x:c>
      <x:c r="H457" s="10" t="n">
        <x:f>ABS(G457-F457)</x:f>
        <x:v>11.7121320412</x:v>
      </x:c>
      <x:c r="I457" s="10" t="n">
        <x:f>G457-F457</x:f>
        <x:v>-11.7121320412</x:v>
      </x:c>
    </x:row>
    <x:row r="458" ht="20" customHeight="1">
      <x:c r="A458" s="1" t="str">
        <x:v>21733</x:v>
      </x:c>
      <x:c r="B458" s="10" t="n">
        <x:v>2</x:v>
      </x:c>
      <x:c r="C458" s="9" t="d">
        <x:v>2011-11-02T00:00:00.000Z</x:v>
      </x:c>
      <x:c r="D458" s="9" t="d">
        <x:v>2011-11-07T00:00:00.000Z</x:v>
      </x:c>
      <x:c r="E458" s="1" t="str">
        <x:v>ridge</x:v>
      </x:c>
      <x:c r="F458" s="10" t="n">
        <x:v>42</x:v>
      </x:c>
      <x:c r="G458" s="10" t="n">
        <x:v>18.8062864478</x:v>
      </x:c>
      <x:c r="H458" s="10" t="n">
        <x:f>ABS(G458-F458)</x:f>
        <x:v>23.1937135522</x:v>
      </x:c>
      <x:c r="I458" s="10" t="n">
        <x:f>G458-F458</x:f>
        <x:v>-23.1937135522</x:v>
      </x:c>
    </x:row>
    <x:row r="459" ht="20" customHeight="1">
      <x:c r="A459" s="1" t="str">
        <x:v>21733</x:v>
      </x:c>
      <x:c r="B459" s="10" t="n">
        <x:v>2</x:v>
      </x:c>
      <x:c r="C459" s="9" t="d">
        <x:v>2011-11-02T00:00:00.000Z</x:v>
      </x:c>
      <x:c r="D459" s="9" t="d">
        <x:v>2011-11-08T00:00:00.000Z</x:v>
      </x:c>
      <x:c r="E459" s="1" t="str">
        <x:v>ridge</x:v>
      </x:c>
      <x:c r="F459" s="10" t="n">
        <x:v>19</x:v>
      </x:c>
      <x:c r="G459" s="10" t="n">
        <x:v>29.3236868802</x:v>
      </x:c>
      <x:c r="H459" s="10" t="n">
        <x:f>ABS(G459-F459)</x:f>
        <x:v>10.3236868802</x:v>
      </x:c>
      <x:c r="I459" s="10" t="n">
        <x:f>G459-F459</x:f>
        <x:v>10.3236868802</x:v>
      </x:c>
    </x:row>
    <x:row r="460" ht="20" customHeight="1">
      <x:c r="A460" s="1" t="str">
        <x:v>21733</x:v>
      </x:c>
      <x:c r="B460" s="10" t="n">
        <x:v>2</x:v>
      </x:c>
      <x:c r="C460" s="9" t="d">
        <x:v>2011-11-02T00:00:00.000Z</x:v>
      </x:c>
      <x:c r="D460" s="9" t="d">
        <x:v>2011-11-09T00:00:00.000Z</x:v>
      </x:c>
      <x:c r="E460" s="1" t="str">
        <x:v>ridge</x:v>
      </x:c>
      <x:c r="F460" s="10" t="n">
        <x:v>8</x:v>
      </x:c>
      <x:c r="G460" s="10" t="n">
        <x:v>29.8693409422</x:v>
      </x:c>
      <x:c r="H460" s="10" t="n">
        <x:f>ABS(G460-F460)</x:f>
        <x:v>21.8693409422</x:v>
      </x:c>
      <x:c r="I460" s="10" t="n">
        <x:f>G460-F460</x:f>
        <x:v>21.8693409422</x:v>
      </x:c>
    </x:row>
    <x:row r="461" ht="20" customHeight="1">
      <x:c r="A461" s="1" t="str">
        <x:v>21733</x:v>
      </x:c>
      <x:c r="B461" s="10" t="n">
        <x:v>2</x:v>
      </x:c>
      <x:c r="C461" s="9" t="d">
        <x:v>2011-11-02T00:00:00.000Z</x:v>
      </x:c>
      <x:c r="D461" s="9" t="d">
        <x:v>2011-11-10T00:00:00.000Z</x:v>
      </x:c>
      <x:c r="E461" s="1" t="str">
        <x:v>ridge</x:v>
      </x:c>
      <x:c r="F461" s="10" t="n">
        <x:v>11</x:v>
      </x:c>
      <x:c r="G461" s="10" t="n">
        <x:v>19.5822742487</x:v>
      </x:c>
      <x:c r="H461" s="10" t="n">
        <x:f>ABS(G461-F461)</x:f>
        <x:v>8.5822742487</x:v>
      </x:c>
      <x:c r="I461" s="10" t="n">
        <x:f>G461-F461</x:f>
        <x:v>8.5822742487</x:v>
      </x:c>
    </x:row>
    <x:row r="462" ht="20" customHeight="1">
      <x:c r="A462" s="1" t="str">
        <x:v>21733</x:v>
      </x:c>
      <x:c r="B462" s="10" t="n">
        <x:v>2</x:v>
      </x:c>
      <x:c r="C462" s="9" t="d">
        <x:v>2011-11-02T00:00:00.000Z</x:v>
      </x:c>
      <x:c r="D462" s="9" t="d">
        <x:v>2011-11-11T00:00:00.000Z</x:v>
      </x:c>
      <x:c r="E462" s="1" t="str">
        <x:v>ridge</x:v>
      </x:c>
      <x:c r="F462" s="10" t="n">
        <x:v>53</x:v>
      </x:c>
      <x:c r="G462" s="10" t="n">
        <x:v>8.676832056</x:v>
      </x:c>
      <x:c r="H462" s="10" t="n">
        <x:f>ABS(G462-F462)</x:f>
        <x:v>44.323167944</x:v>
      </x:c>
      <x:c r="I462" s="10" t="n">
        <x:f>G462-F462</x:f>
        <x:v>-44.323167944</x:v>
      </x:c>
    </x:row>
    <x:row r="463" ht="20" customHeight="1">
      <x:c r="A463" s="1" t="str">
        <x:v>21733</x:v>
      </x:c>
      <x:c r="B463" s="10" t="n">
        <x:v>2</x:v>
      </x:c>
      <x:c r="C463" s="9" t="d">
        <x:v>2011-11-02T00:00:00.000Z</x:v>
      </x:c>
      <x:c r="D463" s="9" t="d">
        <x:v>2011-11-12T00:00:00.000Z</x:v>
      </x:c>
      <x:c r="E463" s="1" t="str">
        <x:v>ridge</x:v>
      </x:c>
      <x:c r="F463" s="10" t="n">
        <x:v>0</x:v>
      </x:c>
      <x:c r="G463" s="10" t="n">
        <x:v>3.9594541037</x:v>
      </x:c>
      <x:c r="H463" s="10" t="n">
        <x:f>ABS(G463-F463)</x:f>
        <x:v>3.9594541037</x:v>
      </x:c>
      <x:c r="I463" s="10" t="n">
        <x:f>G463-F463</x:f>
        <x:v>3.9594541037</x:v>
      </x:c>
    </x:row>
    <x:row r="464" ht="20" customHeight="1">
      <x:c r="A464" s="1" t="str">
        <x:v>21733</x:v>
      </x:c>
      <x:c r="B464" s="10" t="n">
        <x:v>2</x:v>
      </x:c>
      <x:c r="C464" s="9" t="d">
        <x:v>2011-11-02T00:00:00.000Z</x:v>
      </x:c>
      <x:c r="D464" s="9" t="d">
        <x:v>2011-11-13T00:00:00.000Z</x:v>
      </x:c>
      <x:c r="E464" s="1" t="str">
        <x:v>ridge</x:v>
      </x:c>
      <x:c r="F464" s="10" t="n">
        <x:v>56</x:v>
      </x:c>
      <x:c r="G464" s="10" t="n">
        <x:v>9.1003167168</x:v>
      </x:c>
      <x:c r="H464" s="10" t="n">
        <x:f>ABS(G464-F464)</x:f>
        <x:v>46.8996832832</x:v>
      </x:c>
      <x:c r="I464" s="10" t="n">
        <x:f>G464-F464</x:f>
        <x:v>-46.8996832832</x:v>
      </x:c>
    </x:row>
    <x:row r="465" ht="20" customHeight="1">
      <x:c r="A465" s="1" t="str">
        <x:v>21733</x:v>
      </x:c>
      <x:c r="B465" s="10" t="n">
        <x:v>2</x:v>
      </x:c>
      <x:c r="C465" s="9" t="d">
        <x:v>2011-11-02T00:00:00.000Z</x:v>
      </x:c>
      <x:c r="D465" s="9" t="d">
        <x:v>2011-11-14T00:00:00.000Z</x:v>
      </x:c>
      <x:c r="E465" s="1" t="str">
        <x:v>ridge</x:v>
      </x:c>
      <x:c r="F465" s="10" t="n">
        <x:v>8</x:v>
      </x:c>
      <x:c r="G465" s="10" t="n">
        <x:v>20.5230848499</x:v>
      </x:c>
      <x:c r="H465" s="10" t="n">
        <x:f>ABS(G465-F465)</x:f>
        <x:v>12.523084849899998</x:v>
      </x:c>
      <x:c r="I465" s="10" t="n">
        <x:f>G465-F465</x:f>
        <x:v>12.523084849899998</x:v>
      </x:c>
    </x:row>
    <x:row r="466" ht="20" customHeight="1">
      <x:c r="A466" s="1" t="str">
        <x:v>21733</x:v>
      </x:c>
      <x:c r="B466" s="10" t="n">
        <x:v>2</x:v>
      </x:c>
      <x:c r="C466" s="9" t="d">
        <x:v>2011-11-02T00:00:00.000Z</x:v>
      </x:c>
      <x:c r="D466" s="9" t="d">
        <x:v>2011-11-15T00:00:00.000Z</x:v>
      </x:c>
      <x:c r="E466" s="1" t="str">
        <x:v>ridge</x:v>
      </x:c>
      <x:c r="F466" s="10" t="n">
        <x:v>16</x:v>
      </x:c>
      <x:c r="G466" s="10" t="n">
        <x:v>29.3002951831</x:v>
      </x:c>
      <x:c r="H466" s="10" t="n">
        <x:f>ABS(G466-F466)</x:f>
        <x:v>13.300295183100001</x:v>
      </x:c>
      <x:c r="I466" s="10" t="n">
        <x:f>G466-F466</x:f>
        <x:v>13.300295183100001</x:v>
      </x:c>
    </x:row>
    <x:row r="467" ht="20" customHeight="1">
      <x:c r="A467" s="1" t="str">
        <x:v>21733</x:v>
      </x:c>
      <x:c r="B467" s="10" t="n">
        <x:v>2</x:v>
      </x:c>
      <x:c r="C467" s="9" t="d">
        <x:v>2011-11-02T00:00:00.000Z</x:v>
      </x:c>
      <x:c r="D467" s="9" t="d">
        <x:v>2011-11-16T00:00:00.000Z</x:v>
      </x:c>
      <x:c r="E467" s="1" t="str">
        <x:v>ridge</x:v>
      </x:c>
      <x:c r="F467" s="10" t="n">
        <x:v>22</x:v>
      </x:c>
      <x:c r="G467" s="10" t="n">
        <x:v>29.3439113912</x:v>
      </x:c>
      <x:c r="H467" s="10" t="n">
        <x:f>ABS(G467-F467)</x:f>
        <x:v>7.343911391199999</x:v>
      </x:c>
      <x:c r="I467" s="10" t="n">
        <x:f>G467-F467</x:f>
        <x:v>7.343911391199999</x:v>
      </x:c>
    </x:row>
    <x:row r="468" ht="20" customHeight="1">
      <x:c r="A468" s="1" t="str">
        <x:v>21733</x:v>
      </x:c>
      <x:c r="B468" s="10" t="n">
        <x:v>3</x:v>
      </x:c>
      <x:c r="C468" s="9" t="d">
        <x:v>2011-11-16T00:00:00.000Z</x:v>
      </x:c>
      <x:c r="D468" s="9" t="d">
        <x:v>2011-11-17T00:00:00.000Z</x:v>
      </x:c>
      <x:c r="E468" s="1" t="str">
        <x:v>naive</x:v>
      </x:c>
      <x:c r="F468" s="10" t="n">
        <x:v>24</x:v>
      </x:c>
      <x:c r="G468" s="10" t="n">
        <x:v>22</x:v>
      </x:c>
      <x:c r="H468" s="10" t="n">
        <x:f>ABS(G468-F468)</x:f>
        <x:v>2</x:v>
      </x:c>
      <x:c r="I468" s="10" t="n">
        <x:f>G468-F468</x:f>
        <x:v>-2</x:v>
      </x:c>
    </x:row>
    <x:row r="469" ht="20" customHeight="1">
      <x:c r="A469" s="1" t="str">
        <x:v>21733</x:v>
      </x:c>
      <x:c r="B469" s="10" t="n">
        <x:v>3</x:v>
      </x:c>
      <x:c r="C469" s="9" t="d">
        <x:v>2011-11-16T00:00:00.000Z</x:v>
      </x:c>
      <x:c r="D469" s="9" t="d">
        <x:v>2011-11-18T00:00:00.000Z</x:v>
      </x:c>
      <x:c r="E469" s="1" t="str">
        <x:v>naive</x:v>
      </x:c>
      <x:c r="F469" s="10" t="n">
        <x:v>81</x:v>
      </x:c>
      <x:c r="G469" s="10" t="n">
        <x:v>22</x:v>
      </x:c>
      <x:c r="H469" s="10" t="n">
        <x:f>ABS(G469-F469)</x:f>
        <x:v>59</x:v>
      </x:c>
      <x:c r="I469" s="10" t="n">
        <x:f>G469-F469</x:f>
        <x:v>-59</x:v>
      </x:c>
    </x:row>
    <x:row r="470" ht="20" customHeight="1">
      <x:c r="A470" s="1" t="str">
        <x:v>21733</x:v>
      </x:c>
      <x:c r="B470" s="10" t="n">
        <x:v>3</x:v>
      </x:c>
      <x:c r="C470" s="9" t="d">
        <x:v>2011-11-16T00:00:00.000Z</x:v>
      </x:c>
      <x:c r="D470" s="9" t="d">
        <x:v>2011-11-19T00:00:00.000Z</x:v>
      </x:c>
      <x:c r="E470" s="1" t="str">
        <x:v>naive</x:v>
      </x:c>
      <x:c r="F470" s="10" t="n">
        <x:v>0</x:v>
      </x:c>
      <x:c r="G470" s="10" t="n">
        <x:v>22</x:v>
      </x:c>
      <x:c r="H470" s="10" t="n">
        <x:f>ABS(G470-F470)</x:f>
        <x:v>22</x:v>
      </x:c>
      <x:c r="I470" s="10" t="n">
        <x:f>G470-F470</x:f>
        <x:v>22</x:v>
      </x:c>
    </x:row>
    <x:row r="471" ht="20" customHeight="1">
      <x:c r="A471" s="1" t="str">
        <x:v>21733</x:v>
      </x:c>
      <x:c r="B471" s="10" t="n">
        <x:v>3</x:v>
      </x:c>
      <x:c r="C471" s="9" t="d">
        <x:v>2011-11-16T00:00:00.000Z</x:v>
      </x:c>
      <x:c r="D471" s="9" t="d">
        <x:v>2011-11-20T00:00:00.000Z</x:v>
      </x:c>
      <x:c r="E471" s="1" t="str">
        <x:v>naive</x:v>
      </x:c>
      <x:c r="F471" s="10" t="n">
        <x:v>13</x:v>
      </x:c>
      <x:c r="G471" s="10" t="n">
        <x:v>22</x:v>
      </x:c>
      <x:c r="H471" s="10" t="n">
        <x:f>ABS(G471-F471)</x:f>
        <x:v>9</x:v>
      </x:c>
      <x:c r="I471" s="10" t="n">
        <x:f>G471-F471</x:f>
        <x:v>9</x:v>
      </x:c>
    </x:row>
    <x:row r="472" ht="20" customHeight="1">
      <x:c r="A472" s="1" t="str">
        <x:v>21733</x:v>
      </x:c>
      <x:c r="B472" s="10" t="n">
        <x:v>3</x:v>
      </x:c>
      <x:c r="C472" s="9" t="d">
        <x:v>2011-11-16T00:00:00.000Z</x:v>
      </x:c>
      <x:c r="D472" s="9" t="d">
        <x:v>2011-11-21T00:00:00.000Z</x:v>
      </x:c>
      <x:c r="E472" s="1" t="str">
        <x:v>naive</x:v>
      </x:c>
      <x:c r="F472" s="10" t="n">
        <x:v>42</x:v>
      </x:c>
      <x:c r="G472" s="10" t="n">
        <x:v>22</x:v>
      </x:c>
      <x:c r="H472" s="10" t="n">
        <x:f>ABS(G472-F472)</x:f>
        <x:v>20</x:v>
      </x:c>
      <x:c r="I472" s="10" t="n">
        <x:f>G472-F472</x:f>
        <x:v>-20</x:v>
      </x:c>
    </x:row>
    <x:row r="473" ht="20" customHeight="1">
      <x:c r="A473" s="1" t="str">
        <x:v>21733</x:v>
      </x:c>
      <x:c r="B473" s="10" t="n">
        <x:v>3</x:v>
      </x:c>
      <x:c r="C473" s="9" t="d">
        <x:v>2011-11-16T00:00:00.000Z</x:v>
      </x:c>
      <x:c r="D473" s="9" t="d">
        <x:v>2011-11-22T00:00:00.000Z</x:v>
      </x:c>
      <x:c r="E473" s="1" t="str">
        <x:v>naive</x:v>
      </x:c>
      <x:c r="F473" s="10" t="n">
        <x:v>76</x:v>
      </x:c>
      <x:c r="G473" s="10" t="n">
        <x:v>22</x:v>
      </x:c>
      <x:c r="H473" s="10" t="n">
        <x:f>ABS(G473-F473)</x:f>
        <x:v>54</x:v>
      </x:c>
      <x:c r="I473" s="10" t="n">
        <x:f>G473-F473</x:f>
        <x:v>-54</x:v>
      </x:c>
    </x:row>
    <x:row r="474" ht="20" customHeight="1">
      <x:c r="A474" s="1" t="str">
        <x:v>21733</x:v>
      </x:c>
      <x:c r="B474" s="10" t="n">
        <x:v>3</x:v>
      </x:c>
      <x:c r="C474" s="9" t="d">
        <x:v>2011-11-16T00:00:00.000Z</x:v>
      </x:c>
      <x:c r="D474" s="9" t="d">
        <x:v>2011-11-23T00:00:00.000Z</x:v>
      </x:c>
      <x:c r="E474" s="1" t="str">
        <x:v>naive</x:v>
      </x:c>
      <x:c r="F474" s="10" t="n">
        <x:v>57</x:v>
      </x:c>
      <x:c r="G474" s="10" t="n">
        <x:v>22</x:v>
      </x:c>
      <x:c r="H474" s="10" t="n">
        <x:f>ABS(G474-F474)</x:f>
        <x:v>35</x:v>
      </x:c>
      <x:c r="I474" s="10" t="n">
        <x:f>G474-F474</x:f>
        <x:v>-35</x:v>
      </x:c>
    </x:row>
    <x:row r="475" ht="20" customHeight="1">
      <x:c r="A475" s="1" t="str">
        <x:v>21733</x:v>
      </x:c>
      <x:c r="B475" s="10" t="n">
        <x:v>3</x:v>
      </x:c>
      <x:c r="C475" s="9" t="d">
        <x:v>2011-11-16T00:00:00.000Z</x:v>
      </x:c>
      <x:c r="D475" s="9" t="d">
        <x:v>2011-11-24T00:00:00.000Z</x:v>
      </x:c>
      <x:c r="E475" s="1" t="str">
        <x:v>naive</x:v>
      </x:c>
      <x:c r="F475" s="10" t="n">
        <x:v>66</x:v>
      </x:c>
      <x:c r="G475" s="10" t="n">
        <x:v>22</x:v>
      </x:c>
      <x:c r="H475" s="10" t="n">
        <x:f>ABS(G475-F475)</x:f>
        <x:v>44</x:v>
      </x:c>
      <x:c r="I475" s="10" t="n">
        <x:f>G475-F475</x:f>
        <x:v>-44</x:v>
      </x:c>
    </x:row>
    <x:row r="476" ht="20" customHeight="1">
      <x:c r="A476" s="1" t="str">
        <x:v>21733</x:v>
      </x:c>
      <x:c r="B476" s="10" t="n">
        <x:v>3</x:v>
      </x:c>
      <x:c r="C476" s="9" t="d">
        <x:v>2011-11-16T00:00:00.000Z</x:v>
      </x:c>
      <x:c r="D476" s="9" t="d">
        <x:v>2011-11-25T00:00:00.000Z</x:v>
      </x:c>
      <x:c r="E476" s="1" t="str">
        <x:v>naive</x:v>
      </x:c>
      <x:c r="F476" s="10" t="n">
        <x:v>65</x:v>
      </x:c>
      <x:c r="G476" s="10" t="n">
        <x:v>22</x:v>
      </x:c>
      <x:c r="H476" s="10" t="n">
        <x:f>ABS(G476-F476)</x:f>
        <x:v>43</x:v>
      </x:c>
      <x:c r="I476" s="10" t="n">
        <x:f>G476-F476</x:f>
        <x:v>-43</x:v>
      </x:c>
    </x:row>
    <x:row r="477" ht="20" customHeight="1">
      <x:c r="A477" s="1" t="str">
        <x:v>21733</x:v>
      </x:c>
      <x:c r="B477" s="10" t="n">
        <x:v>3</x:v>
      </x:c>
      <x:c r="C477" s="9" t="d">
        <x:v>2011-11-16T00:00:00.000Z</x:v>
      </x:c>
      <x:c r="D477" s="9" t="d">
        <x:v>2011-11-26T00:00:00.000Z</x:v>
      </x:c>
      <x:c r="E477" s="1" t="str">
        <x:v>naive</x:v>
      </x:c>
      <x:c r="F477" s="10" t="n">
        <x:v>0</x:v>
      </x:c>
      <x:c r="G477" s="10" t="n">
        <x:v>22</x:v>
      </x:c>
      <x:c r="H477" s="10" t="n">
        <x:f>ABS(G477-F477)</x:f>
        <x:v>22</x:v>
      </x:c>
      <x:c r="I477" s="10" t="n">
        <x:f>G477-F477</x:f>
        <x:v>22</x:v>
      </x:c>
    </x:row>
    <x:row r="478" ht="20" customHeight="1">
      <x:c r="A478" s="1" t="str">
        <x:v>21733</x:v>
      </x:c>
      <x:c r="B478" s="10" t="n">
        <x:v>3</x:v>
      </x:c>
      <x:c r="C478" s="9" t="d">
        <x:v>2011-11-16T00:00:00.000Z</x:v>
      </x:c>
      <x:c r="D478" s="9" t="d">
        <x:v>2011-11-27T00:00:00.000Z</x:v>
      </x:c>
      <x:c r="E478" s="1" t="str">
        <x:v>naive</x:v>
      </x:c>
      <x:c r="F478" s="10" t="n">
        <x:v>12</x:v>
      </x:c>
      <x:c r="G478" s="10" t="n">
        <x:v>22</x:v>
      </x:c>
      <x:c r="H478" s="10" t="n">
        <x:f>ABS(G478-F478)</x:f>
        <x:v>10</x:v>
      </x:c>
      <x:c r="I478" s="10" t="n">
        <x:f>G478-F478</x:f>
        <x:v>10</x:v>
      </x:c>
    </x:row>
    <x:row r="479" ht="20" customHeight="1">
      <x:c r="A479" s="1" t="str">
        <x:v>21733</x:v>
      </x:c>
      <x:c r="B479" s="10" t="n">
        <x:v>3</x:v>
      </x:c>
      <x:c r="C479" s="9" t="d">
        <x:v>2011-11-16T00:00:00.000Z</x:v>
      </x:c>
      <x:c r="D479" s="9" t="d">
        <x:v>2011-11-28T00:00:00.000Z</x:v>
      </x:c>
      <x:c r="E479" s="1" t="str">
        <x:v>naive</x:v>
      </x:c>
      <x:c r="F479" s="10" t="n">
        <x:v>65</x:v>
      </x:c>
      <x:c r="G479" s="10" t="n">
        <x:v>22</x:v>
      </x:c>
      <x:c r="H479" s="10" t="n">
        <x:f>ABS(G479-F479)</x:f>
        <x:v>43</x:v>
      </x:c>
      <x:c r="I479" s="10" t="n">
        <x:f>G479-F479</x:f>
        <x:v>-43</x:v>
      </x:c>
    </x:row>
    <x:row r="480" ht="20" customHeight="1">
      <x:c r="A480" s="1" t="str">
        <x:v>21733</x:v>
      </x:c>
      <x:c r="B480" s="10" t="n">
        <x:v>3</x:v>
      </x:c>
      <x:c r="C480" s="9" t="d">
        <x:v>2011-11-16T00:00:00.000Z</x:v>
      </x:c>
      <x:c r="D480" s="9" t="d">
        <x:v>2011-11-29T00:00:00.000Z</x:v>
      </x:c>
      <x:c r="E480" s="1" t="str">
        <x:v>naive</x:v>
      </x:c>
      <x:c r="F480" s="10" t="n">
        <x:v>19</x:v>
      </x:c>
      <x:c r="G480" s="10" t="n">
        <x:v>22</x:v>
      </x:c>
      <x:c r="H480" s="10" t="n">
        <x:f>ABS(G480-F480)</x:f>
        <x:v>3</x:v>
      </x:c>
      <x:c r="I480" s="10" t="n">
        <x:f>G480-F480</x:f>
        <x:v>3</x:v>
      </x:c>
    </x:row>
    <x:row r="481" ht="20" customHeight="1">
      <x:c r="A481" s="1" t="str">
        <x:v>21733</x:v>
      </x:c>
      <x:c r="B481" s="10" t="n">
        <x:v>3</x:v>
      </x:c>
      <x:c r="C481" s="9" t="d">
        <x:v>2011-11-16T00:00:00.000Z</x:v>
      </x:c>
      <x:c r="D481" s="9" t="d">
        <x:v>2011-11-30T00:00:00.000Z</x:v>
      </x:c>
      <x:c r="E481" s="1" t="str">
        <x:v>naive</x:v>
      </x:c>
      <x:c r="F481" s="10" t="n">
        <x:v>135</x:v>
      </x:c>
      <x:c r="G481" s="10" t="n">
        <x:v>22</x:v>
      </x:c>
      <x:c r="H481" s="10" t="n">
        <x:f>ABS(G481-F481)</x:f>
        <x:v>113</x:v>
      </x:c>
      <x:c r="I481" s="10" t="n">
        <x:f>G481-F481</x:f>
        <x:v>-113</x:v>
      </x:c>
    </x:row>
    <x:row r="482" ht="20" customHeight="1">
      <x:c r="A482" s="1" t="str">
        <x:v>21733</x:v>
      </x:c>
      <x:c r="B482" s="10" t="n">
        <x:v>3</x:v>
      </x:c>
      <x:c r="C482" s="9" t="d">
        <x:v>2011-11-16T00:00:00.000Z</x:v>
      </x:c>
      <x:c r="D482" s="9" t="d">
        <x:v>2011-11-17T00:00:00.000Z</x:v>
      </x:c>
      <x:c r="E482" s="1" t="str">
        <x:v>seasonal_naive</x:v>
      </x:c>
      <x:c r="F482" s="10" t="n">
        <x:v>24</x:v>
      </x:c>
      <x:c r="G482" s="10" t="n">
        <x:v>11</x:v>
      </x:c>
      <x:c r="H482" s="10" t="n">
        <x:f>ABS(G482-F482)</x:f>
        <x:v>13</x:v>
      </x:c>
      <x:c r="I482" s="10" t="n">
        <x:f>G482-F482</x:f>
        <x:v>-13</x:v>
      </x:c>
    </x:row>
    <x:row r="483" ht="20" customHeight="1">
      <x:c r="A483" s="1" t="str">
        <x:v>21733</x:v>
      </x:c>
      <x:c r="B483" s="10" t="n">
        <x:v>3</x:v>
      </x:c>
      <x:c r="C483" s="9" t="d">
        <x:v>2011-11-16T00:00:00.000Z</x:v>
      </x:c>
      <x:c r="D483" s="9" t="d">
        <x:v>2011-11-18T00:00:00.000Z</x:v>
      </x:c>
      <x:c r="E483" s="1" t="str">
        <x:v>seasonal_naive</x:v>
      </x:c>
      <x:c r="F483" s="10" t="n">
        <x:v>81</x:v>
      </x:c>
      <x:c r="G483" s="10" t="n">
        <x:v>53</x:v>
      </x:c>
      <x:c r="H483" s="10" t="n">
        <x:f>ABS(G483-F483)</x:f>
        <x:v>28</x:v>
      </x:c>
      <x:c r="I483" s="10" t="n">
        <x:f>G483-F483</x:f>
        <x:v>-28</x:v>
      </x:c>
    </x:row>
    <x:row r="484" ht="20" customHeight="1">
      <x:c r="A484" s="1" t="str">
        <x:v>21733</x:v>
      </x:c>
      <x:c r="B484" s="10" t="n">
        <x:v>3</x:v>
      </x:c>
      <x:c r="C484" s="9" t="d">
        <x:v>2011-11-16T00:00:00.000Z</x:v>
      </x:c>
      <x:c r="D484" s="9" t="d">
        <x:v>2011-11-19T00:00:00.000Z</x:v>
      </x:c>
      <x:c r="E484" s="1" t="str">
        <x:v>seasonal_naive</x:v>
      </x:c>
      <x:c r="F484" s="10" t="n">
        <x:v>0</x:v>
      </x:c>
      <x:c r="G484" s="10" t="n">
        <x:v>0</x:v>
      </x:c>
      <x:c r="H484" s="10" t="n">
        <x:f>ABS(G484-F484)</x:f>
        <x:v>0</x:v>
      </x:c>
      <x:c r="I484" s="10" t="n">
        <x:f>G484-F484</x:f>
        <x:v>0</x:v>
      </x:c>
    </x:row>
    <x:row r="485" ht="20" customHeight="1">
      <x:c r="A485" s="1" t="str">
        <x:v>21733</x:v>
      </x:c>
      <x:c r="B485" s="10" t="n">
        <x:v>3</x:v>
      </x:c>
      <x:c r="C485" s="9" t="d">
        <x:v>2011-11-16T00:00:00.000Z</x:v>
      </x:c>
      <x:c r="D485" s="9" t="d">
        <x:v>2011-11-20T00:00:00.000Z</x:v>
      </x:c>
      <x:c r="E485" s="1" t="str">
        <x:v>seasonal_naive</x:v>
      </x:c>
      <x:c r="F485" s="10" t="n">
        <x:v>13</x:v>
      </x:c>
      <x:c r="G485" s="10" t="n">
        <x:v>56</x:v>
      </x:c>
      <x:c r="H485" s="10" t="n">
        <x:f>ABS(G485-F485)</x:f>
        <x:v>43</x:v>
      </x:c>
      <x:c r="I485" s="10" t="n">
        <x:f>G485-F485</x:f>
        <x:v>43</x:v>
      </x:c>
    </x:row>
    <x:row r="486" ht="20" customHeight="1">
      <x:c r="A486" s="1" t="str">
        <x:v>21733</x:v>
      </x:c>
      <x:c r="B486" s="10" t="n">
        <x:v>3</x:v>
      </x:c>
      <x:c r="C486" s="9" t="d">
        <x:v>2011-11-16T00:00:00.000Z</x:v>
      </x:c>
      <x:c r="D486" s="9" t="d">
        <x:v>2011-11-21T00:00:00.000Z</x:v>
      </x:c>
      <x:c r="E486" s="1" t="str">
        <x:v>seasonal_naive</x:v>
      </x:c>
      <x:c r="F486" s="10" t="n">
        <x:v>42</x:v>
      </x:c>
      <x:c r="G486" s="10" t="n">
        <x:v>8</x:v>
      </x:c>
      <x:c r="H486" s="10" t="n">
        <x:f>ABS(G486-F486)</x:f>
        <x:v>34</x:v>
      </x:c>
      <x:c r="I486" s="10" t="n">
        <x:f>G486-F486</x:f>
        <x:v>-34</x:v>
      </x:c>
    </x:row>
    <x:row r="487" ht="20" customHeight="1">
      <x:c r="A487" s="1" t="str">
        <x:v>21733</x:v>
      </x:c>
      <x:c r="B487" s="10" t="n">
        <x:v>3</x:v>
      </x:c>
      <x:c r="C487" s="9" t="d">
        <x:v>2011-11-16T00:00:00.000Z</x:v>
      </x:c>
      <x:c r="D487" s="9" t="d">
        <x:v>2011-11-22T00:00:00.000Z</x:v>
      </x:c>
      <x:c r="E487" s="1" t="str">
        <x:v>seasonal_naive</x:v>
      </x:c>
      <x:c r="F487" s="10" t="n">
        <x:v>76</x:v>
      </x:c>
      <x:c r="G487" s="10" t="n">
        <x:v>16</x:v>
      </x:c>
      <x:c r="H487" s="10" t="n">
        <x:f>ABS(G487-F487)</x:f>
        <x:v>60</x:v>
      </x:c>
      <x:c r="I487" s="10" t="n">
        <x:f>G487-F487</x:f>
        <x:v>-60</x:v>
      </x:c>
    </x:row>
    <x:row r="488" ht="20" customHeight="1">
      <x:c r="A488" s="1" t="str">
        <x:v>21733</x:v>
      </x:c>
      <x:c r="B488" s="10" t="n">
        <x:v>3</x:v>
      </x:c>
      <x:c r="C488" s="9" t="d">
        <x:v>2011-11-16T00:00:00.000Z</x:v>
      </x:c>
      <x:c r="D488" s="9" t="d">
        <x:v>2011-11-23T00:00:00.000Z</x:v>
      </x:c>
      <x:c r="E488" s="1" t="str">
        <x:v>seasonal_naive</x:v>
      </x:c>
      <x:c r="F488" s="10" t="n">
        <x:v>57</x:v>
      </x:c>
      <x:c r="G488" s="10" t="n">
        <x:v>22</x:v>
      </x:c>
      <x:c r="H488" s="10" t="n">
        <x:f>ABS(G488-F488)</x:f>
        <x:v>35</x:v>
      </x:c>
      <x:c r="I488" s="10" t="n">
        <x:f>G488-F488</x:f>
        <x:v>-35</x:v>
      </x:c>
    </x:row>
    <x:row r="489" ht="20" customHeight="1">
      <x:c r="A489" s="1" t="str">
        <x:v>21733</x:v>
      </x:c>
      <x:c r="B489" s="10" t="n">
        <x:v>3</x:v>
      </x:c>
      <x:c r="C489" s="9" t="d">
        <x:v>2011-11-16T00:00:00.000Z</x:v>
      </x:c>
      <x:c r="D489" s="9" t="d">
        <x:v>2011-11-24T00:00:00.000Z</x:v>
      </x:c>
      <x:c r="E489" s="1" t="str">
        <x:v>seasonal_naive</x:v>
      </x:c>
      <x:c r="F489" s="10" t="n">
        <x:v>66</x:v>
      </x:c>
      <x:c r="G489" s="10" t="n">
        <x:v>11</x:v>
      </x:c>
      <x:c r="H489" s="10" t="n">
        <x:f>ABS(G489-F489)</x:f>
        <x:v>55</x:v>
      </x:c>
      <x:c r="I489" s="10" t="n">
        <x:f>G489-F489</x:f>
        <x:v>-55</x:v>
      </x:c>
    </x:row>
    <x:row r="490" ht="20" customHeight="1">
      <x:c r="A490" s="1" t="str">
        <x:v>21733</x:v>
      </x:c>
      <x:c r="B490" s="10" t="n">
        <x:v>3</x:v>
      </x:c>
      <x:c r="C490" s="9" t="d">
        <x:v>2011-11-16T00:00:00.000Z</x:v>
      </x:c>
      <x:c r="D490" s="9" t="d">
        <x:v>2011-11-25T00:00:00.000Z</x:v>
      </x:c>
      <x:c r="E490" s="1" t="str">
        <x:v>seasonal_naive</x:v>
      </x:c>
      <x:c r="F490" s="10" t="n">
        <x:v>65</x:v>
      </x:c>
      <x:c r="G490" s="10" t="n">
        <x:v>53</x:v>
      </x:c>
      <x:c r="H490" s="10" t="n">
        <x:f>ABS(G490-F490)</x:f>
        <x:v>12</x:v>
      </x:c>
      <x:c r="I490" s="10" t="n">
        <x:f>G490-F490</x:f>
        <x:v>-12</x:v>
      </x:c>
    </x:row>
    <x:row r="491" ht="20" customHeight="1">
      <x:c r="A491" s="1" t="str">
        <x:v>21733</x:v>
      </x:c>
      <x:c r="B491" s="10" t="n">
        <x:v>3</x:v>
      </x:c>
      <x:c r="C491" s="9" t="d">
        <x:v>2011-11-16T00:00:00.000Z</x:v>
      </x:c>
      <x:c r="D491" s="9" t="d">
        <x:v>2011-11-26T00:00:00.000Z</x:v>
      </x:c>
      <x:c r="E491" s="1" t="str">
        <x:v>seasonal_naive</x:v>
      </x:c>
      <x:c r="F491" s="10" t="n">
        <x:v>0</x:v>
      </x:c>
      <x:c r="G491" s="10" t="n">
        <x:v>0</x:v>
      </x:c>
      <x:c r="H491" s="10" t="n">
        <x:f>ABS(G491-F491)</x:f>
        <x:v>0</x:v>
      </x:c>
      <x:c r="I491" s="10" t="n">
        <x:f>G491-F491</x:f>
        <x:v>0</x:v>
      </x:c>
    </x:row>
    <x:row r="492" ht="20" customHeight="1">
      <x:c r="A492" s="1" t="str">
        <x:v>21733</x:v>
      </x:c>
      <x:c r="B492" s="10" t="n">
        <x:v>3</x:v>
      </x:c>
      <x:c r="C492" s="9" t="d">
        <x:v>2011-11-16T00:00:00.000Z</x:v>
      </x:c>
      <x:c r="D492" s="9" t="d">
        <x:v>2011-11-27T00:00:00.000Z</x:v>
      </x:c>
      <x:c r="E492" s="1" t="str">
        <x:v>seasonal_naive</x:v>
      </x:c>
      <x:c r="F492" s="10" t="n">
        <x:v>12</x:v>
      </x:c>
      <x:c r="G492" s="10" t="n">
        <x:v>56</x:v>
      </x:c>
      <x:c r="H492" s="10" t="n">
        <x:f>ABS(G492-F492)</x:f>
        <x:v>44</x:v>
      </x:c>
      <x:c r="I492" s="10" t="n">
        <x:f>G492-F492</x:f>
        <x:v>44</x:v>
      </x:c>
    </x:row>
    <x:row r="493" ht="20" customHeight="1">
      <x:c r="A493" s="1" t="str">
        <x:v>21733</x:v>
      </x:c>
      <x:c r="B493" s="10" t="n">
        <x:v>3</x:v>
      </x:c>
      <x:c r="C493" s="9" t="d">
        <x:v>2011-11-16T00:00:00.000Z</x:v>
      </x:c>
      <x:c r="D493" s="9" t="d">
        <x:v>2011-11-28T00:00:00.000Z</x:v>
      </x:c>
      <x:c r="E493" s="1" t="str">
        <x:v>seasonal_naive</x:v>
      </x:c>
      <x:c r="F493" s="10" t="n">
        <x:v>65</x:v>
      </x:c>
      <x:c r="G493" s="10" t="n">
        <x:v>8</x:v>
      </x:c>
      <x:c r="H493" s="10" t="n">
        <x:f>ABS(G493-F493)</x:f>
        <x:v>57</x:v>
      </x:c>
      <x:c r="I493" s="10" t="n">
        <x:f>G493-F493</x:f>
        <x:v>-57</x:v>
      </x:c>
    </x:row>
    <x:row r="494" ht="20" customHeight="1">
      <x:c r="A494" s="1" t="str">
        <x:v>21733</x:v>
      </x:c>
      <x:c r="B494" s="10" t="n">
        <x:v>3</x:v>
      </x:c>
      <x:c r="C494" s="9" t="d">
        <x:v>2011-11-16T00:00:00.000Z</x:v>
      </x:c>
      <x:c r="D494" s="9" t="d">
        <x:v>2011-11-29T00:00:00.000Z</x:v>
      </x:c>
      <x:c r="E494" s="1" t="str">
        <x:v>seasonal_naive</x:v>
      </x:c>
      <x:c r="F494" s="10" t="n">
        <x:v>19</x:v>
      </x:c>
      <x:c r="G494" s="10" t="n">
        <x:v>16</x:v>
      </x:c>
      <x:c r="H494" s="10" t="n">
        <x:f>ABS(G494-F494)</x:f>
        <x:v>3</x:v>
      </x:c>
      <x:c r="I494" s="10" t="n">
        <x:f>G494-F494</x:f>
        <x:v>-3</x:v>
      </x:c>
    </x:row>
    <x:row r="495" ht="20" customHeight="1">
      <x:c r="A495" s="1" t="str">
        <x:v>21733</x:v>
      </x:c>
      <x:c r="B495" s="10" t="n">
        <x:v>3</x:v>
      </x:c>
      <x:c r="C495" s="9" t="d">
        <x:v>2011-11-16T00:00:00.000Z</x:v>
      </x:c>
      <x:c r="D495" s="9" t="d">
        <x:v>2011-11-30T00:00:00.000Z</x:v>
      </x:c>
      <x:c r="E495" s="1" t="str">
        <x:v>seasonal_naive</x:v>
      </x:c>
      <x:c r="F495" s="10" t="n">
        <x:v>135</x:v>
      </x:c>
      <x:c r="G495" s="10" t="n">
        <x:v>22</x:v>
      </x:c>
      <x:c r="H495" s="10" t="n">
        <x:f>ABS(G495-F495)</x:f>
        <x:v>113</x:v>
      </x:c>
      <x:c r="I495" s="10" t="n">
        <x:f>G495-F495</x:f>
        <x:v>-113</x:v>
      </x:c>
    </x:row>
    <x:row r="496" ht="20" customHeight="1">
      <x:c r="A496" s="1" t="str">
        <x:v>21733</x:v>
      </x:c>
      <x:c r="B496" s="10" t="n">
        <x:v>3</x:v>
      </x:c>
      <x:c r="C496" s="9" t="d">
        <x:v>2011-11-16T00:00:00.000Z</x:v>
      </x:c>
      <x:c r="D496" s="9" t="d">
        <x:v>2011-11-17T00:00:00.000Z</x:v>
      </x:c>
      <x:c r="E496" s="1" t="str">
        <x:v>ridge</x:v>
      </x:c>
      <x:c r="F496" s="10" t="n">
        <x:v>24</x:v>
      </x:c>
      <x:c r="G496" s="10" t="n">
        <x:v>13.7220947528</x:v>
      </x:c>
      <x:c r="H496" s="10" t="n">
        <x:f>ABS(G496-F496)</x:f>
        <x:v>10.2779052472</x:v>
      </x:c>
      <x:c r="I496" s="10" t="n">
        <x:f>G496-F496</x:f>
        <x:v>-10.2779052472</x:v>
      </x:c>
    </x:row>
    <x:row r="497" ht="20" customHeight="1">
      <x:c r="A497" s="1" t="str">
        <x:v>21733</x:v>
      </x:c>
      <x:c r="B497" s="10" t="n">
        <x:v>3</x:v>
      </x:c>
      <x:c r="C497" s="9" t="d">
        <x:v>2011-11-16T00:00:00.000Z</x:v>
      </x:c>
      <x:c r="D497" s="9" t="d">
        <x:v>2011-11-18T00:00:00.000Z</x:v>
      </x:c>
      <x:c r="E497" s="1" t="str">
        <x:v>ridge</x:v>
      </x:c>
      <x:c r="F497" s="10" t="n">
        <x:v>81</x:v>
      </x:c>
      <x:c r="G497" s="10" t="n">
        <x:v>13.0335020822</x:v>
      </x:c>
      <x:c r="H497" s="10" t="n">
        <x:f>ABS(G497-F497)</x:f>
        <x:v>67.9664979178</x:v>
      </x:c>
      <x:c r="I497" s="10" t="n">
        <x:f>G497-F497</x:f>
        <x:v>-67.9664979178</x:v>
      </x:c>
    </x:row>
    <x:row r="498" ht="20" customHeight="1">
      <x:c r="A498" s="1" t="str">
        <x:v>21733</x:v>
      </x:c>
      <x:c r="B498" s="10" t="n">
        <x:v>3</x:v>
      </x:c>
      <x:c r="C498" s="9" t="d">
        <x:v>2011-11-16T00:00:00.000Z</x:v>
      </x:c>
      <x:c r="D498" s="9" t="d">
        <x:v>2011-11-19T00:00:00.000Z</x:v>
      </x:c>
      <x:c r="E498" s="1" t="str">
        <x:v>ridge</x:v>
      </x:c>
      <x:c r="F498" s="10" t="n">
        <x:v>0</x:v>
      </x:c>
      <x:c r="G498" s="10" t="n">
        <x:v>8.2347267698</x:v>
      </x:c>
      <x:c r="H498" s="10" t="n">
        <x:f>ABS(G498-F498)</x:f>
        <x:v>8.2347267698</x:v>
      </x:c>
      <x:c r="I498" s="10" t="n">
        <x:f>G498-F498</x:f>
        <x:v>8.2347267698</x:v>
      </x:c>
    </x:row>
    <x:row r="499" ht="20" customHeight="1">
      <x:c r="A499" s="1" t="str">
        <x:v>21733</x:v>
      </x:c>
      <x:c r="B499" s="10" t="n">
        <x:v>3</x:v>
      </x:c>
      <x:c r="C499" s="9" t="d">
        <x:v>2011-11-16T00:00:00.000Z</x:v>
      </x:c>
      <x:c r="D499" s="9" t="d">
        <x:v>2011-11-20T00:00:00.000Z</x:v>
      </x:c>
      <x:c r="E499" s="1" t="str">
        <x:v>ridge</x:v>
      </x:c>
      <x:c r="F499" s="10" t="n">
        <x:v>13</x:v>
      </x:c>
      <x:c r="G499" s="10" t="n">
        <x:v>9.2931045853</x:v>
      </x:c>
      <x:c r="H499" s="10" t="n">
        <x:f>ABS(G499-F499)</x:f>
        <x:v>3.7068954147</x:v>
      </x:c>
      <x:c r="I499" s="10" t="n">
        <x:f>G499-F499</x:f>
        <x:v>-3.7068954147</x:v>
      </x:c>
    </x:row>
    <x:row r="500" ht="20" customHeight="1">
      <x:c r="A500" s="1" t="str">
        <x:v>21733</x:v>
      </x:c>
      <x:c r="B500" s="10" t="n">
        <x:v>3</x:v>
      </x:c>
      <x:c r="C500" s="9" t="d">
        <x:v>2011-11-16T00:00:00.000Z</x:v>
      </x:c>
      <x:c r="D500" s="9" t="d">
        <x:v>2011-11-21T00:00:00.000Z</x:v>
      </x:c>
      <x:c r="E500" s="1" t="str">
        <x:v>ridge</x:v>
      </x:c>
      <x:c r="F500" s="10" t="n">
        <x:v>42</x:v>
      </x:c>
      <x:c r="G500" s="10" t="n">
        <x:v>20.423115652</x:v>
      </x:c>
      <x:c r="H500" s="10" t="n">
        <x:f>ABS(G500-F500)</x:f>
        <x:v>21.576884348</x:v>
      </x:c>
      <x:c r="I500" s="10" t="n">
        <x:f>G500-F500</x:f>
        <x:v>-21.576884348</x:v>
      </x:c>
    </x:row>
    <x:row r="501" ht="20" customHeight="1">
      <x:c r="A501" s="1" t="str">
        <x:v>21733</x:v>
      </x:c>
      <x:c r="B501" s="10" t="n">
        <x:v>3</x:v>
      </x:c>
      <x:c r="C501" s="9" t="d">
        <x:v>2011-11-16T00:00:00.000Z</x:v>
      </x:c>
      <x:c r="D501" s="9" t="d">
        <x:v>2011-11-22T00:00:00.000Z</x:v>
      </x:c>
      <x:c r="E501" s="1" t="str">
        <x:v>ridge</x:v>
      </x:c>
      <x:c r="F501" s="10" t="n">
        <x:v>76</x:v>
      </x:c>
      <x:c r="G501" s="10" t="n">
        <x:v>31.7406727934</x:v>
      </x:c>
      <x:c r="H501" s="10" t="n">
        <x:f>ABS(G501-F501)</x:f>
        <x:v>44.2593272066</x:v>
      </x:c>
      <x:c r="I501" s="10" t="n">
        <x:f>G501-F501</x:f>
        <x:v>-44.2593272066</x:v>
      </x:c>
    </x:row>
    <x:row r="502" ht="20" customHeight="1">
      <x:c r="A502" s="1" t="str">
        <x:v>21733</x:v>
      </x:c>
      <x:c r="B502" s="10" t="n">
        <x:v>3</x:v>
      </x:c>
      <x:c r="C502" s="9" t="d">
        <x:v>2011-11-16T00:00:00.000Z</x:v>
      </x:c>
      <x:c r="D502" s="9" t="d">
        <x:v>2011-11-23T00:00:00.000Z</x:v>
      </x:c>
      <x:c r="E502" s="1" t="str">
        <x:v>ridge</x:v>
      </x:c>
      <x:c r="F502" s="10" t="n">
        <x:v>57</x:v>
      </x:c>
      <x:c r="G502" s="10" t="n">
        <x:v>34.7561295637</x:v>
      </x:c>
      <x:c r="H502" s="10" t="n">
        <x:f>ABS(G502-F502)</x:f>
        <x:v>22.2438704363</x:v>
      </x:c>
      <x:c r="I502" s="10" t="n">
        <x:f>G502-F502</x:f>
        <x:v>-22.2438704363</x:v>
      </x:c>
    </x:row>
    <x:row r="503" ht="20" customHeight="1">
      <x:c r="A503" s="1" t="str">
        <x:v>21733</x:v>
      </x:c>
      <x:c r="B503" s="10" t="n">
        <x:v>3</x:v>
      </x:c>
      <x:c r="C503" s="9" t="d">
        <x:v>2011-11-16T00:00:00.000Z</x:v>
      </x:c>
      <x:c r="D503" s="9" t="d">
        <x:v>2011-11-24T00:00:00.000Z</x:v>
      </x:c>
      <x:c r="E503" s="1" t="str">
        <x:v>ridge</x:v>
      </x:c>
      <x:c r="F503" s="10" t="n">
        <x:v>66</x:v>
      </x:c>
      <x:c r="G503" s="10" t="n">
        <x:v>27.4368806445</x:v>
      </x:c>
      <x:c r="H503" s="10" t="n">
        <x:f>ABS(G503-F503)</x:f>
        <x:v>38.5631193555</x:v>
      </x:c>
      <x:c r="I503" s="10" t="n">
        <x:f>G503-F503</x:f>
        <x:v>-38.5631193555</x:v>
      </x:c>
    </x:row>
    <x:row r="504" ht="20" customHeight="1">
      <x:c r="A504" s="1" t="str">
        <x:v>21733</x:v>
      </x:c>
      <x:c r="B504" s="10" t="n">
        <x:v>3</x:v>
      </x:c>
      <x:c r="C504" s="9" t="d">
        <x:v>2011-11-16T00:00:00.000Z</x:v>
      </x:c>
      <x:c r="D504" s="9" t="d">
        <x:v>2011-11-25T00:00:00.000Z</x:v>
      </x:c>
      <x:c r="E504" s="1" t="str">
        <x:v>ridge</x:v>
      </x:c>
      <x:c r="F504" s="10" t="n">
        <x:v>65</x:v>
      </x:c>
      <x:c r="G504" s="10" t="n">
        <x:v>14.2415225607</x:v>
      </x:c>
      <x:c r="H504" s="10" t="n">
        <x:f>ABS(G504-F504)</x:f>
        <x:v>50.7584774393</x:v>
      </x:c>
      <x:c r="I504" s="10" t="n">
        <x:f>G504-F504</x:f>
        <x:v>-50.7584774393</x:v>
      </x:c>
    </x:row>
    <x:row r="505" ht="20" customHeight="1">
      <x:c r="A505" s="1" t="str">
        <x:v>21733</x:v>
      </x:c>
      <x:c r="B505" s="10" t="n">
        <x:v>3</x:v>
      </x:c>
      <x:c r="C505" s="9" t="d">
        <x:v>2011-11-16T00:00:00.000Z</x:v>
      </x:c>
      <x:c r="D505" s="9" t="d">
        <x:v>2011-11-26T00:00:00.000Z</x:v>
      </x:c>
      <x:c r="E505" s="1" t="str">
        <x:v>ridge</x:v>
      </x:c>
      <x:c r="F505" s="10" t="n">
        <x:v>0</x:v>
      </x:c>
      <x:c r="G505" s="10" t="n">
        <x:v>8.1884915877</x:v>
      </x:c>
      <x:c r="H505" s="10" t="n">
        <x:f>ABS(G505-F505)</x:f>
        <x:v>8.1884915877</x:v>
      </x:c>
      <x:c r="I505" s="10" t="n">
        <x:f>G505-F505</x:f>
        <x:v>8.1884915877</x:v>
      </x:c>
    </x:row>
    <x:row r="506" ht="20" customHeight="1">
      <x:c r="A506" s="1" t="str">
        <x:v>21733</x:v>
      </x:c>
      <x:c r="B506" s="10" t="n">
        <x:v>3</x:v>
      </x:c>
      <x:c r="C506" s="9" t="d">
        <x:v>2011-11-16T00:00:00.000Z</x:v>
      </x:c>
      <x:c r="D506" s="9" t="d">
        <x:v>2011-11-27T00:00:00.000Z</x:v>
      </x:c>
      <x:c r="E506" s="1" t="str">
        <x:v>ridge</x:v>
      </x:c>
      <x:c r="F506" s="10" t="n">
        <x:v>12</x:v>
      </x:c>
      <x:c r="G506" s="10" t="n">
        <x:v>9.4248452653</x:v>
      </x:c>
      <x:c r="H506" s="10" t="n">
        <x:f>ABS(G506-F506)</x:f>
        <x:v>2.5751547347</x:v>
      </x:c>
      <x:c r="I506" s="10" t="n">
        <x:f>G506-F506</x:f>
        <x:v>-2.5751547347</x:v>
      </x:c>
    </x:row>
    <x:row r="507" ht="20" customHeight="1">
      <x:c r="A507" s="1" t="str">
        <x:v>21733</x:v>
      </x:c>
      <x:c r="B507" s="10" t="n">
        <x:v>3</x:v>
      </x:c>
      <x:c r="C507" s="9" t="d">
        <x:v>2011-11-16T00:00:00.000Z</x:v>
      </x:c>
      <x:c r="D507" s="9" t="d">
        <x:v>2011-11-28T00:00:00.000Z</x:v>
      </x:c>
      <x:c r="E507" s="1" t="str">
        <x:v>ridge</x:v>
      </x:c>
      <x:c r="F507" s="10" t="n">
        <x:v>65</x:v>
      </x:c>
      <x:c r="G507" s="10" t="n">
        <x:v>21.4680710738</x:v>
      </x:c>
      <x:c r="H507" s="10" t="n">
        <x:f>ABS(G507-F507)</x:f>
        <x:v>43.531928926199996</x:v>
      </x:c>
      <x:c r="I507" s="10" t="n">
        <x:f>G507-F507</x:f>
        <x:v>-43.531928926199996</x:v>
      </x:c>
    </x:row>
    <x:row r="508" ht="20" customHeight="1">
      <x:c r="A508" s="1" t="str">
        <x:v>21733</x:v>
      </x:c>
      <x:c r="B508" s="10" t="n">
        <x:v>3</x:v>
      </x:c>
      <x:c r="C508" s="9" t="d">
        <x:v>2011-11-16T00:00:00.000Z</x:v>
      </x:c>
      <x:c r="D508" s="9" t="d">
        <x:v>2011-11-29T00:00:00.000Z</x:v>
      </x:c>
      <x:c r="E508" s="1" t="str">
        <x:v>ridge</x:v>
      </x:c>
      <x:c r="F508" s="10" t="n">
        <x:v>19</x:v>
      </x:c>
      <x:c r="G508" s="10" t="n">
        <x:v>32.0348318753</x:v>
      </x:c>
      <x:c r="H508" s="10" t="n">
        <x:f>ABS(G508-F508)</x:f>
        <x:v>13.0348318753</x:v>
      </x:c>
      <x:c r="I508" s="10" t="n">
        <x:f>G508-F508</x:f>
        <x:v>13.0348318753</x:v>
      </x:c>
    </x:row>
    <x:row r="509" ht="20" customHeight="1">
      <x:c r="A509" s="1" t="str">
        <x:v>21733</x:v>
      </x:c>
      <x:c r="B509" s="10" t="n">
        <x:v>3</x:v>
      </x:c>
      <x:c r="C509" s="9" t="d">
        <x:v>2011-11-16T00:00:00.000Z</x:v>
      </x:c>
      <x:c r="D509" s="9" t="d">
        <x:v>2011-11-30T00:00:00.000Z</x:v>
      </x:c>
      <x:c r="E509" s="1" t="str">
        <x:v>ridge</x:v>
      </x:c>
      <x:c r="F509" s="10" t="n">
        <x:v>135</x:v>
      </x:c>
      <x:c r="G509" s="10" t="n">
        <x:v>34.5831679695</x:v>
      </x:c>
      <x:c r="H509" s="10" t="n">
        <x:f>ABS(G509-F509)</x:f>
        <x:v>100.41683203049999</x:v>
      </x:c>
      <x:c r="I509" s="10" t="n">
        <x:f>G509-F509</x:f>
        <x:v>-100.41683203049999</x:v>
      </x:c>
    </x:row>
    <x:row r="510" ht="20" customHeight="1">
      <x:c r="A510" s="1" t="str">
        <x:v>21754</x:v>
      </x:c>
      <x:c r="B510" s="10" t="n">
        <x:v>1</x:v>
      </x:c>
      <x:c r="C510" s="9" t="d">
        <x:v>2011-10-19T00:00:00.000Z</x:v>
      </x:c>
      <x:c r="D510" s="9" t="d">
        <x:v>2011-10-20T00:00:00.000Z</x:v>
      </x:c>
      <x:c r="E510" s="1" t="str">
        <x:v>naive</x:v>
      </x:c>
      <x:c r="F510" s="10" t="n">
        <x:v>4</x:v>
      </x:c>
      <x:c r="G510" s="10" t="n">
        <x:v>8</x:v>
      </x:c>
      <x:c r="H510" s="10" t="n">
        <x:f>ABS(G510-F510)</x:f>
        <x:v>4</x:v>
      </x:c>
      <x:c r="I510" s="10" t="n">
        <x:f>G510-F510</x:f>
        <x:v>4</x:v>
      </x:c>
    </x:row>
    <x:row r="511" ht="20" customHeight="1">
      <x:c r="A511" s="1" t="str">
        <x:v>21754</x:v>
      </x:c>
      <x:c r="B511" s="10" t="n">
        <x:v>1</x:v>
      </x:c>
      <x:c r="C511" s="9" t="d">
        <x:v>2011-10-19T00:00:00.000Z</x:v>
      </x:c>
      <x:c r="D511" s="9" t="d">
        <x:v>2011-10-21T00:00:00.000Z</x:v>
      </x:c>
      <x:c r="E511" s="1" t="str">
        <x:v>naive</x:v>
      </x:c>
      <x:c r="F511" s="10" t="n">
        <x:v>3</x:v>
      </x:c>
      <x:c r="G511" s="10" t="n">
        <x:v>8</x:v>
      </x:c>
      <x:c r="H511" s="10" t="n">
        <x:f>ABS(G511-F511)</x:f>
        <x:v>5</x:v>
      </x:c>
      <x:c r="I511" s="10" t="n">
        <x:f>G511-F511</x:f>
        <x:v>5</x:v>
      </x:c>
    </x:row>
    <x:row r="512" ht="20" customHeight="1">
      <x:c r="A512" s="1" t="str">
        <x:v>21754</x:v>
      </x:c>
      <x:c r="B512" s="10" t="n">
        <x:v>1</x:v>
      </x:c>
      <x:c r="C512" s="9" t="d">
        <x:v>2011-10-19T00:00:00.000Z</x:v>
      </x:c>
      <x:c r="D512" s="9" t="d">
        <x:v>2011-10-22T00:00:00.000Z</x:v>
      </x:c>
      <x:c r="E512" s="1" t="str">
        <x:v>naive</x:v>
      </x:c>
      <x:c r="F512" s="10" t="n">
        <x:v>0</x:v>
      </x:c>
      <x:c r="G512" s="10" t="n">
        <x:v>8</x:v>
      </x:c>
      <x:c r="H512" s="10" t="n">
        <x:f>ABS(G512-F512)</x:f>
        <x:v>8</x:v>
      </x:c>
      <x:c r="I512" s="10" t="n">
        <x:f>G512-F512</x:f>
        <x:v>8</x:v>
      </x:c>
    </x:row>
    <x:row r="513" ht="20" customHeight="1">
      <x:c r="A513" s="1" t="str">
        <x:v>21754</x:v>
      </x:c>
      <x:c r="B513" s="10" t="n">
        <x:v>1</x:v>
      </x:c>
      <x:c r="C513" s="9" t="d">
        <x:v>2011-10-19T00:00:00.000Z</x:v>
      </x:c>
      <x:c r="D513" s="9" t="d">
        <x:v>2011-10-23T00:00:00.000Z</x:v>
      </x:c>
      <x:c r="E513" s="1" t="str">
        <x:v>naive</x:v>
      </x:c>
      <x:c r="F513" s="10" t="n">
        <x:v>6</x:v>
      </x:c>
      <x:c r="G513" s="10" t="n">
        <x:v>8</x:v>
      </x:c>
      <x:c r="H513" s="10" t="n">
        <x:f>ABS(G513-F513)</x:f>
        <x:v>2</x:v>
      </x:c>
      <x:c r="I513" s="10" t="n">
        <x:f>G513-F513</x:f>
        <x:v>2</x:v>
      </x:c>
    </x:row>
    <x:row r="514" ht="20" customHeight="1">
      <x:c r="A514" s="1" t="str">
        <x:v>21754</x:v>
      </x:c>
      <x:c r="B514" s="10" t="n">
        <x:v>1</x:v>
      </x:c>
      <x:c r="C514" s="9" t="d">
        <x:v>2011-10-19T00:00:00.000Z</x:v>
      </x:c>
      <x:c r="D514" s="9" t="d">
        <x:v>2011-10-24T00:00:00.000Z</x:v>
      </x:c>
      <x:c r="E514" s="1" t="str">
        <x:v>naive</x:v>
      </x:c>
      <x:c r="F514" s="10" t="n">
        <x:v>0</x:v>
      </x:c>
      <x:c r="G514" s="10" t="n">
        <x:v>8</x:v>
      </x:c>
      <x:c r="H514" s="10" t="n">
        <x:f>ABS(G514-F514)</x:f>
        <x:v>8</x:v>
      </x:c>
      <x:c r="I514" s="10" t="n">
        <x:f>G514-F514</x:f>
        <x:v>8</x:v>
      </x:c>
    </x:row>
    <x:row r="515" ht="20" customHeight="1">
      <x:c r="A515" s="1" t="str">
        <x:v>21754</x:v>
      </x:c>
      <x:c r="B515" s="10" t="n">
        <x:v>1</x:v>
      </x:c>
      <x:c r="C515" s="9" t="d">
        <x:v>2011-10-19T00:00:00.000Z</x:v>
      </x:c>
      <x:c r="D515" s="9" t="d">
        <x:v>2011-10-25T00:00:00.000Z</x:v>
      </x:c>
      <x:c r="E515" s="1" t="str">
        <x:v>naive</x:v>
      </x:c>
      <x:c r="F515" s="10" t="n">
        <x:v>3</x:v>
      </x:c>
      <x:c r="G515" s="10" t="n">
        <x:v>8</x:v>
      </x:c>
      <x:c r="H515" s="10" t="n">
        <x:f>ABS(G515-F515)</x:f>
        <x:v>5</x:v>
      </x:c>
      <x:c r="I515" s="10" t="n">
        <x:f>G515-F515</x:f>
        <x:v>5</x:v>
      </x:c>
    </x:row>
    <x:row r="516" ht="20" customHeight="1">
      <x:c r="A516" s="1" t="str">
        <x:v>21754</x:v>
      </x:c>
      <x:c r="B516" s="10" t="n">
        <x:v>1</x:v>
      </x:c>
      <x:c r="C516" s="9" t="d">
        <x:v>2011-10-19T00:00:00.000Z</x:v>
      </x:c>
      <x:c r="D516" s="9" t="d">
        <x:v>2011-10-26T00:00:00.000Z</x:v>
      </x:c>
      <x:c r="E516" s="1" t="str">
        <x:v>naive</x:v>
      </x:c>
      <x:c r="F516" s="10" t="n">
        <x:v>4</x:v>
      </x:c>
      <x:c r="G516" s="10" t="n">
        <x:v>8</x:v>
      </x:c>
      <x:c r="H516" s="10" t="n">
        <x:f>ABS(G516-F516)</x:f>
        <x:v>4</x:v>
      </x:c>
      <x:c r="I516" s="10" t="n">
        <x:f>G516-F516</x:f>
        <x:v>4</x:v>
      </x:c>
    </x:row>
    <x:row r="517" ht="20" customHeight="1">
      <x:c r="A517" s="1" t="str">
        <x:v>21754</x:v>
      </x:c>
      <x:c r="B517" s="10" t="n">
        <x:v>1</x:v>
      </x:c>
      <x:c r="C517" s="9" t="d">
        <x:v>2011-10-19T00:00:00.000Z</x:v>
      </x:c>
      <x:c r="D517" s="9" t="d">
        <x:v>2011-10-27T00:00:00.000Z</x:v>
      </x:c>
      <x:c r="E517" s="1" t="str">
        <x:v>naive</x:v>
      </x:c>
      <x:c r="F517" s="10" t="n">
        <x:v>9</x:v>
      </x:c>
      <x:c r="G517" s="10" t="n">
        <x:v>8</x:v>
      </x:c>
      <x:c r="H517" s="10" t="n">
        <x:f>ABS(G517-F517)</x:f>
        <x:v>1</x:v>
      </x:c>
      <x:c r="I517" s="10" t="n">
        <x:f>G517-F517</x:f>
        <x:v>-1</x:v>
      </x:c>
    </x:row>
    <x:row r="518" ht="20" customHeight="1">
      <x:c r="A518" s="1" t="str">
        <x:v>21754</x:v>
      </x:c>
      <x:c r="B518" s="10" t="n">
        <x:v>1</x:v>
      </x:c>
      <x:c r="C518" s="9" t="d">
        <x:v>2011-10-19T00:00:00.000Z</x:v>
      </x:c>
      <x:c r="D518" s="9" t="d">
        <x:v>2011-10-28T00:00:00.000Z</x:v>
      </x:c>
      <x:c r="E518" s="1" t="str">
        <x:v>naive</x:v>
      </x:c>
      <x:c r="F518" s="10" t="n">
        <x:v>3</x:v>
      </x:c>
      <x:c r="G518" s="10" t="n">
        <x:v>8</x:v>
      </x:c>
      <x:c r="H518" s="10" t="n">
        <x:f>ABS(G518-F518)</x:f>
        <x:v>5</x:v>
      </x:c>
      <x:c r="I518" s="10" t="n">
        <x:f>G518-F518</x:f>
        <x:v>5</x:v>
      </x:c>
    </x:row>
    <x:row r="519" ht="20" customHeight="1">
      <x:c r="A519" s="1" t="str">
        <x:v>21754</x:v>
      </x:c>
      <x:c r="B519" s="10" t="n">
        <x:v>1</x:v>
      </x:c>
      <x:c r="C519" s="9" t="d">
        <x:v>2011-10-19T00:00:00.000Z</x:v>
      </x:c>
      <x:c r="D519" s="9" t="d">
        <x:v>2011-10-29T00:00:00.000Z</x:v>
      </x:c>
      <x:c r="E519" s="1" t="str">
        <x:v>naive</x:v>
      </x:c>
      <x:c r="F519" s="10" t="n">
        <x:v>0</x:v>
      </x:c>
      <x:c r="G519" s="10" t="n">
        <x:v>8</x:v>
      </x:c>
      <x:c r="H519" s="10" t="n">
        <x:f>ABS(G519-F519)</x:f>
        <x:v>8</x:v>
      </x:c>
      <x:c r="I519" s="10" t="n">
        <x:f>G519-F519</x:f>
        <x:v>8</x:v>
      </x:c>
    </x:row>
    <x:row r="520" ht="20" customHeight="1">
      <x:c r="A520" s="1" t="str">
        <x:v>21754</x:v>
      </x:c>
      <x:c r="B520" s="10" t="n">
        <x:v>1</x:v>
      </x:c>
      <x:c r="C520" s="9" t="d">
        <x:v>2011-10-19T00:00:00.000Z</x:v>
      </x:c>
      <x:c r="D520" s="9" t="d">
        <x:v>2011-10-30T00:00:00.000Z</x:v>
      </x:c>
      <x:c r="E520" s="1" t="str">
        <x:v>naive</x:v>
      </x:c>
      <x:c r="F520" s="10" t="n">
        <x:v>29</x:v>
      </x:c>
      <x:c r="G520" s="10" t="n">
        <x:v>8</x:v>
      </x:c>
      <x:c r="H520" s="10" t="n">
        <x:f>ABS(G520-F520)</x:f>
        <x:v>21</x:v>
      </x:c>
      <x:c r="I520" s="10" t="n">
        <x:f>G520-F520</x:f>
        <x:v>-21</x:v>
      </x:c>
    </x:row>
    <x:row r="521" ht="20" customHeight="1">
      <x:c r="A521" s="1" t="str">
        <x:v>21754</x:v>
      </x:c>
      <x:c r="B521" s="10" t="n">
        <x:v>1</x:v>
      </x:c>
      <x:c r="C521" s="9" t="d">
        <x:v>2011-10-19T00:00:00.000Z</x:v>
      </x:c>
      <x:c r="D521" s="9" t="d">
        <x:v>2011-10-31T00:00:00.000Z</x:v>
      </x:c>
      <x:c r="E521" s="1" t="str">
        <x:v>naive</x:v>
      </x:c>
      <x:c r="F521" s="10" t="n">
        <x:v>8</x:v>
      </x:c>
      <x:c r="G521" s="10" t="n">
        <x:v>8</x:v>
      </x:c>
      <x:c r="H521" s="10" t="n">
        <x:f>ABS(G521-F521)</x:f>
        <x:v>0</x:v>
      </x:c>
      <x:c r="I521" s="10" t="n">
        <x:f>G521-F521</x:f>
        <x:v>0</x:v>
      </x:c>
    </x:row>
    <x:row r="522" ht="20" customHeight="1">
      <x:c r="A522" s="1" t="str">
        <x:v>21754</x:v>
      </x:c>
      <x:c r="B522" s="10" t="n">
        <x:v>1</x:v>
      </x:c>
      <x:c r="C522" s="9" t="d">
        <x:v>2011-10-19T00:00:00.000Z</x:v>
      </x:c>
      <x:c r="D522" s="9" t="d">
        <x:v>2011-11-01T00:00:00.000Z</x:v>
      </x:c>
      <x:c r="E522" s="1" t="str">
        <x:v>naive</x:v>
      </x:c>
      <x:c r="F522" s="10" t="n">
        <x:v>10</x:v>
      </x:c>
      <x:c r="G522" s="10" t="n">
        <x:v>8</x:v>
      </x:c>
      <x:c r="H522" s="10" t="n">
        <x:f>ABS(G522-F522)</x:f>
        <x:v>2</x:v>
      </x:c>
      <x:c r="I522" s="10" t="n">
        <x:f>G522-F522</x:f>
        <x:v>-2</x:v>
      </x:c>
    </x:row>
    <x:row r="523" ht="20" customHeight="1">
      <x:c r="A523" s="1" t="str">
        <x:v>21754</x:v>
      </x:c>
      <x:c r="B523" s="10" t="n">
        <x:v>1</x:v>
      </x:c>
      <x:c r="C523" s="9" t="d">
        <x:v>2011-10-19T00:00:00.000Z</x:v>
      </x:c>
      <x:c r="D523" s="9" t="d">
        <x:v>2011-11-02T00:00:00.000Z</x:v>
      </x:c>
      <x:c r="E523" s="1" t="str">
        <x:v>naive</x:v>
      </x:c>
      <x:c r="F523" s="10" t="n">
        <x:v>4</x:v>
      </x:c>
      <x:c r="G523" s="10" t="n">
        <x:v>8</x:v>
      </x:c>
      <x:c r="H523" s="10" t="n">
        <x:f>ABS(G523-F523)</x:f>
        <x:v>4</x:v>
      </x:c>
      <x:c r="I523" s="10" t="n">
        <x:f>G523-F523</x:f>
        <x:v>4</x:v>
      </x:c>
    </x:row>
    <x:row r="524" ht="20" customHeight="1">
      <x:c r="A524" s="1" t="str">
        <x:v>21754</x:v>
      </x:c>
      <x:c r="B524" s="10" t="n">
        <x:v>1</x:v>
      </x:c>
      <x:c r="C524" s="9" t="d">
        <x:v>2011-10-19T00:00:00.000Z</x:v>
      </x:c>
      <x:c r="D524" s="9" t="d">
        <x:v>2011-10-20T00:00:00.000Z</x:v>
      </x:c>
      <x:c r="E524" s="1" t="str">
        <x:v>seasonal_naive</x:v>
      </x:c>
      <x:c r="F524" s="10" t="n">
        <x:v>4</x:v>
      </x:c>
      <x:c r="G524" s="10" t="n">
        <x:v>7</x:v>
      </x:c>
      <x:c r="H524" s="10" t="n">
        <x:f>ABS(G524-F524)</x:f>
        <x:v>3</x:v>
      </x:c>
      <x:c r="I524" s="10" t="n">
        <x:f>G524-F524</x:f>
        <x:v>3</x:v>
      </x:c>
    </x:row>
    <x:row r="525" ht="20" customHeight="1">
      <x:c r="A525" s="1" t="str">
        <x:v>21754</x:v>
      </x:c>
      <x:c r="B525" s="10" t="n">
        <x:v>1</x:v>
      </x:c>
      <x:c r="C525" s="9" t="d">
        <x:v>2011-10-19T00:00:00.000Z</x:v>
      </x:c>
      <x:c r="D525" s="9" t="d">
        <x:v>2011-10-21T00:00:00.000Z</x:v>
      </x:c>
      <x:c r="E525" s="1" t="str">
        <x:v>seasonal_naive</x:v>
      </x:c>
      <x:c r="F525" s="10" t="n">
        <x:v>3</x:v>
      </x:c>
      <x:c r="G525" s="10" t="n">
        <x:v>0</x:v>
      </x:c>
      <x:c r="H525" s="10" t="n">
        <x:f>ABS(G525-F525)</x:f>
        <x:v>3</x:v>
      </x:c>
      <x:c r="I525" s="10" t="n">
        <x:f>G525-F525</x:f>
        <x:v>-3</x:v>
      </x:c>
    </x:row>
    <x:row r="526" ht="20" customHeight="1">
      <x:c r="A526" s="1" t="str">
        <x:v>21754</x:v>
      </x:c>
      <x:c r="B526" s="10" t="n">
        <x:v>1</x:v>
      </x:c>
      <x:c r="C526" s="9" t="d">
        <x:v>2011-10-19T00:00:00.000Z</x:v>
      </x:c>
      <x:c r="D526" s="9" t="d">
        <x:v>2011-10-22T00:00:00.000Z</x:v>
      </x:c>
      <x:c r="E526" s="1" t="str">
        <x:v>seasonal_naive</x:v>
      </x:c>
      <x:c r="F526" s="10" t="n">
        <x:v>0</x:v>
      </x:c>
      <x:c r="G526" s="10" t="n">
        <x:v>0</x:v>
      </x:c>
      <x:c r="H526" s="10" t="n">
        <x:f>ABS(G526-F526)</x:f>
        <x:v>0</x:v>
      </x:c>
      <x:c r="I526" s="10" t="n">
        <x:f>G526-F526</x:f>
        <x:v>0</x:v>
      </x:c>
    </x:row>
    <x:row r="527" ht="20" customHeight="1">
      <x:c r="A527" s="1" t="str">
        <x:v>21754</x:v>
      </x:c>
      <x:c r="B527" s="10" t="n">
        <x:v>1</x:v>
      </x:c>
      <x:c r="C527" s="9" t="d">
        <x:v>2011-10-19T00:00:00.000Z</x:v>
      </x:c>
      <x:c r="D527" s="9" t="d">
        <x:v>2011-10-23T00:00:00.000Z</x:v>
      </x:c>
      <x:c r="E527" s="1" t="str">
        <x:v>seasonal_naive</x:v>
      </x:c>
      <x:c r="F527" s="10" t="n">
        <x:v>6</x:v>
      </x:c>
      <x:c r="G527" s="10" t="n">
        <x:v>2</x:v>
      </x:c>
      <x:c r="H527" s="10" t="n">
        <x:f>ABS(G527-F527)</x:f>
        <x:v>4</x:v>
      </x:c>
      <x:c r="I527" s="10" t="n">
        <x:f>G527-F527</x:f>
        <x:v>-4</x:v>
      </x:c>
    </x:row>
    <x:row r="528" ht="20" customHeight="1">
      <x:c r="A528" s="1" t="str">
        <x:v>21754</x:v>
      </x:c>
      <x:c r="B528" s="10" t="n">
        <x:v>1</x:v>
      </x:c>
      <x:c r="C528" s="9" t="d">
        <x:v>2011-10-19T00:00:00.000Z</x:v>
      </x:c>
      <x:c r="D528" s="9" t="d">
        <x:v>2011-10-24T00:00:00.000Z</x:v>
      </x:c>
      <x:c r="E528" s="1" t="str">
        <x:v>seasonal_naive</x:v>
      </x:c>
      <x:c r="F528" s="10" t="n">
        <x:v>0</x:v>
      </x:c>
      <x:c r="G528" s="10" t="n">
        <x:v>10</x:v>
      </x:c>
      <x:c r="H528" s="10" t="n">
        <x:f>ABS(G528-F528)</x:f>
        <x:v>10</x:v>
      </x:c>
      <x:c r="I528" s="10" t="n">
        <x:f>G528-F528</x:f>
        <x:v>10</x:v>
      </x:c>
    </x:row>
    <x:row r="529" ht="20" customHeight="1">
      <x:c r="A529" s="1" t="str">
        <x:v>21754</x:v>
      </x:c>
      <x:c r="B529" s="10" t="n">
        <x:v>1</x:v>
      </x:c>
      <x:c r="C529" s="9" t="d">
        <x:v>2011-10-19T00:00:00.000Z</x:v>
      </x:c>
      <x:c r="D529" s="9" t="d">
        <x:v>2011-10-25T00:00:00.000Z</x:v>
      </x:c>
      <x:c r="E529" s="1" t="str">
        <x:v>seasonal_naive</x:v>
      </x:c>
      <x:c r="F529" s="10" t="n">
        <x:v>3</x:v>
      </x:c>
      <x:c r="G529" s="10" t="n">
        <x:v>3</x:v>
      </x:c>
      <x:c r="H529" s="10" t="n">
        <x:f>ABS(G529-F529)</x:f>
        <x:v>0</x:v>
      </x:c>
      <x:c r="I529" s="10" t="n">
        <x:f>G529-F529</x:f>
        <x:v>0</x:v>
      </x:c>
    </x:row>
    <x:row r="530" ht="20" customHeight="1">
      <x:c r="A530" s="1" t="str">
        <x:v>21754</x:v>
      </x:c>
      <x:c r="B530" s="10" t="n">
        <x:v>1</x:v>
      </x:c>
      <x:c r="C530" s="9" t="d">
        <x:v>2011-10-19T00:00:00.000Z</x:v>
      </x:c>
      <x:c r="D530" s="9" t="d">
        <x:v>2011-10-26T00:00:00.000Z</x:v>
      </x:c>
      <x:c r="E530" s="1" t="str">
        <x:v>seasonal_naive</x:v>
      </x:c>
      <x:c r="F530" s="10" t="n">
        <x:v>4</x:v>
      </x:c>
      <x:c r="G530" s="10" t="n">
        <x:v>8</x:v>
      </x:c>
      <x:c r="H530" s="10" t="n">
        <x:f>ABS(G530-F530)</x:f>
        <x:v>4</x:v>
      </x:c>
      <x:c r="I530" s="10" t="n">
        <x:f>G530-F530</x:f>
        <x:v>4</x:v>
      </x:c>
    </x:row>
    <x:row r="531" ht="20" customHeight="1">
      <x:c r="A531" s="1" t="str">
        <x:v>21754</x:v>
      </x:c>
      <x:c r="B531" s="10" t="n">
        <x:v>1</x:v>
      </x:c>
      <x:c r="C531" s="9" t="d">
        <x:v>2011-10-19T00:00:00.000Z</x:v>
      </x:c>
      <x:c r="D531" s="9" t="d">
        <x:v>2011-10-27T00:00:00.000Z</x:v>
      </x:c>
      <x:c r="E531" s="1" t="str">
        <x:v>seasonal_naive</x:v>
      </x:c>
      <x:c r="F531" s="10" t="n">
        <x:v>9</x:v>
      </x:c>
      <x:c r="G531" s="10" t="n">
        <x:v>7</x:v>
      </x:c>
      <x:c r="H531" s="10" t="n">
        <x:f>ABS(G531-F531)</x:f>
        <x:v>2</x:v>
      </x:c>
      <x:c r="I531" s="10" t="n">
        <x:f>G531-F531</x:f>
        <x:v>-2</x:v>
      </x:c>
    </x:row>
    <x:row r="532" ht="20" customHeight="1">
      <x:c r="A532" s="1" t="str">
        <x:v>21754</x:v>
      </x:c>
      <x:c r="B532" s="10" t="n">
        <x:v>1</x:v>
      </x:c>
      <x:c r="C532" s="9" t="d">
        <x:v>2011-10-19T00:00:00.000Z</x:v>
      </x:c>
      <x:c r="D532" s="9" t="d">
        <x:v>2011-10-28T00:00:00.000Z</x:v>
      </x:c>
      <x:c r="E532" s="1" t="str">
        <x:v>seasonal_naive</x:v>
      </x:c>
      <x:c r="F532" s="10" t="n">
        <x:v>3</x:v>
      </x:c>
      <x:c r="G532" s="10" t="n">
        <x:v>0</x:v>
      </x:c>
      <x:c r="H532" s="10" t="n">
        <x:f>ABS(G532-F532)</x:f>
        <x:v>3</x:v>
      </x:c>
      <x:c r="I532" s="10" t="n">
        <x:f>G532-F532</x:f>
        <x:v>-3</x:v>
      </x:c>
    </x:row>
    <x:row r="533" ht="20" customHeight="1">
      <x:c r="A533" s="1" t="str">
        <x:v>21754</x:v>
      </x:c>
      <x:c r="B533" s="10" t="n">
        <x:v>1</x:v>
      </x:c>
      <x:c r="C533" s="9" t="d">
        <x:v>2011-10-19T00:00:00.000Z</x:v>
      </x:c>
      <x:c r="D533" s="9" t="d">
        <x:v>2011-10-29T00:00:00.000Z</x:v>
      </x:c>
      <x:c r="E533" s="1" t="str">
        <x:v>seasonal_naive</x:v>
      </x:c>
      <x:c r="F533" s="10" t="n">
        <x:v>0</x:v>
      </x:c>
      <x:c r="G533" s="10" t="n">
        <x:v>0</x:v>
      </x:c>
      <x:c r="H533" s="10" t="n">
        <x:f>ABS(G533-F533)</x:f>
        <x:v>0</x:v>
      </x:c>
      <x:c r="I533" s="10" t="n">
        <x:f>G533-F533</x:f>
        <x:v>0</x:v>
      </x:c>
    </x:row>
    <x:row r="534" ht="20" customHeight="1">
      <x:c r="A534" s="1" t="str">
        <x:v>21754</x:v>
      </x:c>
      <x:c r="B534" s="10" t="n">
        <x:v>1</x:v>
      </x:c>
      <x:c r="C534" s="9" t="d">
        <x:v>2011-10-19T00:00:00.000Z</x:v>
      </x:c>
      <x:c r="D534" s="9" t="d">
        <x:v>2011-10-30T00:00:00.000Z</x:v>
      </x:c>
      <x:c r="E534" s="1" t="str">
        <x:v>seasonal_naive</x:v>
      </x:c>
      <x:c r="F534" s="10" t="n">
        <x:v>29</x:v>
      </x:c>
      <x:c r="G534" s="10" t="n">
        <x:v>2</x:v>
      </x:c>
      <x:c r="H534" s="10" t="n">
        <x:f>ABS(G534-F534)</x:f>
        <x:v>27</x:v>
      </x:c>
      <x:c r="I534" s="10" t="n">
        <x:f>G534-F534</x:f>
        <x:v>-27</x:v>
      </x:c>
    </x:row>
    <x:row r="535" ht="20" customHeight="1">
      <x:c r="A535" s="1" t="str">
        <x:v>21754</x:v>
      </x:c>
      <x:c r="B535" s="10" t="n">
        <x:v>1</x:v>
      </x:c>
      <x:c r="C535" s="9" t="d">
        <x:v>2011-10-19T00:00:00.000Z</x:v>
      </x:c>
      <x:c r="D535" s="9" t="d">
        <x:v>2011-10-31T00:00:00.000Z</x:v>
      </x:c>
      <x:c r="E535" s="1" t="str">
        <x:v>seasonal_naive</x:v>
      </x:c>
      <x:c r="F535" s="10" t="n">
        <x:v>8</x:v>
      </x:c>
      <x:c r="G535" s="10" t="n">
        <x:v>10</x:v>
      </x:c>
      <x:c r="H535" s="10" t="n">
        <x:f>ABS(G535-F535)</x:f>
        <x:v>2</x:v>
      </x:c>
      <x:c r="I535" s="10" t="n">
        <x:f>G535-F535</x:f>
        <x:v>2</x:v>
      </x:c>
    </x:row>
    <x:row r="536" ht="20" customHeight="1">
      <x:c r="A536" s="1" t="str">
        <x:v>21754</x:v>
      </x:c>
      <x:c r="B536" s="10" t="n">
        <x:v>1</x:v>
      </x:c>
      <x:c r="C536" s="9" t="d">
        <x:v>2011-10-19T00:00:00.000Z</x:v>
      </x:c>
      <x:c r="D536" s="9" t="d">
        <x:v>2011-11-01T00:00:00.000Z</x:v>
      </x:c>
      <x:c r="E536" s="1" t="str">
        <x:v>seasonal_naive</x:v>
      </x:c>
      <x:c r="F536" s="10" t="n">
        <x:v>10</x:v>
      </x:c>
      <x:c r="G536" s="10" t="n">
        <x:v>3</x:v>
      </x:c>
      <x:c r="H536" s="10" t="n">
        <x:f>ABS(G536-F536)</x:f>
        <x:v>7</x:v>
      </x:c>
      <x:c r="I536" s="10" t="n">
        <x:f>G536-F536</x:f>
        <x:v>-7</x:v>
      </x:c>
    </x:row>
    <x:row r="537" ht="20" customHeight="1">
      <x:c r="A537" s="1" t="str">
        <x:v>21754</x:v>
      </x:c>
      <x:c r="B537" s="10" t="n">
        <x:v>1</x:v>
      </x:c>
      <x:c r="C537" s="9" t="d">
        <x:v>2011-10-19T00:00:00.000Z</x:v>
      </x:c>
      <x:c r="D537" s="9" t="d">
        <x:v>2011-11-02T00:00:00.000Z</x:v>
      </x:c>
      <x:c r="E537" s="1" t="str">
        <x:v>seasonal_naive</x:v>
      </x:c>
      <x:c r="F537" s="10" t="n">
        <x:v>4</x:v>
      </x:c>
      <x:c r="G537" s="10" t="n">
        <x:v>8</x:v>
      </x:c>
      <x:c r="H537" s="10" t="n">
        <x:f>ABS(G537-F537)</x:f>
        <x:v>4</x:v>
      </x:c>
      <x:c r="I537" s="10" t="n">
        <x:f>G537-F537</x:f>
        <x:v>4</x:v>
      </x:c>
    </x:row>
    <x:row r="538" ht="20" customHeight="1">
      <x:c r="A538" s="1" t="str">
        <x:v>21754</x:v>
      </x:c>
      <x:c r="B538" s="10" t="n">
        <x:v>1</x:v>
      </x:c>
      <x:c r="C538" s="9" t="d">
        <x:v>2011-10-19T00:00:00.000Z</x:v>
      </x:c>
      <x:c r="D538" s="9" t="d">
        <x:v>2011-10-20T00:00:00.000Z</x:v>
      </x:c>
      <x:c r="E538" s="1" t="str">
        <x:v>ridge</x:v>
      </x:c>
      <x:c r="F538" s="10" t="n">
        <x:v>4</x:v>
      </x:c>
      <x:c r="G538" s="10" t="n">
        <x:v>6.26190977</x:v>
      </x:c>
      <x:c r="H538" s="10" t="n">
        <x:f>ABS(G538-F538)</x:f>
        <x:v>2.26190977</x:v>
      </x:c>
      <x:c r="I538" s="10" t="n">
        <x:f>G538-F538</x:f>
        <x:v>2.26190977</x:v>
      </x:c>
    </x:row>
    <x:row r="539" ht="20" customHeight="1">
      <x:c r="A539" s="1" t="str">
        <x:v>21754</x:v>
      </x:c>
      <x:c r="B539" s="10" t="n">
        <x:v>1</x:v>
      </x:c>
      <x:c r="C539" s="9" t="d">
        <x:v>2011-10-19T00:00:00.000Z</x:v>
      </x:c>
      <x:c r="D539" s="9" t="d">
        <x:v>2011-10-21T00:00:00.000Z</x:v>
      </x:c>
      <x:c r="E539" s="1" t="str">
        <x:v>ridge</x:v>
      </x:c>
      <x:c r="F539" s="10" t="n">
        <x:v>3</x:v>
      </x:c>
      <x:c r="G539" s="10" t="n">
        <x:v>3.2339147192</x:v>
      </x:c>
      <x:c r="H539" s="10" t="n">
        <x:f>ABS(G539-F539)</x:f>
        <x:v>0.23391471919999995</x:v>
      </x:c>
      <x:c r="I539" s="10" t="n">
        <x:f>G539-F539</x:f>
        <x:v>0.23391471919999995</x:v>
      </x:c>
    </x:row>
    <x:row r="540" ht="20" customHeight="1">
      <x:c r="A540" s="1" t="str">
        <x:v>21754</x:v>
      </x:c>
      <x:c r="B540" s="10" t="n">
        <x:v>1</x:v>
      </x:c>
      <x:c r="C540" s="9" t="d">
        <x:v>2011-10-19T00:00:00.000Z</x:v>
      </x:c>
      <x:c r="D540" s="9" t="d">
        <x:v>2011-10-22T00:00:00.000Z</x:v>
      </x:c>
      <x:c r="E540" s="1" t="str">
        <x:v>ridge</x:v>
      </x:c>
      <x:c r="F540" s="10" t="n">
        <x:v>0</x:v>
      </x:c>
      <x:c r="G540" s="10" t="n">
        <x:v>2.0554229453</x:v>
      </x:c>
      <x:c r="H540" s="10" t="n">
        <x:f>ABS(G540-F540)</x:f>
        <x:v>2.0554229453</x:v>
      </x:c>
      <x:c r="I540" s="10" t="n">
        <x:f>G540-F540</x:f>
        <x:v>2.0554229453</x:v>
      </x:c>
    </x:row>
    <x:row r="541" ht="20" customHeight="1">
      <x:c r="A541" s="1" t="str">
        <x:v>21754</x:v>
      </x:c>
      <x:c r="B541" s="10" t="n">
        <x:v>1</x:v>
      </x:c>
      <x:c r="C541" s="9" t="d">
        <x:v>2011-10-19T00:00:00.000Z</x:v>
      </x:c>
      <x:c r="D541" s="9" t="d">
        <x:v>2011-10-23T00:00:00.000Z</x:v>
      </x:c>
      <x:c r="E541" s="1" t="str">
        <x:v>ridge</x:v>
      </x:c>
      <x:c r="F541" s="10" t="n">
        <x:v>6</x:v>
      </x:c>
      <x:c r="G541" s="10" t="n">
        <x:v>3.7814492952</x:v>
      </x:c>
      <x:c r="H541" s="10" t="n">
        <x:f>ABS(G541-F541)</x:f>
        <x:v>2.2185507048</x:v>
      </x:c>
      <x:c r="I541" s="10" t="n">
        <x:f>G541-F541</x:f>
        <x:v>-2.2185507048</x:v>
      </x:c>
    </x:row>
    <x:row r="542" ht="20" customHeight="1">
      <x:c r="A542" s="1" t="str">
        <x:v>21754</x:v>
      </x:c>
      <x:c r="B542" s="10" t="n">
        <x:v>1</x:v>
      </x:c>
      <x:c r="C542" s="9" t="d">
        <x:v>2011-10-19T00:00:00.000Z</x:v>
      </x:c>
      <x:c r="D542" s="9" t="d">
        <x:v>2011-10-24T00:00:00.000Z</x:v>
      </x:c>
      <x:c r="E542" s="1" t="str">
        <x:v>ridge</x:v>
      </x:c>
      <x:c r="F542" s="10" t="n">
        <x:v>0</x:v>
      </x:c>
      <x:c r="G542" s="10" t="n">
        <x:v>6.8994921235</x:v>
      </x:c>
      <x:c r="H542" s="10" t="n">
        <x:f>ABS(G542-F542)</x:f>
        <x:v>6.8994921235</x:v>
      </x:c>
      <x:c r="I542" s="10" t="n">
        <x:f>G542-F542</x:f>
        <x:v>6.8994921235</x:v>
      </x:c>
    </x:row>
    <x:row r="543" ht="20" customHeight="1">
      <x:c r="A543" s="1" t="str">
        <x:v>21754</x:v>
      </x:c>
      <x:c r="B543" s="10" t="n">
        <x:v>1</x:v>
      </x:c>
      <x:c r="C543" s="9" t="d">
        <x:v>2011-10-19T00:00:00.000Z</x:v>
      </x:c>
      <x:c r="D543" s="9" t="d">
        <x:v>2011-10-25T00:00:00.000Z</x:v>
      </x:c>
      <x:c r="E543" s="1" t="str">
        <x:v>ridge</x:v>
      </x:c>
      <x:c r="F543" s="10" t="n">
        <x:v>3</x:v>
      </x:c>
      <x:c r="G543" s="10" t="n">
        <x:v>9.5734387057</x:v>
      </x:c>
      <x:c r="H543" s="10" t="n">
        <x:f>ABS(G543-F543)</x:f>
        <x:v>6.573438705699999</x:v>
      </x:c>
      <x:c r="I543" s="10" t="n">
        <x:f>G543-F543</x:f>
        <x:v>6.573438705699999</x:v>
      </x:c>
    </x:row>
    <x:row r="544" ht="20" customHeight="1">
      <x:c r="A544" s="1" t="str">
        <x:v>21754</x:v>
      </x:c>
      <x:c r="B544" s="10" t="n">
        <x:v>1</x:v>
      </x:c>
      <x:c r="C544" s="9" t="d">
        <x:v>2011-10-19T00:00:00.000Z</x:v>
      </x:c>
      <x:c r="D544" s="9" t="d">
        <x:v>2011-10-26T00:00:00.000Z</x:v>
      </x:c>
      <x:c r="E544" s="1" t="str">
        <x:v>ridge</x:v>
      </x:c>
      <x:c r="F544" s="10" t="n">
        <x:v>4</x:v>
      </x:c>
      <x:c r="G544" s="10" t="n">
        <x:v>9.3484299148</x:v>
      </x:c>
      <x:c r="H544" s="10" t="n">
        <x:f>ABS(G544-F544)</x:f>
        <x:v>5.3484299148000005</x:v>
      </x:c>
      <x:c r="I544" s="10" t="n">
        <x:f>G544-F544</x:f>
        <x:v>5.3484299148000005</x:v>
      </x:c>
    </x:row>
    <x:row r="545" ht="20" customHeight="1">
      <x:c r="A545" s="1" t="str">
        <x:v>21754</x:v>
      </x:c>
      <x:c r="B545" s="10" t="n">
        <x:v>1</x:v>
      </x:c>
      <x:c r="C545" s="9" t="d">
        <x:v>2011-10-19T00:00:00.000Z</x:v>
      </x:c>
      <x:c r="D545" s="9" t="d">
        <x:v>2011-10-27T00:00:00.000Z</x:v>
      </x:c>
      <x:c r="E545" s="1" t="str">
        <x:v>ridge</x:v>
      </x:c>
      <x:c r="F545" s="10" t="n">
        <x:v>9</x:v>
      </x:c>
      <x:c r="G545" s="10" t="n">
        <x:v>6.885004734</x:v>
      </x:c>
      <x:c r="H545" s="10" t="n">
        <x:f>ABS(G545-F545)</x:f>
        <x:v>2.114995266</x:v>
      </x:c>
      <x:c r="I545" s="10" t="n">
        <x:f>G545-F545</x:f>
        <x:v>-2.114995266</x:v>
      </x:c>
    </x:row>
    <x:row r="546" ht="20" customHeight="1">
      <x:c r="A546" s="1" t="str">
        <x:v>21754</x:v>
      </x:c>
      <x:c r="B546" s="10" t="n">
        <x:v>1</x:v>
      </x:c>
      <x:c r="C546" s="9" t="d">
        <x:v>2011-10-19T00:00:00.000Z</x:v>
      </x:c>
      <x:c r="D546" s="9" t="d">
        <x:v>2011-10-28T00:00:00.000Z</x:v>
      </x:c>
      <x:c r="E546" s="1" t="str">
        <x:v>ridge</x:v>
      </x:c>
      <x:c r="F546" s="10" t="n">
        <x:v>3</x:v>
      </x:c>
      <x:c r="G546" s="10" t="n">
        <x:v>3.6621268496</x:v>
      </x:c>
      <x:c r="H546" s="10" t="n">
        <x:f>ABS(G546-F546)</x:f>
        <x:v>0.6621268495999999</x:v>
      </x:c>
      <x:c r="I546" s="10" t="n">
        <x:f>G546-F546</x:f>
        <x:v>0.6621268495999999</x:v>
      </x:c>
    </x:row>
    <x:row r="547" ht="20" customHeight="1">
      <x:c r="A547" s="1" t="str">
        <x:v>21754</x:v>
      </x:c>
      <x:c r="B547" s="10" t="n">
        <x:v>1</x:v>
      </x:c>
      <x:c r="C547" s="9" t="d">
        <x:v>2011-10-19T00:00:00.000Z</x:v>
      </x:c>
      <x:c r="D547" s="9" t="d">
        <x:v>2011-10-29T00:00:00.000Z</x:v>
      </x:c>
      <x:c r="E547" s="1" t="str">
        <x:v>ridge</x:v>
      </x:c>
      <x:c r="F547" s="10" t="n">
        <x:v>0</x:v>
      </x:c>
      <x:c r="G547" s="10" t="n">
        <x:v>2.5307829434</x:v>
      </x:c>
      <x:c r="H547" s="10" t="n">
        <x:f>ABS(G547-F547)</x:f>
        <x:v>2.5307829434</x:v>
      </x:c>
      <x:c r="I547" s="10" t="n">
        <x:f>G547-F547</x:f>
        <x:v>2.5307829434</x:v>
      </x:c>
    </x:row>
    <x:row r="548" ht="20" customHeight="1">
      <x:c r="A548" s="1" t="str">
        <x:v>21754</x:v>
      </x:c>
      <x:c r="B548" s="10" t="n">
        <x:v>1</x:v>
      </x:c>
      <x:c r="C548" s="9" t="d">
        <x:v>2011-10-19T00:00:00.000Z</x:v>
      </x:c>
      <x:c r="D548" s="9" t="d">
        <x:v>2011-10-30T00:00:00.000Z</x:v>
      </x:c>
      <x:c r="E548" s="1" t="str">
        <x:v>ridge</x:v>
      </x:c>
      <x:c r="F548" s="10" t="n">
        <x:v>29</x:v>
      </x:c>
      <x:c r="G548" s="10" t="n">
        <x:v>4.2090087959</x:v>
      </x:c>
      <x:c r="H548" s="10" t="n">
        <x:f>ABS(G548-F548)</x:f>
        <x:v>24.7909912041</x:v>
      </x:c>
      <x:c r="I548" s="10" t="n">
        <x:f>G548-F548</x:f>
        <x:v>-24.7909912041</x:v>
      </x:c>
    </x:row>
    <x:row r="549" ht="20" customHeight="1">
      <x:c r="A549" s="1" t="str">
        <x:v>21754</x:v>
      </x:c>
      <x:c r="B549" s="10" t="n">
        <x:v>1</x:v>
      </x:c>
      <x:c r="C549" s="9" t="d">
        <x:v>2011-10-19T00:00:00.000Z</x:v>
      </x:c>
      <x:c r="D549" s="9" t="d">
        <x:v>2011-10-31T00:00:00.000Z</x:v>
      </x:c>
      <x:c r="E549" s="1" t="str">
        <x:v>ridge</x:v>
      </x:c>
      <x:c r="F549" s="10" t="n">
        <x:v>8</x:v>
      </x:c>
      <x:c r="G549" s="10" t="n">
        <x:v>7.5703014259</x:v>
      </x:c>
      <x:c r="H549" s="10" t="n">
        <x:f>ABS(G549-F549)</x:f>
        <x:v>0.4296985740999997</x:v>
      </x:c>
      <x:c r="I549" s="10" t="n">
        <x:f>G549-F549</x:f>
        <x:v>-0.4296985740999997</x:v>
      </x:c>
    </x:row>
    <x:row r="550" ht="20" customHeight="1">
      <x:c r="A550" s="1" t="str">
        <x:v>21754</x:v>
      </x:c>
      <x:c r="B550" s="10" t="n">
        <x:v>1</x:v>
      </x:c>
      <x:c r="C550" s="9" t="d">
        <x:v>2011-10-19T00:00:00.000Z</x:v>
      </x:c>
      <x:c r="D550" s="9" t="d">
        <x:v>2011-11-01T00:00:00.000Z</x:v>
      </x:c>
      <x:c r="E550" s="1" t="str">
        <x:v>ridge</x:v>
      </x:c>
      <x:c r="F550" s="10" t="n">
        <x:v>10</x:v>
      </x:c>
      <x:c r="G550" s="10" t="n">
        <x:v>9.7295763524</x:v>
      </x:c>
      <x:c r="H550" s="10" t="n">
        <x:f>ABS(G550-F550)</x:f>
        <x:v>0.2704236475999995</x:v>
      </x:c>
      <x:c r="I550" s="10" t="n">
        <x:f>G550-F550</x:f>
        <x:v>-0.2704236475999995</x:v>
      </x:c>
    </x:row>
    <x:row r="551" ht="20" customHeight="1">
      <x:c r="A551" s="1" t="str">
        <x:v>21754</x:v>
      </x:c>
      <x:c r="B551" s="10" t="n">
        <x:v>1</x:v>
      </x:c>
      <x:c r="C551" s="9" t="d">
        <x:v>2011-10-19T00:00:00.000Z</x:v>
      </x:c>
      <x:c r="D551" s="9" t="d">
        <x:v>2011-11-02T00:00:00.000Z</x:v>
      </x:c>
      <x:c r="E551" s="1" t="str">
        <x:v>ridge</x:v>
      </x:c>
      <x:c r="F551" s="10" t="n">
        <x:v>4</x:v>
      </x:c>
      <x:c r="G551" s="10" t="n">
        <x:v>9.6452181838</x:v>
      </x:c>
      <x:c r="H551" s="10" t="n">
        <x:f>ABS(G551-F551)</x:f>
        <x:v>5.645218183800001</x:v>
      </x:c>
      <x:c r="I551" s="10" t="n">
        <x:f>G551-F551</x:f>
        <x:v>5.645218183800001</x:v>
      </x:c>
    </x:row>
    <x:row r="552" ht="20" customHeight="1">
      <x:c r="A552" s="1" t="str">
        <x:v>21754</x:v>
      </x:c>
      <x:c r="B552" s="10" t="n">
        <x:v>2</x:v>
      </x:c>
      <x:c r="C552" s="9" t="d">
        <x:v>2011-11-02T00:00:00.000Z</x:v>
      </x:c>
      <x:c r="D552" s="9" t="d">
        <x:v>2011-11-03T00:00:00.000Z</x:v>
      </x:c>
      <x:c r="E552" s="1" t="str">
        <x:v>naive</x:v>
      </x:c>
      <x:c r="F552" s="10" t="n">
        <x:v>12</x:v>
      </x:c>
      <x:c r="G552" s="10" t="n">
        <x:v>4</x:v>
      </x:c>
      <x:c r="H552" s="10" t="n">
        <x:f>ABS(G552-F552)</x:f>
        <x:v>8</x:v>
      </x:c>
      <x:c r="I552" s="10" t="n">
        <x:f>G552-F552</x:f>
        <x:v>-8</x:v>
      </x:c>
    </x:row>
    <x:row r="553" ht="20" customHeight="1">
      <x:c r="A553" s="1" t="str">
        <x:v>21754</x:v>
      </x:c>
      <x:c r="B553" s="10" t="n">
        <x:v>2</x:v>
      </x:c>
      <x:c r="C553" s="9" t="d">
        <x:v>2011-11-02T00:00:00.000Z</x:v>
      </x:c>
      <x:c r="D553" s="9" t="d">
        <x:v>2011-11-04T00:00:00.000Z</x:v>
      </x:c>
      <x:c r="E553" s="1" t="str">
        <x:v>naive</x:v>
      </x:c>
      <x:c r="F553" s="10" t="n">
        <x:v>18</x:v>
      </x:c>
      <x:c r="G553" s="10" t="n">
        <x:v>4</x:v>
      </x:c>
      <x:c r="H553" s="10" t="n">
        <x:f>ABS(G553-F553)</x:f>
        <x:v>14</x:v>
      </x:c>
      <x:c r="I553" s="10" t="n">
        <x:f>G553-F553</x:f>
        <x:v>-14</x:v>
      </x:c>
    </x:row>
    <x:row r="554" ht="20" customHeight="1">
      <x:c r="A554" s="1" t="str">
        <x:v>21754</x:v>
      </x:c>
      <x:c r="B554" s="10" t="n">
        <x:v>2</x:v>
      </x:c>
      <x:c r="C554" s="9" t="d">
        <x:v>2011-11-02T00:00:00.000Z</x:v>
      </x:c>
      <x:c r="D554" s="9" t="d">
        <x:v>2011-11-05T00:00:00.000Z</x:v>
      </x:c>
      <x:c r="E554" s="1" t="str">
        <x:v>naive</x:v>
      </x:c>
      <x:c r="F554" s="10" t="n">
        <x:v>0</x:v>
      </x:c>
      <x:c r="G554" s="10" t="n">
        <x:v>4</x:v>
      </x:c>
      <x:c r="H554" s="10" t="n">
        <x:f>ABS(G554-F554)</x:f>
        <x:v>4</x:v>
      </x:c>
      <x:c r="I554" s="10" t="n">
        <x:f>G554-F554</x:f>
        <x:v>4</x:v>
      </x:c>
    </x:row>
    <x:row r="555" ht="20" customHeight="1">
      <x:c r="A555" s="1" t="str">
        <x:v>21754</x:v>
      </x:c>
      <x:c r="B555" s="10" t="n">
        <x:v>2</x:v>
      </x:c>
      <x:c r="C555" s="9" t="d">
        <x:v>2011-11-02T00:00:00.000Z</x:v>
      </x:c>
      <x:c r="D555" s="9" t="d">
        <x:v>2011-11-06T00:00:00.000Z</x:v>
      </x:c>
      <x:c r="E555" s="1" t="str">
        <x:v>naive</x:v>
      </x:c>
      <x:c r="F555" s="10" t="n">
        <x:v>12</x:v>
      </x:c>
      <x:c r="G555" s="10" t="n">
        <x:v>4</x:v>
      </x:c>
      <x:c r="H555" s="10" t="n">
        <x:f>ABS(G555-F555)</x:f>
        <x:v>8</x:v>
      </x:c>
      <x:c r="I555" s="10" t="n">
        <x:f>G555-F555</x:f>
        <x:v>-8</x:v>
      </x:c>
    </x:row>
    <x:row r="556" ht="20" customHeight="1">
      <x:c r="A556" s="1" t="str">
        <x:v>21754</x:v>
      </x:c>
      <x:c r="B556" s="10" t="n">
        <x:v>2</x:v>
      </x:c>
      <x:c r="C556" s="9" t="d">
        <x:v>2011-11-02T00:00:00.000Z</x:v>
      </x:c>
      <x:c r="D556" s="9" t="d">
        <x:v>2011-11-07T00:00:00.000Z</x:v>
      </x:c>
      <x:c r="E556" s="1" t="str">
        <x:v>naive</x:v>
      </x:c>
      <x:c r="F556" s="10" t="n">
        <x:v>6</x:v>
      </x:c>
      <x:c r="G556" s="10" t="n">
        <x:v>4</x:v>
      </x:c>
      <x:c r="H556" s="10" t="n">
        <x:f>ABS(G556-F556)</x:f>
        <x:v>2</x:v>
      </x:c>
      <x:c r="I556" s="10" t="n">
        <x:f>G556-F556</x:f>
        <x:v>-2</x:v>
      </x:c>
    </x:row>
    <x:row r="557" ht="20" customHeight="1">
      <x:c r="A557" s="1" t="str">
        <x:v>21754</x:v>
      </x:c>
      <x:c r="B557" s="10" t="n">
        <x:v>2</x:v>
      </x:c>
      <x:c r="C557" s="9" t="d">
        <x:v>2011-11-02T00:00:00.000Z</x:v>
      </x:c>
      <x:c r="D557" s="9" t="d">
        <x:v>2011-11-08T00:00:00.000Z</x:v>
      </x:c>
      <x:c r="E557" s="1" t="str">
        <x:v>naive</x:v>
      </x:c>
      <x:c r="F557" s="10" t="n">
        <x:v>9</x:v>
      </x:c>
      <x:c r="G557" s="10" t="n">
        <x:v>4</x:v>
      </x:c>
      <x:c r="H557" s="10" t="n">
        <x:f>ABS(G557-F557)</x:f>
        <x:v>5</x:v>
      </x:c>
      <x:c r="I557" s="10" t="n">
        <x:f>G557-F557</x:f>
        <x:v>-5</x:v>
      </x:c>
    </x:row>
    <x:row r="558" ht="20" customHeight="1">
      <x:c r="A558" s="1" t="str">
        <x:v>21754</x:v>
      </x:c>
      <x:c r="B558" s="10" t="n">
        <x:v>2</x:v>
      </x:c>
      <x:c r="C558" s="9" t="d">
        <x:v>2011-11-02T00:00:00.000Z</x:v>
      </x:c>
      <x:c r="D558" s="9" t="d">
        <x:v>2011-11-09T00:00:00.000Z</x:v>
      </x:c>
      <x:c r="E558" s="1" t="str">
        <x:v>naive</x:v>
      </x:c>
      <x:c r="F558" s="10" t="n">
        <x:v>4</x:v>
      </x:c>
      <x:c r="G558" s="10" t="n">
        <x:v>4</x:v>
      </x:c>
      <x:c r="H558" s="10" t="n">
        <x:f>ABS(G558-F558)</x:f>
        <x:v>0</x:v>
      </x:c>
      <x:c r="I558" s="10" t="n">
        <x:f>G558-F558</x:f>
        <x:v>0</x:v>
      </x:c>
    </x:row>
    <x:row r="559" ht="20" customHeight="1">
      <x:c r="A559" s="1" t="str">
        <x:v>21754</x:v>
      </x:c>
      <x:c r="B559" s="10" t="n">
        <x:v>2</x:v>
      </x:c>
      <x:c r="C559" s="9" t="d">
        <x:v>2011-11-02T00:00:00.000Z</x:v>
      </x:c>
      <x:c r="D559" s="9" t="d">
        <x:v>2011-11-10T00:00:00.000Z</x:v>
      </x:c>
      <x:c r="E559" s="1" t="str">
        <x:v>naive</x:v>
      </x:c>
      <x:c r="F559" s="10" t="n">
        <x:v>4</x:v>
      </x:c>
      <x:c r="G559" s="10" t="n">
        <x:v>4</x:v>
      </x:c>
      <x:c r="H559" s="10" t="n">
        <x:f>ABS(G559-F559)</x:f>
        <x:v>0</x:v>
      </x:c>
      <x:c r="I559" s="10" t="n">
        <x:f>G559-F559</x:f>
        <x:v>0</x:v>
      </x:c>
    </x:row>
    <x:row r="560" ht="20" customHeight="1">
      <x:c r="A560" s="1" t="str">
        <x:v>21754</x:v>
      </x:c>
      <x:c r="B560" s="10" t="n">
        <x:v>2</x:v>
      </x:c>
      <x:c r="C560" s="9" t="d">
        <x:v>2011-11-02T00:00:00.000Z</x:v>
      </x:c>
      <x:c r="D560" s="9" t="d">
        <x:v>2011-11-11T00:00:00.000Z</x:v>
      </x:c>
      <x:c r="E560" s="1" t="str">
        <x:v>naive</x:v>
      </x:c>
      <x:c r="F560" s="10" t="n">
        <x:v>1</x:v>
      </x:c>
      <x:c r="G560" s="10" t="n">
        <x:v>4</x:v>
      </x:c>
      <x:c r="H560" s="10" t="n">
        <x:f>ABS(G560-F560)</x:f>
        <x:v>3</x:v>
      </x:c>
      <x:c r="I560" s="10" t="n">
        <x:f>G560-F560</x:f>
        <x:v>3</x:v>
      </x:c>
    </x:row>
    <x:row r="561" ht="20" customHeight="1">
      <x:c r="A561" s="1" t="str">
        <x:v>21754</x:v>
      </x:c>
      <x:c r="B561" s="10" t="n">
        <x:v>2</x:v>
      </x:c>
      <x:c r="C561" s="9" t="d">
        <x:v>2011-11-02T00:00:00.000Z</x:v>
      </x:c>
      <x:c r="D561" s="9" t="d">
        <x:v>2011-11-12T00:00:00.000Z</x:v>
      </x:c>
      <x:c r="E561" s="1" t="str">
        <x:v>naive</x:v>
      </x:c>
      <x:c r="F561" s="10" t="n">
        <x:v>0</x:v>
      </x:c>
      <x:c r="G561" s="10" t="n">
        <x:v>4</x:v>
      </x:c>
      <x:c r="H561" s="10" t="n">
        <x:f>ABS(G561-F561)</x:f>
        <x:v>4</x:v>
      </x:c>
      <x:c r="I561" s="10" t="n">
        <x:f>G561-F561</x:f>
        <x:v>4</x:v>
      </x:c>
    </x:row>
    <x:row r="562" ht="20" customHeight="1">
      <x:c r="A562" s="1" t="str">
        <x:v>21754</x:v>
      </x:c>
      <x:c r="B562" s="10" t="n">
        <x:v>2</x:v>
      </x:c>
      <x:c r="C562" s="9" t="d">
        <x:v>2011-11-02T00:00:00.000Z</x:v>
      </x:c>
      <x:c r="D562" s="9" t="d">
        <x:v>2011-11-13T00:00:00.000Z</x:v>
      </x:c>
      <x:c r="E562" s="1" t="str">
        <x:v>naive</x:v>
      </x:c>
      <x:c r="F562" s="10" t="n">
        <x:v>6</x:v>
      </x:c>
      <x:c r="G562" s="10" t="n">
        <x:v>4</x:v>
      </x:c>
      <x:c r="H562" s="10" t="n">
        <x:f>ABS(G562-F562)</x:f>
        <x:v>2</x:v>
      </x:c>
      <x:c r="I562" s="10" t="n">
        <x:f>G562-F562</x:f>
        <x:v>-2</x:v>
      </x:c>
    </x:row>
    <x:row r="563" ht="20" customHeight="1">
      <x:c r="A563" s="1" t="str">
        <x:v>21754</x:v>
      </x:c>
      <x:c r="B563" s="10" t="n">
        <x:v>2</x:v>
      </x:c>
      <x:c r="C563" s="9" t="d">
        <x:v>2011-11-02T00:00:00.000Z</x:v>
      </x:c>
      <x:c r="D563" s="9" t="d">
        <x:v>2011-11-14T00:00:00.000Z</x:v>
      </x:c>
      <x:c r="E563" s="1" t="str">
        <x:v>naive</x:v>
      </x:c>
      <x:c r="F563" s="10" t="n">
        <x:v>0</x:v>
      </x:c>
      <x:c r="G563" s="10" t="n">
        <x:v>4</x:v>
      </x:c>
      <x:c r="H563" s="10" t="n">
        <x:f>ABS(G563-F563)</x:f>
        <x:v>4</x:v>
      </x:c>
      <x:c r="I563" s="10" t="n">
        <x:f>G563-F563</x:f>
        <x:v>4</x:v>
      </x:c>
    </x:row>
    <x:row r="564" ht="20" customHeight="1">
      <x:c r="A564" s="1" t="str">
        <x:v>21754</x:v>
      </x:c>
      <x:c r="B564" s="10" t="n">
        <x:v>2</x:v>
      </x:c>
      <x:c r="C564" s="9" t="d">
        <x:v>2011-11-02T00:00:00.000Z</x:v>
      </x:c>
      <x:c r="D564" s="9" t="d">
        <x:v>2011-11-15T00:00:00.000Z</x:v>
      </x:c>
      <x:c r="E564" s="1" t="str">
        <x:v>naive</x:v>
      </x:c>
      <x:c r="F564" s="10" t="n">
        <x:v>9</x:v>
      </x:c>
      <x:c r="G564" s="10" t="n">
        <x:v>4</x:v>
      </x:c>
      <x:c r="H564" s="10" t="n">
        <x:f>ABS(G564-F564)</x:f>
        <x:v>5</x:v>
      </x:c>
      <x:c r="I564" s="10" t="n">
        <x:f>G564-F564</x:f>
        <x:v>-5</x:v>
      </x:c>
    </x:row>
    <x:row r="565" ht="20" customHeight="1">
      <x:c r="A565" s="1" t="str">
        <x:v>21754</x:v>
      </x:c>
      <x:c r="B565" s="10" t="n">
        <x:v>2</x:v>
      </x:c>
      <x:c r="C565" s="9" t="d">
        <x:v>2011-11-02T00:00:00.000Z</x:v>
      </x:c>
      <x:c r="D565" s="9" t="d">
        <x:v>2011-11-16T00:00:00.000Z</x:v>
      </x:c>
      <x:c r="E565" s="1" t="str">
        <x:v>naive</x:v>
      </x:c>
      <x:c r="F565" s="10" t="n">
        <x:v>13</x:v>
      </x:c>
      <x:c r="G565" s="10" t="n">
        <x:v>4</x:v>
      </x:c>
      <x:c r="H565" s="10" t="n">
        <x:f>ABS(G565-F565)</x:f>
        <x:v>9</x:v>
      </x:c>
      <x:c r="I565" s="10" t="n">
        <x:f>G565-F565</x:f>
        <x:v>-9</x:v>
      </x:c>
    </x:row>
    <x:row r="566" ht="20" customHeight="1">
      <x:c r="A566" s="1" t="str">
        <x:v>21754</x:v>
      </x:c>
      <x:c r="B566" s="10" t="n">
        <x:v>2</x:v>
      </x:c>
      <x:c r="C566" s="9" t="d">
        <x:v>2011-11-02T00:00:00.000Z</x:v>
      </x:c>
      <x:c r="D566" s="9" t="d">
        <x:v>2011-11-03T00:00:00.000Z</x:v>
      </x:c>
      <x:c r="E566" s="1" t="str">
        <x:v>seasonal_naive</x:v>
      </x:c>
      <x:c r="F566" s="10" t="n">
        <x:v>12</x:v>
      </x:c>
      <x:c r="G566" s="10" t="n">
        <x:v>9</x:v>
      </x:c>
      <x:c r="H566" s="10" t="n">
        <x:f>ABS(G566-F566)</x:f>
        <x:v>3</x:v>
      </x:c>
      <x:c r="I566" s="10" t="n">
        <x:f>G566-F566</x:f>
        <x:v>-3</x:v>
      </x:c>
    </x:row>
    <x:row r="567" ht="20" customHeight="1">
      <x:c r="A567" s="1" t="str">
        <x:v>21754</x:v>
      </x:c>
      <x:c r="B567" s="10" t="n">
        <x:v>2</x:v>
      </x:c>
      <x:c r="C567" s="9" t="d">
        <x:v>2011-11-02T00:00:00.000Z</x:v>
      </x:c>
      <x:c r="D567" s="9" t="d">
        <x:v>2011-11-04T00:00:00.000Z</x:v>
      </x:c>
      <x:c r="E567" s="1" t="str">
        <x:v>seasonal_naive</x:v>
      </x:c>
      <x:c r="F567" s="10" t="n">
        <x:v>18</x:v>
      </x:c>
      <x:c r="G567" s="10" t="n">
        <x:v>3</x:v>
      </x:c>
      <x:c r="H567" s="10" t="n">
        <x:f>ABS(G567-F567)</x:f>
        <x:v>15</x:v>
      </x:c>
      <x:c r="I567" s="10" t="n">
        <x:f>G567-F567</x:f>
        <x:v>-15</x:v>
      </x:c>
    </x:row>
    <x:row r="568" ht="20" customHeight="1">
      <x:c r="A568" s="1" t="str">
        <x:v>21754</x:v>
      </x:c>
      <x:c r="B568" s="10" t="n">
        <x:v>2</x:v>
      </x:c>
      <x:c r="C568" s="9" t="d">
        <x:v>2011-11-02T00:00:00.000Z</x:v>
      </x:c>
      <x:c r="D568" s="9" t="d">
        <x:v>2011-11-05T00:00:00.000Z</x:v>
      </x:c>
      <x:c r="E568" s="1" t="str">
        <x:v>seasonal_naive</x:v>
      </x:c>
      <x:c r="F568" s="10" t="n">
        <x:v>0</x:v>
      </x:c>
      <x:c r="G568" s="10" t="n">
        <x:v>0</x:v>
      </x:c>
      <x:c r="H568" s="10" t="n">
        <x:f>ABS(G568-F568)</x:f>
        <x:v>0</x:v>
      </x:c>
      <x:c r="I568" s="10" t="n">
        <x:f>G568-F568</x:f>
        <x:v>0</x:v>
      </x:c>
    </x:row>
    <x:row r="569" ht="20" customHeight="1">
      <x:c r="A569" s="1" t="str">
        <x:v>21754</x:v>
      </x:c>
      <x:c r="B569" s="10" t="n">
        <x:v>2</x:v>
      </x:c>
      <x:c r="C569" s="9" t="d">
        <x:v>2011-11-02T00:00:00.000Z</x:v>
      </x:c>
      <x:c r="D569" s="9" t="d">
        <x:v>2011-11-06T00:00:00.000Z</x:v>
      </x:c>
      <x:c r="E569" s="1" t="str">
        <x:v>seasonal_naive</x:v>
      </x:c>
      <x:c r="F569" s="10" t="n">
        <x:v>12</x:v>
      </x:c>
      <x:c r="G569" s="10" t="n">
        <x:v>29</x:v>
      </x:c>
      <x:c r="H569" s="10" t="n">
        <x:f>ABS(G569-F569)</x:f>
        <x:v>17</x:v>
      </x:c>
      <x:c r="I569" s="10" t="n">
        <x:f>G569-F569</x:f>
        <x:v>17</x:v>
      </x:c>
    </x:row>
    <x:row r="570" ht="20" customHeight="1">
      <x:c r="A570" s="1" t="str">
        <x:v>21754</x:v>
      </x:c>
      <x:c r="B570" s="10" t="n">
        <x:v>2</x:v>
      </x:c>
      <x:c r="C570" s="9" t="d">
        <x:v>2011-11-02T00:00:00.000Z</x:v>
      </x:c>
      <x:c r="D570" s="9" t="d">
        <x:v>2011-11-07T00:00:00.000Z</x:v>
      </x:c>
      <x:c r="E570" s="1" t="str">
        <x:v>seasonal_naive</x:v>
      </x:c>
      <x:c r="F570" s="10" t="n">
        <x:v>6</x:v>
      </x:c>
      <x:c r="G570" s="10" t="n">
        <x:v>8</x:v>
      </x:c>
      <x:c r="H570" s="10" t="n">
        <x:f>ABS(G570-F570)</x:f>
        <x:v>2</x:v>
      </x:c>
      <x:c r="I570" s="10" t="n">
        <x:f>G570-F570</x:f>
        <x:v>2</x:v>
      </x:c>
    </x:row>
    <x:row r="571" ht="20" customHeight="1">
      <x:c r="A571" s="1" t="str">
        <x:v>21754</x:v>
      </x:c>
      <x:c r="B571" s="10" t="n">
        <x:v>2</x:v>
      </x:c>
      <x:c r="C571" s="9" t="d">
        <x:v>2011-11-02T00:00:00.000Z</x:v>
      </x:c>
      <x:c r="D571" s="9" t="d">
        <x:v>2011-11-08T00:00:00.000Z</x:v>
      </x:c>
      <x:c r="E571" s="1" t="str">
        <x:v>seasonal_naive</x:v>
      </x:c>
      <x:c r="F571" s="10" t="n">
        <x:v>9</x:v>
      </x:c>
      <x:c r="G571" s="10" t="n">
        <x:v>10</x:v>
      </x:c>
      <x:c r="H571" s="10" t="n">
        <x:f>ABS(G571-F571)</x:f>
        <x:v>1</x:v>
      </x:c>
      <x:c r="I571" s="10" t="n">
        <x:f>G571-F571</x:f>
        <x:v>1</x:v>
      </x:c>
    </x:row>
    <x:row r="572" ht="20" customHeight="1">
      <x:c r="A572" s="1" t="str">
        <x:v>21754</x:v>
      </x:c>
      <x:c r="B572" s="10" t="n">
        <x:v>2</x:v>
      </x:c>
      <x:c r="C572" s="9" t="d">
        <x:v>2011-11-02T00:00:00.000Z</x:v>
      </x:c>
      <x:c r="D572" s="9" t="d">
        <x:v>2011-11-09T00:00:00.000Z</x:v>
      </x:c>
      <x:c r="E572" s="1" t="str">
        <x:v>seasonal_naive</x:v>
      </x:c>
      <x:c r="F572" s="10" t="n">
        <x:v>4</x:v>
      </x:c>
      <x:c r="G572" s="10" t="n">
        <x:v>4</x:v>
      </x:c>
      <x:c r="H572" s="10" t="n">
        <x:f>ABS(G572-F572)</x:f>
        <x:v>0</x:v>
      </x:c>
      <x:c r="I572" s="10" t="n">
        <x:f>G572-F572</x:f>
        <x:v>0</x:v>
      </x:c>
    </x:row>
    <x:row r="573" ht="20" customHeight="1">
      <x:c r="A573" s="1" t="str">
        <x:v>21754</x:v>
      </x:c>
      <x:c r="B573" s="10" t="n">
        <x:v>2</x:v>
      </x:c>
      <x:c r="C573" s="9" t="d">
        <x:v>2011-11-02T00:00:00.000Z</x:v>
      </x:c>
      <x:c r="D573" s="9" t="d">
        <x:v>2011-11-10T00:00:00.000Z</x:v>
      </x:c>
      <x:c r="E573" s="1" t="str">
        <x:v>seasonal_naive</x:v>
      </x:c>
      <x:c r="F573" s="10" t="n">
        <x:v>4</x:v>
      </x:c>
      <x:c r="G573" s="10" t="n">
        <x:v>9</x:v>
      </x:c>
      <x:c r="H573" s="10" t="n">
        <x:f>ABS(G573-F573)</x:f>
        <x:v>5</x:v>
      </x:c>
      <x:c r="I573" s="10" t="n">
        <x:f>G573-F573</x:f>
        <x:v>5</x:v>
      </x:c>
    </x:row>
    <x:row r="574" ht="20" customHeight="1">
      <x:c r="A574" s="1" t="str">
        <x:v>21754</x:v>
      </x:c>
      <x:c r="B574" s="10" t="n">
        <x:v>2</x:v>
      </x:c>
      <x:c r="C574" s="9" t="d">
        <x:v>2011-11-02T00:00:00.000Z</x:v>
      </x:c>
      <x:c r="D574" s="9" t="d">
        <x:v>2011-11-11T00:00:00.000Z</x:v>
      </x:c>
      <x:c r="E574" s="1" t="str">
        <x:v>seasonal_naive</x:v>
      </x:c>
      <x:c r="F574" s="10" t="n">
        <x:v>1</x:v>
      </x:c>
      <x:c r="G574" s="10" t="n">
        <x:v>3</x:v>
      </x:c>
      <x:c r="H574" s="10" t="n">
        <x:f>ABS(G574-F574)</x:f>
        <x:v>2</x:v>
      </x:c>
      <x:c r="I574" s="10" t="n">
        <x:f>G574-F574</x:f>
        <x:v>2</x:v>
      </x:c>
    </x:row>
    <x:row r="575" ht="20" customHeight="1">
      <x:c r="A575" s="1" t="str">
        <x:v>21754</x:v>
      </x:c>
      <x:c r="B575" s="10" t="n">
        <x:v>2</x:v>
      </x:c>
      <x:c r="C575" s="9" t="d">
        <x:v>2011-11-02T00:00:00.000Z</x:v>
      </x:c>
      <x:c r="D575" s="9" t="d">
        <x:v>2011-11-12T00:00:00.000Z</x:v>
      </x:c>
      <x:c r="E575" s="1" t="str">
        <x:v>seasonal_naive</x:v>
      </x:c>
      <x:c r="F575" s="10" t="n">
        <x:v>0</x:v>
      </x:c>
      <x:c r="G575" s="10" t="n">
        <x:v>0</x:v>
      </x:c>
      <x:c r="H575" s="10" t="n">
        <x:f>ABS(G575-F575)</x:f>
        <x:v>0</x:v>
      </x:c>
      <x:c r="I575" s="10" t="n">
        <x:f>G575-F575</x:f>
        <x:v>0</x:v>
      </x:c>
    </x:row>
    <x:row r="576" ht="20" customHeight="1">
      <x:c r="A576" s="1" t="str">
        <x:v>21754</x:v>
      </x:c>
      <x:c r="B576" s="10" t="n">
        <x:v>2</x:v>
      </x:c>
      <x:c r="C576" s="9" t="d">
        <x:v>2011-11-02T00:00:00.000Z</x:v>
      </x:c>
      <x:c r="D576" s="9" t="d">
        <x:v>2011-11-13T00:00:00.000Z</x:v>
      </x:c>
      <x:c r="E576" s="1" t="str">
        <x:v>seasonal_naive</x:v>
      </x:c>
      <x:c r="F576" s="10" t="n">
        <x:v>6</x:v>
      </x:c>
      <x:c r="G576" s="10" t="n">
        <x:v>29</x:v>
      </x:c>
      <x:c r="H576" s="10" t="n">
        <x:f>ABS(G576-F576)</x:f>
        <x:v>23</x:v>
      </x:c>
      <x:c r="I576" s="10" t="n">
        <x:f>G576-F576</x:f>
        <x:v>23</x:v>
      </x:c>
    </x:row>
    <x:row r="577" ht="20" customHeight="1">
      <x:c r="A577" s="1" t="str">
        <x:v>21754</x:v>
      </x:c>
      <x:c r="B577" s="10" t="n">
        <x:v>2</x:v>
      </x:c>
      <x:c r="C577" s="9" t="d">
        <x:v>2011-11-02T00:00:00.000Z</x:v>
      </x:c>
      <x:c r="D577" s="9" t="d">
        <x:v>2011-11-14T00:00:00.000Z</x:v>
      </x:c>
      <x:c r="E577" s="1" t="str">
        <x:v>seasonal_naive</x:v>
      </x:c>
      <x:c r="F577" s="10" t="n">
        <x:v>0</x:v>
      </x:c>
      <x:c r="G577" s="10" t="n">
        <x:v>8</x:v>
      </x:c>
      <x:c r="H577" s="10" t="n">
        <x:f>ABS(G577-F577)</x:f>
        <x:v>8</x:v>
      </x:c>
      <x:c r="I577" s="10" t="n">
        <x:f>G577-F577</x:f>
        <x:v>8</x:v>
      </x:c>
    </x:row>
    <x:row r="578" ht="20" customHeight="1">
      <x:c r="A578" s="1" t="str">
        <x:v>21754</x:v>
      </x:c>
      <x:c r="B578" s="10" t="n">
        <x:v>2</x:v>
      </x:c>
      <x:c r="C578" s="9" t="d">
        <x:v>2011-11-02T00:00:00.000Z</x:v>
      </x:c>
      <x:c r="D578" s="9" t="d">
        <x:v>2011-11-15T00:00:00.000Z</x:v>
      </x:c>
      <x:c r="E578" s="1" t="str">
        <x:v>seasonal_naive</x:v>
      </x:c>
      <x:c r="F578" s="10" t="n">
        <x:v>9</x:v>
      </x:c>
      <x:c r="G578" s="10" t="n">
        <x:v>10</x:v>
      </x:c>
      <x:c r="H578" s="10" t="n">
        <x:f>ABS(G578-F578)</x:f>
        <x:v>1</x:v>
      </x:c>
      <x:c r="I578" s="10" t="n">
        <x:f>G578-F578</x:f>
        <x:v>1</x:v>
      </x:c>
    </x:row>
    <x:row r="579" ht="20" customHeight="1">
      <x:c r="A579" s="1" t="str">
        <x:v>21754</x:v>
      </x:c>
      <x:c r="B579" s="10" t="n">
        <x:v>2</x:v>
      </x:c>
      <x:c r="C579" s="9" t="d">
        <x:v>2011-11-02T00:00:00.000Z</x:v>
      </x:c>
      <x:c r="D579" s="9" t="d">
        <x:v>2011-11-16T00:00:00.000Z</x:v>
      </x:c>
      <x:c r="E579" s="1" t="str">
        <x:v>seasonal_naive</x:v>
      </x:c>
      <x:c r="F579" s="10" t="n">
        <x:v>13</x:v>
      </x:c>
      <x:c r="G579" s="10" t="n">
        <x:v>4</x:v>
      </x:c>
      <x:c r="H579" s="10" t="n">
        <x:f>ABS(G579-F579)</x:f>
        <x:v>9</x:v>
      </x:c>
      <x:c r="I579" s="10" t="n">
        <x:f>G579-F579</x:f>
        <x:v>-9</x:v>
      </x:c>
    </x:row>
    <x:row r="580" ht="20" customHeight="1">
      <x:c r="A580" s="1" t="str">
        <x:v>21754</x:v>
      </x:c>
      <x:c r="B580" s="10" t="n">
        <x:v>2</x:v>
      </x:c>
      <x:c r="C580" s="9" t="d">
        <x:v>2011-11-02T00:00:00.000Z</x:v>
      </x:c>
      <x:c r="D580" s="9" t="d">
        <x:v>2011-11-03T00:00:00.000Z</x:v>
      </x:c>
      <x:c r="E580" s="1" t="str">
        <x:v>ridge</x:v>
      </x:c>
      <x:c r="F580" s="10" t="n">
        <x:v>12</x:v>
      </x:c>
      <x:c r="G580" s="10" t="n">
        <x:v>8.0317111938</x:v>
      </x:c>
      <x:c r="H580" s="10" t="n">
        <x:f>ABS(G580-F580)</x:f>
        <x:v>3.9682888062000004</x:v>
      </x:c>
      <x:c r="I580" s="10" t="n">
        <x:f>G580-F580</x:f>
        <x:v>-3.9682888062000004</x:v>
      </x:c>
    </x:row>
    <x:row r="581" ht="20" customHeight="1">
      <x:c r="A581" s="1" t="str">
        <x:v>21754</x:v>
      </x:c>
      <x:c r="B581" s="10" t="n">
        <x:v>2</x:v>
      </x:c>
      <x:c r="C581" s="9" t="d">
        <x:v>2011-11-02T00:00:00.000Z</x:v>
      </x:c>
      <x:c r="D581" s="9" t="d">
        <x:v>2011-11-04T00:00:00.000Z</x:v>
      </x:c>
      <x:c r="E581" s="1" t="str">
        <x:v>ridge</x:v>
      </x:c>
      <x:c r="F581" s="10" t="n">
        <x:v>18</x:v>
      </x:c>
      <x:c r="G581" s="10" t="n">
        <x:v>4.6814051401</x:v>
      </x:c>
      <x:c r="H581" s="10" t="n">
        <x:f>ABS(G581-F581)</x:f>
        <x:v>13.3185948599</x:v>
      </x:c>
      <x:c r="I581" s="10" t="n">
        <x:f>G581-F581</x:f>
        <x:v>-13.3185948599</x:v>
      </x:c>
    </x:row>
    <x:row r="582" ht="20" customHeight="1">
      <x:c r="A582" s="1" t="str">
        <x:v>21754</x:v>
      </x:c>
      <x:c r="B582" s="10" t="n">
        <x:v>2</x:v>
      </x:c>
      <x:c r="C582" s="9" t="d">
        <x:v>2011-11-02T00:00:00.000Z</x:v>
      </x:c>
      <x:c r="D582" s="9" t="d">
        <x:v>2011-11-05T00:00:00.000Z</x:v>
      </x:c>
      <x:c r="E582" s="1" t="str">
        <x:v>ridge</x:v>
      </x:c>
      <x:c r="F582" s="10" t="n">
        <x:v>0</x:v>
      </x:c>
      <x:c r="G582" s="10" t="n">
        <x:v>3.767275801</x:v>
      </x:c>
      <x:c r="H582" s="10" t="n">
        <x:f>ABS(G582-F582)</x:f>
        <x:v>3.767275801</x:v>
      </x:c>
      <x:c r="I582" s="10" t="n">
        <x:f>G582-F582</x:f>
        <x:v>3.767275801</x:v>
      </x:c>
    </x:row>
    <x:row r="583" ht="20" customHeight="1">
      <x:c r="A583" s="1" t="str">
        <x:v>21754</x:v>
      </x:c>
      <x:c r="B583" s="10" t="n">
        <x:v>2</x:v>
      </x:c>
      <x:c r="C583" s="9" t="d">
        <x:v>2011-11-02T00:00:00.000Z</x:v>
      </x:c>
      <x:c r="D583" s="9" t="d">
        <x:v>2011-11-06T00:00:00.000Z</x:v>
      </x:c>
      <x:c r="E583" s="1" t="str">
        <x:v>ridge</x:v>
      </x:c>
      <x:c r="F583" s="10" t="n">
        <x:v>12</x:v>
      </x:c>
      <x:c r="G583" s="10" t="n">
        <x:v>4.6156934093</x:v>
      </x:c>
      <x:c r="H583" s="10" t="n">
        <x:f>ABS(G583-F583)</x:f>
        <x:v>7.3843065907</x:v>
      </x:c>
      <x:c r="I583" s="10" t="n">
        <x:f>G583-F583</x:f>
        <x:v>-7.3843065907</x:v>
      </x:c>
    </x:row>
    <x:row r="584" ht="20" customHeight="1">
      <x:c r="A584" s="1" t="str">
        <x:v>21754</x:v>
      </x:c>
      <x:c r="B584" s="10" t="n">
        <x:v>2</x:v>
      </x:c>
      <x:c r="C584" s="9" t="d">
        <x:v>2011-11-02T00:00:00.000Z</x:v>
      </x:c>
      <x:c r="D584" s="9" t="d">
        <x:v>2011-11-07T00:00:00.000Z</x:v>
      </x:c>
      <x:c r="E584" s="1" t="str">
        <x:v>ridge</x:v>
      </x:c>
      <x:c r="F584" s="10" t="n">
        <x:v>6</x:v>
      </x:c>
      <x:c r="G584" s="10" t="n">
        <x:v>7.375006525</x:v>
      </x:c>
      <x:c r="H584" s="10" t="n">
        <x:f>ABS(G584-F584)</x:f>
        <x:v>1.3750065249999999</x:v>
      </x:c>
      <x:c r="I584" s="10" t="n">
        <x:f>G584-F584</x:f>
        <x:v>1.3750065249999999</x:v>
      </x:c>
    </x:row>
    <x:row r="585" ht="20" customHeight="1">
      <x:c r="A585" s="1" t="str">
        <x:v>21754</x:v>
      </x:c>
      <x:c r="B585" s="10" t="n">
        <x:v>2</x:v>
      </x:c>
      <x:c r="C585" s="9" t="d">
        <x:v>2011-11-02T00:00:00.000Z</x:v>
      </x:c>
      <x:c r="D585" s="9" t="d">
        <x:v>2011-11-08T00:00:00.000Z</x:v>
      </x:c>
      <x:c r="E585" s="1" t="str">
        <x:v>ridge</x:v>
      </x:c>
      <x:c r="F585" s="10" t="n">
        <x:v>9</x:v>
      </x:c>
      <x:c r="G585" s="10" t="n">
        <x:v>9.6343703215</x:v>
      </x:c>
      <x:c r="H585" s="10" t="n">
        <x:f>ABS(G585-F585)</x:f>
        <x:v>0.6343703215000005</x:v>
      </x:c>
      <x:c r="I585" s="10" t="n">
        <x:f>G585-F585</x:f>
        <x:v>0.6343703215000005</x:v>
      </x:c>
    </x:row>
    <x:row r="586" ht="20" customHeight="1">
      <x:c r="A586" s="1" t="str">
        <x:v>21754</x:v>
      </x:c>
      <x:c r="B586" s="10" t="n">
        <x:v>2</x:v>
      </x:c>
      <x:c r="C586" s="9" t="d">
        <x:v>2011-11-02T00:00:00.000Z</x:v>
      </x:c>
      <x:c r="D586" s="9" t="d">
        <x:v>2011-11-09T00:00:00.000Z</x:v>
      </x:c>
      <x:c r="E586" s="1" t="str">
        <x:v>ridge</x:v>
      </x:c>
      <x:c r="F586" s="10" t="n">
        <x:v>4</x:v>
      </x:c>
      <x:c r="G586" s="10" t="n">
        <x:v>9.5831319102</x:v>
      </x:c>
      <x:c r="H586" s="10" t="n">
        <x:f>ABS(G586-F586)</x:f>
        <x:v>5.5831319102000005</x:v>
      </x:c>
      <x:c r="I586" s="10" t="n">
        <x:f>G586-F586</x:f>
        <x:v>5.5831319102000005</x:v>
      </x:c>
    </x:row>
    <x:row r="587" ht="20" customHeight="1">
      <x:c r="A587" s="1" t="str">
        <x:v>21754</x:v>
      </x:c>
      <x:c r="B587" s="10" t="n">
        <x:v>2</x:v>
      </x:c>
      <x:c r="C587" s="9" t="d">
        <x:v>2011-11-02T00:00:00.000Z</x:v>
      </x:c>
      <x:c r="D587" s="9" t="d">
        <x:v>2011-11-10T00:00:00.000Z</x:v>
      </x:c>
      <x:c r="E587" s="1" t="str">
        <x:v>ridge</x:v>
      </x:c>
      <x:c r="F587" s="10" t="n">
        <x:v>4</x:v>
      </x:c>
      <x:c r="G587" s="10" t="n">
        <x:v>7.1849878694</x:v>
      </x:c>
      <x:c r="H587" s="10" t="n">
        <x:f>ABS(G587-F587)</x:f>
        <x:v>3.1849878693999996</x:v>
      </x:c>
      <x:c r="I587" s="10" t="n">
        <x:f>G587-F587</x:f>
        <x:v>3.1849878693999996</x:v>
      </x:c>
    </x:row>
    <x:row r="588" ht="20" customHeight="1">
      <x:c r="A588" s="1" t="str">
        <x:v>21754</x:v>
      </x:c>
      <x:c r="B588" s="10" t="n">
        <x:v>2</x:v>
      </x:c>
      <x:c r="C588" s="9" t="d">
        <x:v>2011-11-02T00:00:00.000Z</x:v>
      </x:c>
      <x:c r="D588" s="9" t="d">
        <x:v>2011-11-11T00:00:00.000Z</x:v>
      </x:c>
      <x:c r="E588" s="1" t="str">
        <x:v>ridge</x:v>
      </x:c>
      <x:c r="F588" s="10" t="n">
        <x:v>1</x:v>
      </x:c>
      <x:c r="G588" s="10" t="n">
        <x:v>4.1197606918</x:v>
      </x:c>
      <x:c r="H588" s="10" t="n">
        <x:f>ABS(G588-F588)</x:f>
        <x:v>3.1197606918</x:v>
      </x:c>
      <x:c r="I588" s="10" t="n">
        <x:f>G588-F588</x:f>
        <x:v>3.1197606918</x:v>
      </x:c>
    </x:row>
    <x:row r="589" ht="20" customHeight="1">
      <x:c r="A589" s="1" t="str">
        <x:v>21754</x:v>
      </x:c>
      <x:c r="B589" s="10" t="n">
        <x:v>2</x:v>
      </x:c>
      <x:c r="C589" s="9" t="d">
        <x:v>2011-11-02T00:00:00.000Z</x:v>
      </x:c>
      <x:c r="D589" s="9" t="d">
        <x:v>2011-11-12T00:00:00.000Z</x:v>
      </x:c>
      <x:c r="E589" s="1" t="str">
        <x:v>ridge</x:v>
      </x:c>
      <x:c r="F589" s="10" t="n">
        <x:v>0</x:v>
      </x:c>
      <x:c r="G589" s="10" t="n">
        <x:v>3.0308362495</x:v>
      </x:c>
      <x:c r="H589" s="10" t="n">
        <x:f>ABS(G589-F589)</x:f>
        <x:v>3.0308362495</x:v>
      </x:c>
      <x:c r="I589" s="10" t="n">
        <x:f>G589-F589</x:f>
        <x:v>3.0308362495</x:v>
      </x:c>
    </x:row>
    <x:row r="590" ht="20" customHeight="1">
      <x:c r="A590" s="1" t="str">
        <x:v>21754</x:v>
      </x:c>
      <x:c r="B590" s="10" t="n">
        <x:v>2</x:v>
      </x:c>
      <x:c r="C590" s="9" t="d">
        <x:v>2011-11-02T00:00:00.000Z</x:v>
      </x:c>
      <x:c r="D590" s="9" t="d">
        <x:v>2011-11-13T00:00:00.000Z</x:v>
      </x:c>
      <x:c r="E590" s="1" t="str">
        <x:v>ridge</x:v>
      </x:c>
      <x:c r="F590" s="10" t="n">
        <x:v>6</x:v>
      </x:c>
      <x:c r="G590" s="10" t="n">
        <x:v>5.3586163857</x:v>
      </x:c>
      <x:c r="H590" s="10" t="n">
        <x:f>ABS(G590-F590)</x:f>
        <x:v>0.6413836142999996</x:v>
      </x:c>
      <x:c r="I590" s="10" t="n">
        <x:f>G590-F590</x:f>
        <x:v>-0.6413836142999996</x:v>
      </x:c>
    </x:row>
    <x:row r="591" ht="20" customHeight="1">
      <x:c r="A591" s="1" t="str">
        <x:v>21754</x:v>
      </x:c>
      <x:c r="B591" s="10" t="n">
        <x:v>2</x:v>
      </x:c>
      <x:c r="C591" s="9" t="d">
        <x:v>2011-11-02T00:00:00.000Z</x:v>
      </x:c>
      <x:c r="D591" s="9" t="d">
        <x:v>2011-11-14T00:00:00.000Z</x:v>
      </x:c>
      <x:c r="E591" s="1" t="str">
        <x:v>ridge</x:v>
      </x:c>
      <x:c r="F591" s="10" t="n">
        <x:v>0</x:v>
      </x:c>
      <x:c r="G591" s="10" t="n">
        <x:v>7.8921612368</x:v>
      </x:c>
      <x:c r="H591" s="10" t="n">
        <x:f>ABS(G591-F591)</x:f>
        <x:v>7.8921612368</x:v>
      </x:c>
      <x:c r="I591" s="10" t="n">
        <x:f>G591-F591</x:f>
        <x:v>7.8921612368</x:v>
      </x:c>
    </x:row>
    <x:row r="592" ht="20" customHeight="1">
      <x:c r="A592" s="1" t="str">
        <x:v>21754</x:v>
      </x:c>
      <x:c r="B592" s="10" t="n">
        <x:v>2</x:v>
      </x:c>
      <x:c r="C592" s="9" t="d">
        <x:v>2011-11-02T00:00:00.000Z</x:v>
      </x:c>
      <x:c r="D592" s="9" t="d">
        <x:v>2011-11-15T00:00:00.000Z</x:v>
      </x:c>
      <x:c r="E592" s="1" t="str">
        <x:v>ridge</x:v>
      </x:c>
      <x:c r="F592" s="10" t="n">
        <x:v>9</x:v>
      </x:c>
      <x:c r="G592" s="10" t="n">
        <x:v>10.1572270336</x:v>
      </x:c>
      <x:c r="H592" s="10" t="n">
        <x:f>ABS(G592-F592)</x:f>
        <x:v>1.1572270336</x:v>
      </x:c>
      <x:c r="I592" s="10" t="n">
        <x:f>G592-F592</x:f>
        <x:v>1.1572270336</x:v>
      </x:c>
    </x:row>
    <x:row r="593" ht="20" customHeight="1">
      <x:c r="A593" s="1" t="str">
        <x:v>21754</x:v>
      </x:c>
      <x:c r="B593" s="10" t="n">
        <x:v>2</x:v>
      </x:c>
      <x:c r="C593" s="9" t="d">
        <x:v>2011-11-02T00:00:00.000Z</x:v>
      </x:c>
      <x:c r="D593" s="9" t="d">
        <x:v>2011-11-16T00:00:00.000Z</x:v>
      </x:c>
      <x:c r="E593" s="1" t="str">
        <x:v>ridge</x:v>
      </x:c>
      <x:c r="F593" s="10" t="n">
        <x:v>13</x:v>
      </x:c>
      <x:c r="G593" s="10" t="n">
        <x:v>9.7507009924</x:v>
      </x:c>
      <x:c r="H593" s="10" t="n">
        <x:f>ABS(G593-F593)</x:f>
        <x:v>3.2492990075999995</x:v>
      </x:c>
      <x:c r="I593" s="10" t="n">
        <x:f>G593-F593</x:f>
        <x:v>-3.2492990075999995</x:v>
      </x:c>
    </x:row>
    <x:row r="594" ht="20" customHeight="1">
      <x:c r="A594" s="1" t="str">
        <x:v>21754</x:v>
      </x:c>
      <x:c r="B594" s="10" t="n">
        <x:v>3</x:v>
      </x:c>
      <x:c r="C594" s="9" t="d">
        <x:v>2011-11-16T00:00:00.000Z</x:v>
      </x:c>
      <x:c r="D594" s="9" t="d">
        <x:v>2011-11-17T00:00:00.000Z</x:v>
      </x:c>
      <x:c r="E594" s="1" t="str">
        <x:v>naive</x:v>
      </x:c>
      <x:c r="F594" s="10" t="n">
        <x:v>32</x:v>
      </x:c>
      <x:c r="G594" s="10" t="n">
        <x:v>13</x:v>
      </x:c>
      <x:c r="H594" s="10" t="n">
        <x:f>ABS(G594-F594)</x:f>
        <x:v>19</x:v>
      </x:c>
      <x:c r="I594" s="10" t="n">
        <x:f>G594-F594</x:f>
        <x:v>-19</x:v>
      </x:c>
    </x:row>
    <x:row r="595" ht="20" customHeight="1">
      <x:c r="A595" s="1" t="str">
        <x:v>21754</x:v>
      </x:c>
      <x:c r="B595" s="10" t="n">
        <x:v>3</x:v>
      </x:c>
      <x:c r="C595" s="9" t="d">
        <x:v>2011-11-16T00:00:00.000Z</x:v>
      </x:c>
      <x:c r="D595" s="9" t="d">
        <x:v>2011-11-18T00:00:00.000Z</x:v>
      </x:c>
      <x:c r="E595" s="1" t="str">
        <x:v>naive</x:v>
      </x:c>
      <x:c r="F595" s="10" t="n">
        <x:v>3</x:v>
      </x:c>
      <x:c r="G595" s="10" t="n">
        <x:v>13</x:v>
      </x:c>
      <x:c r="H595" s="10" t="n">
        <x:f>ABS(G595-F595)</x:f>
        <x:v>10</x:v>
      </x:c>
      <x:c r="I595" s="10" t="n">
        <x:f>G595-F595</x:f>
        <x:v>10</x:v>
      </x:c>
    </x:row>
    <x:row r="596" ht="20" customHeight="1">
      <x:c r="A596" s="1" t="str">
        <x:v>21754</x:v>
      </x:c>
      <x:c r="B596" s="10" t="n">
        <x:v>3</x:v>
      </x:c>
      <x:c r="C596" s="9" t="d">
        <x:v>2011-11-16T00:00:00.000Z</x:v>
      </x:c>
      <x:c r="D596" s="9" t="d">
        <x:v>2011-11-19T00:00:00.000Z</x:v>
      </x:c>
      <x:c r="E596" s="1" t="str">
        <x:v>naive</x:v>
      </x:c>
      <x:c r="F596" s="10" t="n">
        <x:v>0</x:v>
      </x:c>
      <x:c r="G596" s="10" t="n">
        <x:v>13</x:v>
      </x:c>
      <x:c r="H596" s="10" t="n">
        <x:f>ABS(G596-F596)</x:f>
        <x:v>13</x:v>
      </x:c>
      <x:c r="I596" s="10" t="n">
        <x:f>G596-F596</x:f>
        <x:v>13</x:v>
      </x:c>
    </x:row>
    <x:row r="597" ht="20" customHeight="1">
      <x:c r="A597" s="1" t="str">
        <x:v>21754</x:v>
      </x:c>
      <x:c r="B597" s="10" t="n">
        <x:v>3</x:v>
      </x:c>
      <x:c r="C597" s="9" t="d">
        <x:v>2011-11-16T00:00:00.000Z</x:v>
      </x:c>
      <x:c r="D597" s="9" t="d">
        <x:v>2011-11-20T00:00:00.000Z</x:v>
      </x:c>
      <x:c r="E597" s="1" t="str">
        <x:v>naive</x:v>
      </x:c>
      <x:c r="F597" s="10" t="n">
        <x:v>13</x:v>
      </x:c>
      <x:c r="G597" s="10" t="n">
        <x:v>13</x:v>
      </x:c>
      <x:c r="H597" s="10" t="n">
        <x:f>ABS(G597-F597)</x:f>
        <x:v>0</x:v>
      </x:c>
      <x:c r="I597" s="10" t="n">
        <x:f>G597-F597</x:f>
        <x:v>0</x:v>
      </x:c>
    </x:row>
    <x:row r="598" ht="20" customHeight="1">
      <x:c r="A598" s="1" t="str">
        <x:v>21754</x:v>
      </x:c>
      <x:c r="B598" s="10" t="n">
        <x:v>3</x:v>
      </x:c>
      <x:c r="C598" s="9" t="d">
        <x:v>2011-11-16T00:00:00.000Z</x:v>
      </x:c>
      <x:c r="D598" s="9" t="d">
        <x:v>2011-11-21T00:00:00.000Z</x:v>
      </x:c>
      <x:c r="E598" s="1" t="str">
        <x:v>naive</x:v>
      </x:c>
      <x:c r="F598" s="10" t="n">
        <x:v>6</x:v>
      </x:c>
      <x:c r="G598" s="10" t="n">
        <x:v>13</x:v>
      </x:c>
      <x:c r="H598" s="10" t="n">
        <x:f>ABS(G598-F598)</x:f>
        <x:v>7</x:v>
      </x:c>
      <x:c r="I598" s="10" t="n">
        <x:f>G598-F598</x:f>
        <x:v>7</x:v>
      </x:c>
    </x:row>
    <x:row r="599" ht="20" customHeight="1">
      <x:c r="A599" s="1" t="str">
        <x:v>21754</x:v>
      </x:c>
      <x:c r="B599" s="10" t="n">
        <x:v>3</x:v>
      </x:c>
      <x:c r="C599" s="9" t="d">
        <x:v>2011-11-16T00:00:00.000Z</x:v>
      </x:c>
      <x:c r="D599" s="9" t="d">
        <x:v>2011-11-22T00:00:00.000Z</x:v>
      </x:c>
      <x:c r="E599" s="1" t="str">
        <x:v>naive</x:v>
      </x:c>
      <x:c r="F599" s="10" t="n">
        <x:v>8</x:v>
      </x:c>
      <x:c r="G599" s="10" t="n">
        <x:v>13</x:v>
      </x:c>
      <x:c r="H599" s="10" t="n">
        <x:f>ABS(G599-F599)</x:f>
        <x:v>5</x:v>
      </x:c>
      <x:c r="I599" s="10" t="n">
        <x:f>G599-F599</x:f>
        <x:v>5</x:v>
      </x:c>
    </x:row>
    <x:row r="600" ht="20" customHeight="1">
      <x:c r="A600" s="1" t="str">
        <x:v>21754</x:v>
      </x:c>
      <x:c r="B600" s="10" t="n">
        <x:v>3</x:v>
      </x:c>
      <x:c r="C600" s="9" t="d">
        <x:v>2011-11-16T00:00:00.000Z</x:v>
      </x:c>
      <x:c r="D600" s="9" t="d">
        <x:v>2011-11-23T00:00:00.000Z</x:v>
      </x:c>
      <x:c r="E600" s="1" t="str">
        <x:v>naive</x:v>
      </x:c>
      <x:c r="F600" s="10" t="n">
        <x:v>14</x:v>
      </x:c>
      <x:c r="G600" s="10" t="n">
        <x:v>13</x:v>
      </x:c>
      <x:c r="H600" s="10" t="n">
        <x:f>ABS(G600-F600)</x:f>
        <x:v>1</x:v>
      </x:c>
      <x:c r="I600" s="10" t="n">
        <x:f>G600-F600</x:f>
        <x:v>-1</x:v>
      </x:c>
    </x:row>
    <x:row r="601" ht="20" customHeight="1">
      <x:c r="A601" s="1" t="str">
        <x:v>21754</x:v>
      </x:c>
      <x:c r="B601" s="10" t="n">
        <x:v>3</x:v>
      </x:c>
      <x:c r="C601" s="9" t="d">
        <x:v>2011-11-16T00:00:00.000Z</x:v>
      </x:c>
      <x:c r="D601" s="9" t="d">
        <x:v>2011-11-24T00:00:00.000Z</x:v>
      </x:c>
      <x:c r="E601" s="1" t="str">
        <x:v>naive</x:v>
      </x:c>
      <x:c r="F601" s="10" t="n">
        <x:v>7</x:v>
      </x:c>
      <x:c r="G601" s="10" t="n">
        <x:v>13</x:v>
      </x:c>
      <x:c r="H601" s="10" t="n">
        <x:f>ABS(G601-F601)</x:f>
        <x:v>6</x:v>
      </x:c>
      <x:c r="I601" s="10" t="n">
        <x:f>G601-F601</x:f>
        <x:v>6</x:v>
      </x:c>
    </x:row>
    <x:row r="602" ht="20" customHeight="1">
      <x:c r="A602" s="1" t="str">
        <x:v>21754</x:v>
      </x:c>
      <x:c r="B602" s="10" t="n">
        <x:v>3</x:v>
      </x:c>
      <x:c r="C602" s="9" t="d">
        <x:v>2011-11-16T00:00:00.000Z</x:v>
      </x:c>
      <x:c r="D602" s="9" t="d">
        <x:v>2011-11-25T00:00:00.000Z</x:v>
      </x:c>
      <x:c r="E602" s="1" t="str">
        <x:v>naive</x:v>
      </x:c>
      <x:c r="F602" s="10" t="n">
        <x:v>18</x:v>
      </x:c>
      <x:c r="G602" s="10" t="n">
        <x:v>13</x:v>
      </x:c>
      <x:c r="H602" s="10" t="n">
        <x:f>ABS(G602-F602)</x:f>
        <x:v>5</x:v>
      </x:c>
      <x:c r="I602" s="10" t="n">
        <x:f>G602-F602</x:f>
        <x:v>-5</x:v>
      </x:c>
    </x:row>
    <x:row r="603" ht="20" customHeight="1">
      <x:c r="A603" s="1" t="str">
        <x:v>21754</x:v>
      </x:c>
      <x:c r="B603" s="10" t="n">
        <x:v>3</x:v>
      </x:c>
      <x:c r="C603" s="9" t="d">
        <x:v>2011-11-16T00:00:00.000Z</x:v>
      </x:c>
      <x:c r="D603" s="9" t="d">
        <x:v>2011-11-26T00:00:00.000Z</x:v>
      </x:c>
      <x:c r="E603" s="1" t="str">
        <x:v>naive</x:v>
      </x:c>
      <x:c r="F603" s="10" t="n">
        <x:v>0</x:v>
      </x:c>
      <x:c r="G603" s="10" t="n">
        <x:v>13</x:v>
      </x:c>
      <x:c r="H603" s="10" t="n">
        <x:f>ABS(G603-F603)</x:f>
        <x:v>13</x:v>
      </x:c>
      <x:c r="I603" s="10" t="n">
        <x:f>G603-F603</x:f>
        <x:v>13</x:v>
      </x:c>
    </x:row>
    <x:row r="604" ht="20" customHeight="1">
      <x:c r="A604" s="1" t="str">
        <x:v>21754</x:v>
      </x:c>
      <x:c r="B604" s="10" t="n">
        <x:v>3</x:v>
      </x:c>
      <x:c r="C604" s="9" t="d">
        <x:v>2011-11-16T00:00:00.000Z</x:v>
      </x:c>
      <x:c r="D604" s="9" t="d">
        <x:v>2011-11-27T00:00:00.000Z</x:v>
      </x:c>
      <x:c r="E604" s="1" t="str">
        <x:v>naive</x:v>
      </x:c>
      <x:c r="F604" s="10" t="n">
        <x:v>5</x:v>
      </x:c>
      <x:c r="G604" s="10" t="n">
        <x:v>13</x:v>
      </x:c>
      <x:c r="H604" s="10" t="n">
        <x:f>ABS(G604-F604)</x:f>
        <x:v>8</x:v>
      </x:c>
      <x:c r="I604" s="10" t="n">
        <x:f>G604-F604</x:f>
        <x:v>8</x:v>
      </x:c>
    </x:row>
    <x:row r="605" ht="20" customHeight="1">
      <x:c r="A605" s="1" t="str">
        <x:v>21754</x:v>
      </x:c>
      <x:c r="B605" s="10" t="n">
        <x:v>3</x:v>
      </x:c>
      <x:c r="C605" s="9" t="d">
        <x:v>2011-11-16T00:00:00.000Z</x:v>
      </x:c>
      <x:c r="D605" s="9" t="d">
        <x:v>2011-11-28T00:00:00.000Z</x:v>
      </x:c>
      <x:c r="E605" s="1" t="str">
        <x:v>naive</x:v>
      </x:c>
      <x:c r="F605" s="10" t="n">
        <x:v>3</x:v>
      </x:c>
      <x:c r="G605" s="10" t="n">
        <x:v>13</x:v>
      </x:c>
      <x:c r="H605" s="10" t="n">
        <x:f>ABS(G605-F605)</x:f>
        <x:v>10</x:v>
      </x:c>
      <x:c r="I605" s="10" t="n">
        <x:f>G605-F605</x:f>
        <x:v>10</x:v>
      </x:c>
    </x:row>
    <x:row r="606" ht="20" customHeight="1">
      <x:c r="A606" s="1" t="str">
        <x:v>21754</x:v>
      </x:c>
      <x:c r="B606" s="10" t="n">
        <x:v>3</x:v>
      </x:c>
      <x:c r="C606" s="9" t="d">
        <x:v>2011-11-16T00:00:00.000Z</x:v>
      </x:c>
      <x:c r="D606" s="9" t="d">
        <x:v>2011-11-29T00:00:00.000Z</x:v>
      </x:c>
      <x:c r="E606" s="1" t="str">
        <x:v>naive</x:v>
      </x:c>
      <x:c r="F606" s="10" t="n">
        <x:v>15</x:v>
      </x:c>
      <x:c r="G606" s="10" t="n">
        <x:v>13</x:v>
      </x:c>
      <x:c r="H606" s="10" t="n">
        <x:f>ABS(G606-F606)</x:f>
        <x:v>2</x:v>
      </x:c>
      <x:c r="I606" s="10" t="n">
        <x:f>G606-F606</x:f>
        <x:v>-2</x:v>
      </x:c>
    </x:row>
    <x:row r="607" ht="20" customHeight="1">
      <x:c r="A607" s="1" t="str">
        <x:v>21754</x:v>
      </x:c>
      <x:c r="B607" s="10" t="n">
        <x:v>3</x:v>
      </x:c>
      <x:c r="C607" s="9" t="d">
        <x:v>2011-11-16T00:00:00.000Z</x:v>
      </x:c>
      <x:c r="D607" s="9" t="d">
        <x:v>2011-11-30T00:00:00.000Z</x:v>
      </x:c>
      <x:c r="E607" s="1" t="str">
        <x:v>naive</x:v>
      </x:c>
      <x:c r="F607" s="10" t="n">
        <x:v>4</x:v>
      </x:c>
      <x:c r="G607" s="10" t="n">
        <x:v>13</x:v>
      </x:c>
      <x:c r="H607" s="10" t="n">
        <x:f>ABS(G607-F607)</x:f>
        <x:v>9</x:v>
      </x:c>
      <x:c r="I607" s="10" t="n">
        <x:f>G607-F607</x:f>
        <x:v>9</x:v>
      </x:c>
    </x:row>
    <x:row r="608" ht="20" customHeight="1">
      <x:c r="A608" s="1" t="str">
        <x:v>21754</x:v>
      </x:c>
      <x:c r="B608" s="10" t="n">
        <x:v>3</x:v>
      </x:c>
      <x:c r="C608" s="9" t="d">
        <x:v>2011-11-16T00:00:00.000Z</x:v>
      </x:c>
      <x:c r="D608" s="9" t="d">
        <x:v>2011-11-17T00:00:00.000Z</x:v>
      </x:c>
      <x:c r="E608" s="1" t="str">
        <x:v>seasonal_naive</x:v>
      </x:c>
      <x:c r="F608" s="10" t="n">
        <x:v>32</x:v>
      </x:c>
      <x:c r="G608" s="10" t="n">
        <x:v>4</x:v>
      </x:c>
      <x:c r="H608" s="10" t="n">
        <x:f>ABS(G608-F608)</x:f>
        <x:v>28</x:v>
      </x:c>
      <x:c r="I608" s="10" t="n">
        <x:f>G608-F608</x:f>
        <x:v>-28</x:v>
      </x:c>
    </x:row>
    <x:row r="609" ht="20" customHeight="1">
      <x:c r="A609" s="1" t="str">
        <x:v>21754</x:v>
      </x:c>
      <x:c r="B609" s="10" t="n">
        <x:v>3</x:v>
      </x:c>
      <x:c r="C609" s="9" t="d">
        <x:v>2011-11-16T00:00:00.000Z</x:v>
      </x:c>
      <x:c r="D609" s="9" t="d">
        <x:v>2011-11-18T00:00:00.000Z</x:v>
      </x:c>
      <x:c r="E609" s="1" t="str">
        <x:v>seasonal_naive</x:v>
      </x:c>
      <x:c r="F609" s="10" t="n">
        <x:v>3</x:v>
      </x:c>
      <x:c r="G609" s="10" t="n">
        <x:v>1</x:v>
      </x:c>
      <x:c r="H609" s="10" t="n">
        <x:f>ABS(G609-F609)</x:f>
        <x:v>2</x:v>
      </x:c>
      <x:c r="I609" s="10" t="n">
        <x:f>G609-F609</x:f>
        <x:v>-2</x:v>
      </x:c>
    </x:row>
    <x:row r="610" ht="20" customHeight="1">
      <x:c r="A610" s="1" t="str">
        <x:v>21754</x:v>
      </x:c>
      <x:c r="B610" s="10" t="n">
        <x:v>3</x:v>
      </x:c>
      <x:c r="C610" s="9" t="d">
        <x:v>2011-11-16T00:00:00.000Z</x:v>
      </x:c>
      <x:c r="D610" s="9" t="d">
        <x:v>2011-11-19T00:00:00.000Z</x:v>
      </x:c>
      <x:c r="E610" s="1" t="str">
        <x:v>seasonal_naive</x:v>
      </x:c>
      <x:c r="F610" s="10" t="n">
        <x:v>0</x:v>
      </x:c>
      <x:c r="G610" s="10" t="n">
        <x:v>0</x:v>
      </x:c>
      <x:c r="H610" s="10" t="n">
        <x:f>ABS(G610-F610)</x:f>
        <x:v>0</x:v>
      </x:c>
      <x:c r="I610" s="10" t="n">
        <x:f>G610-F610</x:f>
        <x:v>0</x:v>
      </x:c>
    </x:row>
    <x:row r="611" ht="20" customHeight="1">
      <x:c r="A611" s="1" t="str">
        <x:v>21754</x:v>
      </x:c>
      <x:c r="B611" s="10" t="n">
        <x:v>3</x:v>
      </x:c>
      <x:c r="C611" s="9" t="d">
        <x:v>2011-11-16T00:00:00.000Z</x:v>
      </x:c>
      <x:c r="D611" s="9" t="d">
        <x:v>2011-11-20T00:00:00.000Z</x:v>
      </x:c>
      <x:c r="E611" s="1" t="str">
        <x:v>seasonal_naive</x:v>
      </x:c>
      <x:c r="F611" s="10" t="n">
        <x:v>13</x:v>
      </x:c>
      <x:c r="G611" s="10" t="n">
        <x:v>6</x:v>
      </x:c>
      <x:c r="H611" s="10" t="n">
        <x:f>ABS(G611-F611)</x:f>
        <x:v>7</x:v>
      </x:c>
      <x:c r="I611" s="10" t="n">
        <x:f>G611-F611</x:f>
        <x:v>-7</x:v>
      </x:c>
    </x:row>
    <x:row r="612" ht="20" customHeight="1">
      <x:c r="A612" s="1" t="str">
        <x:v>21754</x:v>
      </x:c>
      <x:c r="B612" s="10" t="n">
        <x:v>3</x:v>
      </x:c>
      <x:c r="C612" s="9" t="d">
        <x:v>2011-11-16T00:00:00.000Z</x:v>
      </x:c>
      <x:c r="D612" s="9" t="d">
        <x:v>2011-11-21T00:00:00.000Z</x:v>
      </x:c>
      <x:c r="E612" s="1" t="str">
        <x:v>seasonal_naive</x:v>
      </x:c>
      <x:c r="F612" s="10" t="n">
        <x:v>6</x:v>
      </x:c>
      <x:c r="G612" s="10" t="n">
        <x:v>0</x:v>
      </x:c>
      <x:c r="H612" s="10" t="n">
        <x:f>ABS(G612-F612)</x:f>
        <x:v>6</x:v>
      </x:c>
      <x:c r="I612" s="10" t="n">
        <x:f>G612-F612</x:f>
        <x:v>-6</x:v>
      </x:c>
    </x:row>
    <x:row r="613" ht="20" customHeight="1">
      <x:c r="A613" s="1" t="str">
        <x:v>21754</x:v>
      </x:c>
      <x:c r="B613" s="10" t="n">
        <x:v>3</x:v>
      </x:c>
      <x:c r="C613" s="9" t="d">
        <x:v>2011-11-16T00:00:00.000Z</x:v>
      </x:c>
      <x:c r="D613" s="9" t="d">
        <x:v>2011-11-22T00:00:00.000Z</x:v>
      </x:c>
      <x:c r="E613" s="1" t="str">
        <x:v>seasonal_naive</x:v>
      </x:c>
      <x:c r="F613" s="10" t="n">
        <x:v>8</x:v>
      </x:c>
      <x:c r="G613" s="10" t="n">
        <x:v>9</x:v>
      </x:c>
      <x:c r="H613" s="10" t="n">
        <x:f>ABS(G613-F613)</x:f>
        <x:v>1</x:v>
      </x:c>
      <x:c r="I613" s="10" t="n">
        <x:f>G613-F613</x:f>
        <x:v>1</x:v>
      </x:c>
    </x:row>
    <x:row r="614" ht="20" customHeight="1">
      <x:c r="A614" s="1" t="str">
        <x:v>21754</x:v>
      </x:c>
      <x:c r="B614" s="10" t="n">
        <x:v>3</x:v>
      </x:c>
      <x:c r="C614" s="9" t="d">
        <x:v>2011-11-16T00:00:00.000Z</x:v>
      </x:c>
      <x:c r="D614" s="9" t="d">
        <x:v>2011-11-23T00:00:00.000Z</x:v>
      </x:c>
      <x:c r="E614" s="1" t="str">
        <x:v>seasonal_naive</x:v>
      </x:c>
      <x:c r="F614" s="10" t="n">
        <x:v>14</x:v>
      </x:c>
      <x:c r="G614" s="10" t="n">
        <x:v>13</x:v>
      </x:c>
      <x:c r="H614" s="10" t="n">
        <x:f>ABS(G614-F614)</x:f>
        <x:v>1</x:v>
      </x:c>
      <x:c r="I614" s="10" t="n">
        <x:f>G614-F614</x:f>
        <x:v>-1</x:v>
      </x:c>
    </x:row>
    <x:row r="615" ht="20" customHeight="1">
      <x:c r="A615" s="1" t="str">
        <x:v>21754</x:v>
      </x:c>
      <x:c r="B615" s="10" t="n">
        <x:v>3</x:v>
      </x:c>
      <x:c r="C615" s="9" t="d">
        <x:v>2011-11-16T00:00:00.000Z</x:v>
      </x:c>
      <x:c r="D615" s="9" t="d">
        <x:v>2011-11-24T00:00:00.000Z</x:v>
      </x:c>
      <x:c r="E615" s="1" t="str">
        <x:v>seasonal_naive</x:v>
      </x:c>
      <x:c r="F615" s="10" t="n">
        <x:v>7</x:v>
      </x:c>
      <x:c r="G615" s="10" t="n">
        <x:v>4</x:v>
      </x:c>
      <x:c r="H615" s="10" t="n">
        <x:f>ABS(G615-F615)</x:f>
        <x:v>3</x:v>
      </x:c>
      <x:c r="I615" s="10" t="n">
        <x:f>G615-F615</x:f>
        <x:v>-3</x:v>
      </x:c>
    </x:row>
    <x:row r="616" ht="20" customHeight="1">
      <x:c r="A616" s="1" t="str">
        <x:v>21754</x:v>
      </x:c>
      <x:c r="B616" s="10" t="n">
        <x:v>3</x:v>
      </x:c>
      <x:c r="C616" s="9" t="d">
        <x:v>2011-11-16T00:00:00.000Z</x:v>
      </x:c>
      <x:c r="D616" s="9" t="d">
        <x:v>2011-11-25T00:00:00.000Z</x:v>
      </x:c>
      <x:c r="E616" s="1" t="str">
        <x:v>seasonal_naive</x:v>
      </x:c>
      <x:c r="F616" s="10" t="n">
        <x:v>18</x:v>
      </x:c>
      <x:c r="G616" s="10" t="n">
        <x:v>1</x:v>
      </x:c>
      <x:c r="H616" s="10" t="n">
        <x:f>ABS(G616-F616)</x:f>
        <x:v>17</x:v>
      </x:c>
      <x:c r="I616" s="10" t="n">
        <x:f>G616-F616</x:f>
        <x:v>-17</x:v>
      </x:c>
    </x:row>
    <x:row r="617" ht="20" customHeight="1">
      <x:c r="A617" s="1" t="str">
        <x:v>21754</x:v>
      </x:c>
      <x:c r="B617" s="10" t="n">
        <x:v>3</x:v>
      </x:c>
      <x:c r="C617" s="9" t="d">
        <x:v>2011-11-16T00:00:00.000Z</x:v>
      </x:c>
      <x:c r="D617" s="9" t="d">
        <x:v>2011-11-26T00:00:00.000Z</x:v>
      </x:c>
      <x:c r="E617" s="1" t="str">
        <x:v>seasonal_naive</x:v>
      </x:c>
      <x:c r="F617" s="10" t="n">
        <x:v>0</x:v>
      </x:c>
      <x:c r="G617" s="10" t="n">
        <x:v>0</x:v>
      </x:c>
      <x:c r="H617" s="10" t="n">
        <x:f>ABS(G617-F617)</x:f>
        <x:v>0</x:v>
      </x:c>
      <x:c r="I617" s="10" t="n">
        <x:f>G617-F617</x:f>
        <x:v>0</x:v>
      </x:c>
    </x:row>
    <x:row r="618" ht="20" customHeight="1">
      <x:c r="A618" s="1" t="str">
        <x:v>21754</x:v>
      </x:c>
      <x:c r="B618" s="10" t="n">
        <x:v>3</x:v>
      </x:c>
      <x:c r="C618" s="9" t="d">
        <x:v>2011-11-16T00:00:00.000Z</x:v>
      </x:c>
      <x:c r="D618" s="9" t="d">
        <x:v>2011-11-27T00:00:00.000Z</x:v>
      </x:c>
      <x:c r="E618" s="1" t="str">
        <x:v>seasonal_naive</x:v>
      </x:c>
      <x:c r="F618" s="10" t="n">
        <x:v>5</x:v>
      </x:c>
      <x:c r="G618" s="10" t="n">
        <x:v>6</x:v>
      </x:c>
      <x:c r="H618" s="10" t="n">
        <x:f>ABS(G618-F618)</x:f>
        <x:v>1</x:v>
      </x:c>
      <x:c r="I618" s="10" t="n">
        <x:f>G618-F618</x:f>
        <x:v>1</x:v>
      </x:c>
    </x:row>
    <x:row r="619" ht="20" customHeight="1">
      <x:c r="A619" s="1" t="str">
        <x:v>21754</x:v>
      </x:c>
      <x:c r="B619" s="10" t="n">
        <x:v>3</x:v>
      </x:c>
      <x:c r="C619" s="9" t="d">
        <x:v>2011-11-16T00:00:00.000Z</x:v>
      </x:c>
      <x:c r="D619" s="9" t="d">
        <x:v>2011-11-28T00:00:00.000Z</x:v>
      </x:c>
      <x:c r="E619" s="1" t="str">
        <x:v>seasonal_naive</x:v>
      </x:c>
      <x:c r="F619" s="10" t="n">
        <x:v>3</x:v>
      </x:c>
      <x:c r="G619" s="10" t="n">
        <x:v>0</x:v>
      </x:c>
      <x:c r="H619" s="10" t="n">
        <x:f>ABS(G619-F619)</x:f>
        <x:v>3</x:v>
      </x:c>
      <x:c r="I619" s="10" t="n">
        <x:f>G619-F619</x:f>
        <x:v>-3</x:v>
      </x:c>
    </x:row>
    <x:row r="620" ht="20" customHeight="1">
      <x:c r="A620" s="1" t="str">
        <x:v>21754</x:v>
      </x:c>
      <x:c r="B620" s="10" t="n">
        <x:v>3</x:v>
      </x:c>
      <x:c r="C620" s="9" t="d">
        <x:v>2011-11-16T00:00:00.000Z</x:v>
      </x:c>
      <x:c r="D620" s="9" t="d">
        <x:v>2011-11-29T00:00:00.000Z</x:v>
      </x:c>
      <x:c r="E620" s="1" t="str">
        <x:v>seasonal_naive</x:v>
      </x:c>
      <x:c r="F620" s="10" t="n">
        <x:v>15</x:v>
      </x:c>
      <x:c r="G620" s="10" t="n">
        <x:v>9</x:v>
      </x:c>
      <x:c r="H620" s="10" t="n">
        <x:f>ABS(G620-F620)</x:f>
        <x:v>6</x:v>
      </x:c>
      <x:c r="I620" s="10" t="n">
        <x:f>G620-F620</x:f>
        <x:v>-6</x:v>
      </x:c>
    </x:row>
    <x:row r="621" ht="20" customHeight="1">
      <x:c r="A621" s="1" t="str">
        <x:v>21754</x:v>
      </x:c>
      <x:c r="B621" s="10" t="n">
        <x:v>3</x:v>
      </x:c>
      <x:c r="C621" s="9" t="d">
        <x:v>2011-11-16T00:00:00.000Z</x:v>
      </x:c>
      <x:c r="D621" s="9" t="d">
        <x:v>2011-11-30T00:00:00.000Z</x:v>
      </x:c>
      <x:c r="E621" s="1" t="str">
        <x:v>seasonal_naive</x:v>
      </x:c>
      <x:c r="F621" s="10" t="n">
        <x:v>4</x:v>
      </x:c>
      <x:c r="G621" s="10" t="n">
        <x:v>13</x:v>
      </x:c>
      <x:c r="H621" s="10" t="n">
        <x:f>ABS(G621-F621)</x:f>
        <x:v>9</x:v>
      </x:c>
      <x:c r="I621" s="10" t="n">
        <x:f>G621-F621</x:f>
        <x:v>9</x:v>
      </x:c>
    </x:row>
    <x:row r="622" ht="20" customHeight="1">
      <x:c r="A622" s="1" t="str">
        <x:v>21754</x:v>
      </x:c>
      <x:c r="B622" s="10" t="n">
        <x:v>3</x:v>
      </x:c>
      <x:c r="C622" s="9" t="d">
        <x:v>2011-11-16T00:00:00.000Z</x:v>
      </x:c>
      <x:c r="D622" s="9" t="d">
        <x:v>2011-11-17T00:00:00.000Z</x:v>
      </x:c>
      <x:c r="E622" s="1" t="str">
        <x:v>ridge</x:v>
      </x:c>
      <x:c r="F622" s="10" t="n">
        <x:v>32</x:v>
      </x:c>
      <x:c r="G622" s="10" t="n">
        <x:v>6.6006622768</x:v>
      </x:c>
      <x:c r="H622" s="10" t="n">
        <x:f>ABS(G622-F622)</x:f>
        <x:v>25.3993377232</x:v>
      </x:c>
      <x:c r="I622" s="10" t="n">
        <x:f>G622-F622</x:f>
        <x:v>-25.3993377232</x:v>
      </x:c>
    </x:row>
    <x:row r="623" ht="20" customHeight="1">
      <x:c r="A623" s="1" t="str">
        <x:v>21754</x:v>
      </x:c>
      <x:c r="B623" s="10" t="n">
        <x:v>3</x:v>
      </x:c>
      <x:c r="C623" s="9" t="d">
        <x:v>2011-11-16T00:00:00.000Z</x:v>
      </x:c>
      <x:c r="D623" s="9" t="d">
        <x:v>2011-11-18T00:00:00.000Z</x:v>
      </x:c>
      <x:c r="E623" s="1" t="str">
        <x:v>ridge</x:v>
      </x:c>
      <x:c r="F623" s="10" t="n">
        <x:v>3</x:v>
      </x:c>
      <x:c r="G623" s="10" t="n">
        <x:v>4.3935038799</x:v>
      </x:c>
      <x:c r="H623" s="10" t="n">
        <x:f>ABS(G623-F623)</x:f>
        <x:v>1.3935038799</x:v>
      </x:c>
      <x:c r="I623" s="10" t="n">
        <x:f>G623-F623</x:f>
        <x:v>1.3935038799</x:v>
      </x:c>
    </x:row>
    <x:row r="624" ht="20" customHeight="1">
      <x:c r="A624" s="1" t="str">
        <x:v>21754</x:v>
      </x:c>
      <x:c r="B624" s="10" t="n">
        <x:v>3</x:v>
      </x:c>
      <x:c r="C624" s="9" t="d">
        <x:v>2011-11-16T00:00:00.000Z</x:v>
      </x:c>
      <x:c r="D624" s="9" t="d">
        <x:v>2011-11-19T00:00:00.000Z</x:v>
      </x:c>
      <x:c r="E624" s="1" t="str">
        <x:v>ridge</x:v>
      </x:c>
      <x:c r="F624" s="10" t="n">
        <x:v>0</x:v>
      </x:c>
      <x:c r="G624" s="10" t="n">
        <x:v>2.9445752409</x:v>
      </x:c>
      <x:c r="H624" s="10" t="n">
        <x:f>ABS(G624-F624)</x:f>
        <x:v>2.9445752409</x:v>
      </x:c>
      <x:c r="I624" s="10" t="n">
        <x:f>G624-F624</x:f>
        <x:v>2.9445752409</x:v>
      </x:c>
    </x:row>
    <x:row r="625" ht="20" customHeight="1">
      <x:c r="A625" s="1" t="str">
        <x:v>21754</x:v>
      </x:c>
      <x:c r="B625" s="10" t="n">
        <x:v>3</x:v>
      </x:c>
      <x:c r="C625" s="9" t="d">
        <x:v>2011-11-16T00:00:00.000Z</x:v>
      </x:c>
      <x:c r="D625" s="9" t="d">
        <x:v>2011-11-20T00:00:00.000Z</x:v>
      </x:c>
      <x:c r="E625" s="1" t="str">
        <x:v>ridge</x:v>
      </x:c>
      <x:c r="F625" s="10" t="n">
        <x:v>13</x:v>
      </x:c>
      <x:c r="G625" s="10" t="n">
        <x:v>4.8610899778</x:v>
      </x:c>
      <x:c r="H625" s="10" t="n">
        <x:f>ABS(G625-F625)</x:f>
        <x:v>8.138910022200001</x:v>
      </x:c>
      <x:c r="I625" s="10" t="n">
        <x:f>G625-F625</x:f>
        <x:v>-8.138910022200001</x:v>
      </x:c>
    </x:row>
    <x:row r="626" ht="20" customHeight="1">
      <x:c r="A626" s="1" t="str">
        <x:v>21754</x:v>
      </x:c>
      <x:c r="B626" s="10" t="n">
        <x:v>3</x:v>
      </x:c>
      <x:c r="C626" s="9" t="d">
        <x:v>2011-11-16T00:00:00.000Z</x:v>
      </x:c>
      <x:c r="D626" s="9" t="d">
        <x:v>2011-11-21T00:00:00.000Z</x:v>
      </x:c>
      <x:c r="E626" s="1" t="str">
        <x:v>ridge</x:v>
      </x:c>
      <x:c r="F626" s="10" t="n">
        <x:v>6</x:v>
      </x:c>
      <x:c r="G626" s="10" t="n">
        <x:v>7.8539724792</x:v>
      </x:c>
      <x:c r="H626" s="10" t="n">
        <x:f>ABS(G626-F626)</x:f>
        <x:v>1.8539724792000003</x:v>
      </x:c>
      <x:c r="I626" s="10" t="n">
        <x:f>G626-F626</x:f>
        <x:v>1.8539724792000003</x:v>
      </x:c>
    </x:row>
    <x:row r="627" ht="20" customHeight="1">
      <x:c r="A627" s="1" t="str">
        <x:v>21754</x:v>
      </x:c>
      <x:c r="B627" s="10" t="n">
        <x:v>3</x:v>
      </x:c>
      <x:c r="C627" s="9" t="d">
        <x:v>2011-11-16T00:00:00.000Z</x:v>
      </x:c>
      <x:c r="D627" s="9" t="d">
        <x:v>2011-11-22T00:00:00.000Z</x:v>
      </x:c>
      <x:c r="E627" s="1" t="str">
        <x:v>ridge</x:v>
      </x:c>
      <x:c r="F627" s="10" t="n">
        <x:v>8</x:v>
      </x:c>
      <x:c r="G627" s="10" t="n">
        <x:v>10.3001667127</x:v>
      </x:c>
      <x:c r="H627" s="10" t="n">
        <x:f>ABS(G627-F627)</x:f>
        <x:v>2.3001667126999994</x:v>
      </x:c>
      <x:c r="I627" s="10" t="n">
        <x:f>G627-F627</x:f>
        <x:v>2.3001667126999994</x:v>
      </x:c>
    </x:row>
    <x:row r="628" ht="20" customHeight="1">
      <x:c r="A628" s="1" t="str">
        <x:v>21754</x:v>
      </x:c>
      <x:c r="B628" s="10" t="n">
        <x:v>3</x:v>
      </x:c>
      <x:c r="C628" s="9" t="d">
        <x:v>2011-11-16T00:00:00.000Z</x:v>
      </x:c>
      <x:c r="D628" s="9" t="d">
        <x:v>2011-11-23T00:00:00.000Z</x:v>
      </x:c>
      <x:c r="E628" s="1" t="str">
        <x:v>ridge</x:v>
      </x:c>
      <x:c r="F628" s="10" t="n">
        <x:v>14</x:v>
      </x:c>
      <x:c r="G628" s="10" t="n">
        <x:v>9.8314918079</x:v>
      </x:c>
      <x:c r="H628" s="10" t="n">
        <x:f>ABS(G628-F628)</x:f>
        <x:v>4.168508192099999</x:v>
      </x:c>
      <x:c r="I628" s="10" t="n">
        <x:f>G628-F628</x:f>
        <x:v>-4.168508192099999</x:v>
      </x:c>
    </x:row>
    <x:row r="629" ht="20" customHeight="1">
      <x:c r="A629" s="1" t="str">
        <x:v>21754</x:v>
      </x:c>
      <x:c r="B629" s="10" t="n">
        <x:v>3</x:v>
      </x:c>
      <x:c r="C629" s="9" t="d">
        <x:v>2011-11-16T00:00:00.000Z</x:v>
      </x:c>
      <x:c r="D629" s="9" t="d">
        <x:v>2011-11-24T00:00:00.000Z</x:v>
      </x:c>
      <x:c r="E629" s="1" t="str">
        <x:v>ridge</x:v>
      </x:c>
      <x:c r="F629" s="10" t="n">
        <x:v>7</x:v>
      </x:c>
      <x:c r="G629" s="10" t="n">
        <x:v>7.3728445732</x:v>
      </x:c>
      <x:c r="H629" s="10" t="n">
        <x:f>ABS(G629-F629)</x:f>
        <x:v>0.3728445732000001</x:v>
      </x:c>
      <x:c r="I629" s="10" t="n">
        <x:f>G629-F629</x:f>
        <x:v>0.3728445732000001</x:v>
      </x:c>
    </x:row>
    <x:row r="630" ht="20" customHeight="1">
      <x:c r="A630" s="1" t="str">
        <x:v>21754</x:v>
      </x:c>
      <x:c r="B630" s="10" t="n">
        <x:v>3</x:v>
      </x:c>
      <x:c r="C630" s="9" t="d">
        <x:v>2011-11-16T00:00:00.000Z</x:v>
      </x:c>
      <x:c r="D630" s="9" t="d">
        <x:v>2011-11-25T00:00:00.000Z</x:v>
      </x:c>
      <x:c r="E630" s="1" t="str">
        <x:v>ridge</x:v>
      </x:c>
      <x:c r="F630" s="10" t="n">
        <x:v>18</x:v>
      </x:c>
      <x:c r="G630" s="10" t="n">
        <x:v>4.4534625449</x:v>
      </x:c>
      <x:c r="H630" s="10" t="n">
        <x:f>ABS(G630-F630)</x:f>
        <x:v>13.546537455100001</x:v>
      </x:c>
      <x:c r="I630" s="10" t="n">
        <x:f>G630-F630</x:f>
        <x:v>-13.546537455100001</x:v>
      </x:c>
    </x:row>
    <x:row r="631" ht="20" customHeight="1">
      <x:c r="A631" s="1" t="str">
        <x:v>21754</x:v>
      </x:c>
      <x:c r="B631" s="10" t="n">
        <x:v>3</x:v>
      </x:c>
      <x:c r="C631" s="9" t="d">
        <x:v>2011-11-16T00:00:00.000Z</x:v>
      </x:c>
      <x:c r="D631" s="9" t="d">
        <x:v>2011-11-26T00:00:00.000Z</x:v>
      </x:c>
      <x:c r="E631" s="1" t="str">
        <x:v>ridge</x:v>
      </x:c>
      <x:c r="F631" s="10" t="n">
        <x:v>0</x:v>
      </x:c>
      <x:c r="G631" s="10" t="n">
        <x:v>3.4043122839</x:v>
      </x:c>
      <x:c r="H631" s="10" t="n">
        <x:f>ABS(G631-F631)</x:f>
        <x:v>3.4043122839</x:v>
      </x:c>
      <x:c r="I631" s="10" t="n">
        <x:f>G631-F631</x:f>
        <x:v>3.4043122839</x:v>
      </x:c>
    </x:row>
    <x:row r="632" ht="20" customHeight="1">
      <x:c r="A632" s="1" t="str">
        <x:v>21754</x:v>
      </x:c>
      <x:c r="B632" s="10" t="n">
        <x:v>3</x:v>
      </x:c>
      <x:c r="C632" s="9" t="d">
        <x:v>2011-11-16T00:00:00.000Z</x:v>
      </x:c>
      <x:c r="D632" s="9" t="d">
        <x:v>2011-11-27T00:00:00.000Z</x:v>
      </x:c>
      <x:c r="E632" s="1" t="str">
        <x:v>ridge</x:v>
      </x:c>
      <x:c r="F632" s="10" t="n">
        <x:v>5</x:v>
      </x:c>
      <x:c r="G632" s="10" t="n">
        <x:v>5.1341585953</x:v>
      </x:c>
      <x:c r="H632" s="10" t="n">
        <x:f>ABS(G632-F632)</x:f>
        <x:v>0.13415859529999974</x:v>
      </x:c>
      <x:c r="I632" s="10" t="n">
        <x:f>G632-F632</x:f>
        <x:v>0.13415859529999974</x:v>
      </x:c>
    </x:row>
    <x:row r="633" ht="20" customHeight="1">
      <x:c r="A633" s="1" t="str">
        <x:v>21754</x:v>
      </x:c>
      <x:c r="B633" s="10" t="n">
        <x:v>3</x:v>
      </x:c>
      <x:c r="C633" s="9" t="d">
        <x:v>2011-11-16T00:00:00.000Z</x:v>
      </x:c>
      <x:c r="D633" s="9" t="d">
        <x:v>2011-11-28T00:00:00.000Z</x:v>
      </x:c>
      <x:c r="E633" s="1" t="str">
        <x:v>ridge</x:v>
      </x:c>
      <x:c r="F633" s="10" t="n">
        <x:v>3</x:v>
      </x:c>
      <x:c r="G633" s="10" t="n">
        <x:v>7.7669901823</x:v>
      </x:c>
      <x:c r="H633" s="10" t="n">
        <x:f>ABS(G633-F633)</x:f>
        <x:v>4.7669901823</x:v>
      </x:c>
      <x:c r="I633" s="10" t="n">
        <x:f>G633-F633</x:f>
        <x:v>4.7669901823</x:v>
      </x:c>
    </x:row>
    <x:row r="634" ht="20" customHeight="1">
      <x:c r="A634" s="1" t="str">
        <x:v>21754</x:v>
      </x:c>
      <x:c r="B634" s="10" t="n">
        <x:v>3</x:v>
      </x:c>
      <x:c r="C634" s="9" t="d">
        <x:v>2011-11-16T00:00:00.000Z</x:v>
      </x:c>
      <x:c r="D634" s="9" t="d">
        <x:v>2011-11-29T00:00:00.000Z</x:v>
      </x:c>
      <x:c r="E634" s="1" t="str">
        <x:v>ridge</x:v>
      </x:c>
      <x:c r="F634" s="10" t="n">
        <x:v>15</x:v>
      </x:c>
      <x:c r="G634" s="10" t="n">
        <x:v>10.1964680937</x:v>
      </x:c>
      <x:c r="H634" s="10" t="n">
        <x:f>ABS(G634-F634)</x:f>
        <x:v>4.8035319063</x:v>
      </x:c>
      <x:c r="I634" s="10" t="n">
        <x:f>G634-F634</x:f>
        <x:v>-4.8035319063</x:v>
      </x:c>
    </x:row>
    <x:row r="635" ht="20" customHeight="1">
      <x:c r="A635" s="1" t="str">
        <x:v>21754</x:v>
      </x:c>
      <x:c r="B635" s="10" t="n">
        <x:v>3</x:v>
      </x:c>
      <x:c r="C635" s="9" t="d">
        <x:v>2011-11-16T00:00:00.000Z</x:v>
      </x:c>
      <x:c r="D635" s="9" t="d">
        <x:v>2011-11-30T00:00:00.000Z</x:v>
      </x:c>
      <x:c r="E635" s="1" t="str">
        <x:v>ridge</x:v>
      </x:c>
      <x:c r="F635" s="10" t="n">
        <x:v>4</x:v>
      </x:c>
      <x:c r="G635" s="10" t="n">
        <x:v>10.0319697657</x:v>
      </x:c>
      <x:c r="H635" s="10" t="n">
        <x:f>ABS(G635-F635)</x:f>
        <x:v>6.0319697656999995</x:v>
      </x:c>
      <x:c r="I635" s="10" t="n">
        <x:f>G635-F635</x:f>
        <x:v>6.0319697656999995</x:v>
      </x:c>
    </x:row>
    <x:row r="636" ht="20" customHeight="1">
      <x:c r="A636" s="1" t="str">
        <x:v>22111</x:v>
      </x:c>
      <x:c r="B636" s="10" t="n">
        <x:v>1</x:v>
      </x:c>
      <x:c r="C636" s="9" t="d">
        <x:v>2011-10-19T00:00:00.000Z</x:v>
      </x:c>
      <x:c r="D636" s="9" t="d">
        <x:v>2011-10-20T00:00:00.000Z</x:v>
      </x:c>
      <x:c r="E636" s="1" t="str">
        <x:v>naive</x:v>
      </x:c>
      <x:c r="F636" s="10" t="n">
        <x:v>30</x:v>
      </x:c>
      <x:c r="G636" s="10" t="n">
        <x:v>45</x:v>
      </x:c>
      <x:c r="H636" s="10" t="n">
        <x:f>ABS(G636-F636)</x:f>
        <x:v>15</x:v>
      </x:c>
      <x:c r="I636" s="10" t="n">
        <x:f>G636-F636</x:f>
        <x:v>15</x:v>
      </x:c>
    </x:row>
    <x:row r="637" ht="20" customHeight="1">
      <x:c r="A637" s="1" t="str">
        <x:v>22111</x:v>
      </x:c>
      <x:c r="B637" s="10" t="n">
        <x:v>1</x:v>
      </x:c>
      <x:c r="C637" s="9" t="d">
        <x:v>2011-10-19T00:00:00.000Z</x:v>
      </x:c>
      <x:c r="D637" s="9" t="d">
        <x:v>2011-10-21T00:00:00.000Z</x:v>
      </x:c>
      <x:c r="E637" s="1" t="str">
        <x:v>naive</x:v>
      </x:c>
      <x:c r="F637" s="10" t="n">
        <x:v>11</x:v>
      </x:c>
      <x:c r="G637" s="10" t="n">
        <x:v>45</x:v>
      </x:c>
      <x:c r="H637" s="10" t="n">
        <x:f>ABS(G637-F637)</x:f>
        <x:v>34</x:v>
      </x:c>
      <x:c r="I637" s="10" t="n">
        <x:f>G637-F637</x:f>
        <x:v>34</x:v>
      </x:c>
    </x:row>
    <x:row r="638" ht="20" customHeight="1">
      <x:c r="A638" s="1" t="str">
        <x:v>22111</x:v>
      </x:c>
      <x:c r="B638" s="10" t="n">
        <x:v>1</x:v>
      </x:c>
      <x:c r="C638" s="9" t="d">
        <x:v>2011-10-19T00:00:00.000Z</x:v>
      </x:c>
      <x:c r="D638" s="9" t="d">
        <x:v>2011-10-22T00:00:00.000Z</x:v>
      </x:c>
      <x:c r="E638" s="1" t="str">
        <x:v>naive</x:v>
      </x:c>
      <x:c r="F638" s="10" t="n">
        <x:v>0</x:v>
      </x:c>
      <x:c r="G638" s="10" t="n">
        <x:v>45</x:v>
      </x:c>
      <x:c r="H638" s="10" t="n">
        <x:f>ABS(G638-F638)</x:f>
        <x:v>45</x:v>
      </x:c>
      <x:c r="I638" s="10" t="n">
        <x:f>G638-F638</x:f>
        <x:v>45</x:v>
      </x:c>
    </x:row>
    <x:row r="639" ht="20" customHeight="1">
      <x:c r="A639" s="1" t="str">
        <x:v>22111</x:v>
      </x:c>
      <x:c r="B639" s="10" t="n">
        <x:v>1</x:v>
      </x:c>
      <x:c r="C639" s="9" t="d">
        <x:v>2011-10-19T00:00:00.000Z</x:v>
      </x:c>
      <x:c r="D639" s="9" t="d">
        <x:v>2011-10-23T00:00:00.000Z</x:v>
      </x:c>
      <x:c r="E639" s="1" t="str">
        <x:v>naive</x:v>
      </x:c>
      <x:c r="F639" s="10" t="n">
        <x:v>14</x:v>
      </x:c>
      <x:c r="G639" s="10" t="n">
        <x:v>45</x:v>
      </x:c>
      <x:c r="H639" s="10" t="n">
        <x:f>ABS(G639-F639)</x:f>
        <x:v>31</x:v>
      </x:c>
      <x:c r="I639" s="10" t="n">
        <x:f>G639-F639</x:f>
        <x:v>31</x:v>
      </x:c>
    </x:row>
    <x:row r="640" ht="20" customHeight="1">
      <x:c r="A640" s="1" t="str">
        <x:v>22111</x:v>
      </x:c>
      <x:c r="B640" s="10" t="n">
        <x:v>1</x:v>
      </x:c>
      <x:c r="C640" s="9" t="d">
        <x:v>2011-10-19T00:00:00.000Z</x:v>
      </x:c>
      <x:c r="D640" s="9" t="d">
        <x:v>2011-10-24T00:00:00.000Z</x:v>
      </x:c>
      <x:c r="E640" s="1" t="str">
        <x:v>naive</x:v>
      </x:c>
      <x:c r="F640" s="10" t="n">
        <x:v>4</x:v>
      </x:c>
      <x:c r="G640" s="10" t="n">
        <x:v>45</x:v>
      </x:c>
      <x:c r="H640" s="10" t="n">
        <x:f>ABS(G640-F640)</x:f>
        <x:v>41</x:v>
      </x:c>
      <x:c r="I640" s="10" t="n">
        <x:f>G640-F640</x:f>
        <x:v>41</x:v>
      </x:c>
    </x:row>
    <x:row r="641" ht="20" customHeight="1">
      <x:c r="A641" s="1" t="str">
        <x:v>22111</x:v>
      </x:c>
      <x:c r="B641" s="10" t="n">
        <x:v>1</x:v>
      </x:c>
      <x:c r="C641" s="9" t="d">
        <x:v>2011-10-19T00:00:00.000Z</x:v>
      </x:c>
      <x:c r="D641" s="9" t="d">
        <x:v>2011-10-25T00:00:00.000Z</x:v>
      </x:c>
      <x:c r="E641" s="1" t="str">
        <x:v>naive</x:v>
      </x:c>
      <x:c r="F641" s="10" t="n">
        <x:v>9</x:v>
      </x:c>
      <x:c r="G641" s="10" t="n">
        <x:v>45</x:v>
      </x:c>
      <x:c r="H641" s="10" t="n">
        <x:f>ABS(G641-F641)</x:f>
        <x:v>36</x:v>
      </x:c>
      <x:c r="I641" s="10" t="n">
        <x:f>G641-F641</x:f>
        <x:v>36</x:v>
      </x:c>
    </x:row>
    <x:row r="642" ht="20" customHeight="1">
      <x:c r="A642" s="1" t="str">
        <x:v>22111</x:v>
      </x:c>
      <x:c r="B642" s="10" t="n">
        <x:v>1</x:v>
      </x:c>
      <x:c r="C642" s="9" t="d">
        <x:v>2011-10-19T00:00:00.000Z</x:v>
      </x:c>
      <x:c r="D642" s="9" t="d">
        <x:v>2011-10-26T00:00:00.000Z</x:v>
      </x:c>
      <x:c r="E642" s="1" t="str">
        <x:v>naive</x:v>
      </x:c>
      <x:c r="F642" s="10" t="n">
        <x:v>27</x:v>
      </x:c>
      <x:c r="G642" s="10" t="n">
        <x:v>45</x:v>
      </x:c>
      <x:c r="H642" s="10" t="n">
        <x:f>ABS(G642-F642)</x:f>
        <x:v>18</x:v>
      </x:c>
      <x:c r="I642" s="10" t="n">
        <x:f>G642-F642</x:f>
        <x:v>18</x:v>
      </x:c>
    </x:row>
    <x:row r="643" ht="20" customHeight="1">
      <x:c r="A643" s="1" t="str">
        <x:v>22111</x:v>
      </x:c>
      <x:c r="B643" s="10" t="n">
        <x:v>1</x:v>
      </x:c>
      <x:c r="C643" s="9" t="d">
        <x:v>2011-10-19T00:00:00.000Z</x:v>
      </x:c>
      <x:c r="D643" s="9" t="d">
        <x:v>2011-10-27T00:00:00.000Z</x:v>
      </x:c>
      <x:c r="E643" s="1" t="str">
        <x:v>naive</x:v>
      </x:c>
      <x:c r="F643" s="10" t="n">
        <x:v>12</x:v>
      </x:c>
      <x:c r="G643" s="10" t="n">
        <x:v>45</x:v>
      </x:c>
      <x:c r="H643" s="10" t="n">
        <x:f>ABS(G643-F643)</x:f>
        <x:v>33</x:v>
      </x:c>
      <x:c r="I643" s="10" t="n">
        <x:f>G643-F643</x:f>
        <x:v>33</x:v>
      </x:c>
    </x:row>
    <x:row r="644" ht="20" customHeight="1">
      <x:c r="A644" s="1" t="str">
        <x:v>22111</x:v>
      </x:c>
      <x:c r="B644" s="10" t="n">
        <x:v>1</x:v>
      </x:c>
      <x:c r="C644" s="9" t="d">
        <x:v>2011-10-19T00:00:00.000Z</x:v>
      </x:c>
      <x:c r="D644" s="9" t="d">
        <x:v>2011-10-28T00:00:00.000Z</x:v>
      </x:c>
      <x:c r="E644" s="1" t="str">
        <x:v>naive</x:v>
      </x:c>
      <x:c r="F644" s="10" t="n">
        <x:v>37</x:v>
      </x:c>
      <x:c r="G644" s="10" t="n">
        <x:v>45</x:v>
      </x:c>
      <x:c r="H644" s="10" t="n">
        <x:f>ABS(G644-F644)</x:f>
        <x:v>8</x:v>
      </x:c>
      <x:c r="I644" s="10" t="n">
        <x:f>G644-F644</x:f>
        <x:v>8</x:v>
      </x:c>
    </x:row>
    <x:row r="645" ht="20" customHeight="1">
      <x:c r="A645" s="1" t="str">
        <x:v>22111</x:v>
      </x:c>
      <x:c r="B645" s="10" t="n">
        <x:v>1</x:v>
      </x:c>
      <x:c r="C645" s="9" t="d">
        <x:v>2011-10-19T00:00:00.000Z</x:v>
      </x:c>
      <x:c r="D645" s="9" t="d">
        <x:v>2011-10-29T00:00:00.000Z</x:v>
      </x:c>
      <x:c r="E645" s="1" t="str">
        <x:v>naive</x:v>
      </x:c>
      <x:c r="F645" s="10" t="n">
        <x:v>0</x:v>
      </x:c>
      <x:c r="G645" s="10" t="n">
        <x:v>45</x:v>
      </x:c>
      <x:c r="H645" s="10" t="n">
        <x:f>ABS(G645-F645)</x:f>
        <x:v>45</x:v>
      </x:c>
      <x:c r="I645" s="10" t="n">
        <x:f>G645-F645</x:f>
        <x:v>45</x:v>
      </x:c>
    </x:row>
    <x:row r="646" ht="20" customHeight="1">
      <x:c r="A646" s="1" t="str">
        <x:v>22111</x:v>
      </x:c>
      <x:c r="B646" s="10" t="n">
        <x:v>1</x:v>
      </x:c>
      <x:c r="C646" s="9" t="d">
        <x:v>2011-10-19T00:00:00.000Z</x:v>
      </x:c>
      <x:c r="D646" s="9" t="d">
        <x:v>2011-10-30T00:00:00.000Z</x:v>
      </x:c>
      <x:c r="E646" s="1" t="str">
        <x:v>naive</x:v>
      </x:c>
      <x:c r="F646" s="10" t="n">
        <x:v>15</x:v>
      </x:c>
      <x:c r="G646" s="10" t="n">
        <x:v>45</x:v>
      </x:c>
      <x:c r="H646" s="10" t="n">
        <x:f>ABS(G646-F646)</x:f>
        <x:v>30</x:v>
      </x:c>
      <x:c r="I646" s="10" t="n">
        <x:f>G646-F646</x:f>
        <x:v>30</x:v>
      </x:c>
    </x:row>
    <x:row r="647" ht="20" customHeight="1">
      <x:c r="A647" s="1" t="str">
        <x:v>22111</x:v>
      </x:c>
      <x:c r="B647" s="10" t="n">
        <x:v>1</x:v>
      </x:c>
      <x:c r="C647" s="9" t="d">
        <x:v>2011-10-19T00:00:00.000Z</x:v>
      </x:c>
      <x:c r="D647" s="9" t="d">
        <x:v>2011-10-31T00:00:00.000Z</x:v>
      </x:c>
      <x:c r="E647" s="1" t="str">
        <x:v>naive</x:v>
      </x:c>
      <x:c r="F647" s="10" t="n">
        <x:v>17</x:v>
      </x:c>
      <x:c r="G647" s="10" t="n">
        <x:v>45</x:v>
      </x:c>
      <x:c r="H647" s="10" t="n">
        <x:f>ABS(G647-F647)</x:f>
        <x:v>28</x:v>
      </x:c>
      <x:c r="I647" s="10" t="n">
        <x:f>G647-F647</x:f>
        <x:v>28</x:v>
      </x:c>
    </x:row>
    <x:row r="648" ht="20" customHeight="1">
      <x:c r="A648" s="1" t="str">
        <x:v>22111</x:v>
      </x:c>
      <x:c r="B648" s="10" t="n">
        <x:v>1</x:v>
      </x:c>
      <x:c r="C648" s="9" t="d">
        <x:v>2011-10-19T00:00:00.000Z</x:v>
      </x:c>
      <x:c r="D648" s="9" t="d">
        <x:v>2011-11-01T00:00:00.000Z</x:v>
      </x:c>
      <x:c r="E648" s="1" t="str">
        <x:v>naive</x:v>
      </x:c>
      <x:c r="F648" s="10" t="n">
        <x:v>30</x:v>
      </x:c>
      <x:c r="G648" s="10" t="n">
        <x:v>45</x:v>
      </x:c>
      <x:c r="H648" s="10" t="n">
        <x:f>ABS(G648-F648)</x:f>
        <x:v>15</x:v>
      </x:c>
      <x:c r="I648" s="10" t="n">
        <x:f>G648-F648</x:f>
        <x:v>15</x:v>
      </x:c>
    </x:row>
    <x:row r="649" ht="20" customHeight="1">
      <x:c r="A649" s="1" t="str">
        <x:v>22111</x:v>
      </x:c>
      <x:c r="B649" s="10" t="n">
        <x:v>1</x:v>
      </x:c>
      <x:c r="C649" s="9" t="d">
        <x:v>2011-10-19T00:00:00.000Z</x:v>
      </x:c>
      <x:c r="D649" s="9" t="d">
        <x:v>2011-11-02T00:00:00.000Z</x:v>
      </x:c>
      <x:c r="E649" s="1" t="str">
        <x:v>naive</x:v>
      </x:c>
      <x:c r="F649" s="10" t="n">
        <x:v>6</x:v>
      </x:c>
      <x:c r="G649" s="10" t="n">
        <x:v>45</x:v>
      </x:c>
      <x:c r="H649" s="10" t="n">
        <x:f>ABS(G649-F649)</x:f>
        <x:v>39</x:v>
      </x:c>
      <x:c r="I649" s="10" t="n">
        <x:f>G649-F649</x:f>
        <x:v>39</x:v>
      </x:c>
    </x:row>
    <x:row r="650" ht="20" customHeight="1">
      <x:c r="A650" s="1" t="str">
        <x:v>22111</x:v>
      </x:c>
      <x:c r="B650" s="10" t="n">
        <x:v>1</x:v>
      </x:c>
      <x:c r="C650" s="9" t="d">
        <x:v>2011-10-19T00:00:00.000Z</x:v>
      </x:c>
      <x:c r="D650" s="9" t="d">
        <x:v>2011-10-20T00:00:00.000Z</x:v>
      </x:c>
      <x:c r="E650" s="1" t="str">
        <x:v>seasonal_naive</x:v>
      </x:c>
      <x:c r="F650" s="10" t="n">
        <x:v>30</x:v>
      </x:c>
      <x:c r="G650" s="10" t="n">
        <x:v>8</x:v>
      </x:c>
      <x:c r="H650" s="10" t="n">
        <x:f>ABS(G650-F650)</x:f>
        <x:v>22</x:v>
      </x:c>
      <x:c r="I650" s="10" t="n">
        <x:f>G650-F650</x:f>
        <x:v>-22</x:v>
      </x:c>
    </x:row>
    <x:row r="651" ht="20" customHeight="1">
      <x:c r="A651" s="1" t="str">
        <x:v>22111</x:v>
      </x:c>
      <x:c r="B651" s="10" t="n">
        <x:v>1</x:v>
      </x:c>
      <x:c r="C651" s="9" t="d">
        <x:v>2011-10-19T00:00:00.000Z</x:v>
      </x:c>
      <x:c r="D651" s="9" t="d">
        <x:v>2011-10-21T00:00:00.000Z</x:v>
      </x:c>
      <x:c r="E651" s="1" t="str">
        <x:v>seasonal_naive</x:v>
      </x:c>
      <x:c r="F651" s="10" t="n">
        <x:v>11</x:v>
      </x:c>
      <x:c r="G651" s="10" t="n">
        <x:v>7</x:v>
      </x:c>
      <x:c r="H651" s="10" t="n">
        <x:f>ABS(G651-F651)</x:f>
        <x:v>4</x:v>
      </x:c>
      <x:c r="I651" s="10" t="n">
        <x:f>G651-F651</x:f>
        <x:v>-4</x:v>
      </x:c>
    </x:row>
    <x:row r="652" ht="20" customHeight="1">
      <x:c r="A652" s="1" t="str">
        <x:v>22111</x:v>
      </x:c>
      <x:c r="B652" s="10" t="n">
        <x:v>1</x:v>
      </x:c>
      <x:c r="C652" s="9" t="d">
        <x:v>2011-10-19T00:00:00.000Z</x:v>
      </x:c>
      <x:c r="D652" s="9" t="d">
        <x:v>2011-10-22T00:00:00.000Z</x:v>
      </x:c>
      <x:c r="E652" s="1" t="str">
        <x:v>seasonal_naive</x:v>
      </x:c>
      <x:c r="F652" s="10" t="n">
        <x:v>0</x:v>
      </x:c>
      <x:c r="G652" s="10" t="n">
        <x:v>0</x:v>
      </x:c>
      <x:c r="H652" s="10" t="n">
        <x:f>ABS(G652-F652)</x:f>
        <x:v>0</x:v>
      </x:c>
      <x:c r="I652" s="10" t="n">
        <x:f>G652-F652</x:f>
        <x:v>0</x:v>
      </x:c>
    </x:row>
    <x:row r="653" ht="20" customHeight="1">
      <x:c r="A653" s="1" t="str">
        <x:v>22111</x:v>
      </x:c>
      <x:c r="B653" s="10" t="n">
        <x:v>1</x:v>
      </x:c>
      <x:c r="C653" s="9" t="d">
        <x:v>2011-10-19T00:00:00.000Z</x:v>
      </x:c>
      <x:c r="D653" s="9" t="d">
        <x:v>2011-10-23T00:00:00.000Z</x:v>
      </x:c>
      <x:c r="E653" s="1" t="str">
        <x:v>seasonal_naive</x:v>
      </x:c>
      <x:c r="F653" s="10" t="n">
        <x:v>14</x:v>
      </x:c>
      <x:c r="G653" s="10" t="n">
        <x:v>39</x:v>
      </x:c>
      <x:c r="H653" s="10" t="n">
        <x:f>ABS(G653-F653)</x:f>
        <x:v>25</x:v>
      </x:c>
      <x:c r="I653" s="10" t="n">
        <x:f>G653-F653</x:f>
        <x:v>25</x:v>
      </x:c>
    </x:row>
    <x:row r="654" ht="20" customHeight="1">
      <x:c r="A654" s="1" t="str">
        <x:v>22111</x:v>
      </x:c>
      <x:c r="B654" s="10" t="n">
        <x:v>1</x:v>
      </x:c>
      <x:c r="C654" s="9" t="d">
        <x:v>2011-10-19T00:00:00.000Z</x:v>
      </x:c>
      <x:c r="D654" s="9" t="d">
        <x:v>2011-10-24T00:00:00.000Z</x:v>
      </x:c>
      <x:c r="E654" s="1" t="str">
        <x:v>seasonal_naive</x:v>
      </x:c>
      <x:c r="F654" s="10" t="n">
        <x:v>4</x:v>
      </x:c>
      <x:c r="G654" s="10" t="n">
        <x:v>11</x:v>
      </x:c>
      <x:c r="H654" s="10" t="n">
        <x:f>ABS(G654-F654)</x:f>
        <x:v>7</x:v>
      </x:c>
      <x:c r="I654" s="10" t="n">
        <x:f>G654-F654</x:f>
        <x:v>7</x:v>
      </x:c>
    </x:row>
    <x:row r="655" ht="20" customHeight="1">
      <x:c r="A655" s="1" t="str">
        <x:v>22111</x:v>
      </x:c>
      <x:c r="B655" s="10" t="n">
        <x:v>1</x:v>
      </x:c>
      <x:c r="C655" s="9" t="d">
        <x:v>2011-10-19T00:00:00.000Z</x:v>
      </x:c>
      <x:c r="D655" s="9" t="d">
        <x:v>2011-10-25T00:00:00.000Z</x:v>
      </x:c>
      <x:c r="E655" s="1" t="str">
        <x:v>seasonal_naive</x:v>
      </x:c>
      <x:c r="F655" s="10" t="n">
        <x:v>9</x:v>
      </x:c>
      <x:c r="G655" s="10" t="n">
        <x:v>19</x:v>
      </x:c>
      <x:c r="H655" s="10" t="n">
        <x:f>ABS(G655-F655)</x:f>
        <x:v>10</x:v>
      </x:c>
      <x:c r="I655" s="10" t="n">
        <x:f>G655-F655</x:f>
        <x:v>10</x:v>
      </x:c>
    </x:row>
    <x:row r="656" ht="20" customHeight="1">
      <x:c r="A656" s="1" t="str">
        <x:v>22111</x:v>
      </x:c>
      <x:c r="B656" s="10" t="n">
        <x:v>1</x:v>
      </x:c>
      <x:c r="C656" s="9" t="d">
        <x:v>2011-10-19T00:00:00.000Z</x:v>
      </x:c>
      <x:c r="D656" s="9" t="d">
        <x:v>2011-10-26T00:00:00.000Z</x:v>
      </x:c>
      <x:c r="E656" s="1" t="str">
        <x:v>seasonal_naive</x:v>
      </x:c>
      <x:c r="F656" s="10" t="n">
        <x:v>27</x:v>
      </x:c>
      <x:c r="G656" s="10" t="n">
        <x:v>45</x:v>
      </x:c>
      <x:c r="H656" s="10" t="n">
        <x:f>ABS(G656-F656)</x:f>
        <x:v>18</x:v>
      </x:c>
      <x:c r="I656" s="10" t="n">
        <x:f>G656-F656</x:f>
        <x:v>18</x:v>
      </x:c>
    </x:row>
    <x:row r="657" ht="20" customHeight="1">
      <x:c r="A657" s="1" t="str">
        <x:v>22111</x:v>
      </x:c>
      <x:c r="B657" s="10" t="n">
        <x:v>1</x:v>
      </x:c>
      <x:c r="C657" s="9" t="d">
        <x:v>2011-10-19T00:00:00.000Z</x:v>
      </x:c>
      <x:c r="D657" s="9" t="d">
        <x:v>2011-10-27T00:00:00.000Z</x:v>
      </x:c>
      <x:c r="E657" s="1" t="str">
        <x:v>seasonal_naive</x:v>
      </x:c>
      <x:c r="F657" s="10" t="n">
        <x:v>12</x:v>
      </x:c>
      <x:c r="G657" s="10" t="n">
        <x:v>8</x:v>
      </x:c>
      <x:c r="H657" s="10" t="n">
        <x:f>ABS(G657-F657)</x:f>
        <x:v>4</x:v>
      </x:c>
      <x:c r="I657" s="10" t="n">
        <x:f>G657-F657</x:f>
        <x:v>-4</x:v>
      </x:c>
    </x:row>
    <x:row r="658" ht="20" customHeight="1">
      <x:c r="A658" s="1" t="str">
        <x:v>22111</x:v>
      </x:c>
      <x:c r="B658" s="10" t="n">
        <x:v>1</x:v>
      </x:c>
      <x:c r="C658" s="9" t="d">
        <x:v>2011-10-19T00:00:00.000Z</x:v>
      </x:c>
      <x:c r="D658" s="9" t="d">
        <x:v>2011-10-28T00:00:00.000Z</x:v>
      </x:c>
      <x:c r="E658" s="1" t="str">
        <x:v>seasonal_naive</x:v>
      </x:c>
      <x:c r="F658" s="10" t="n">
        <x:v>37</x:v>
      </x:c>
      <x:c r="G658" s="10" t="n">
        <x:v>7</x:v>
      </x:c>
      <x:c r="H658" s="10" t="n">
        <x:f>ABS(G658-F658)</x:f>
        <x:v>30</x:v>
      </x:c>
      <x:c r="I658" s="10" t="n">
        <x:f>G658-F658</x:f>
        <x:v>-30</x:v>
      </x:c>
    </x:row>
    <x:row r="659" ht="20" customHeight="1">
      <x:c r="A659" s="1" t="str">
        <x:v>22111</x:v>
      </x:c>
      <x:c r="B659" s="10" t="n">
        <x:v>1</x:v>
      </x:c>
      <x:c r="C659" s="9" t="d">
        <x:v>2011-10-19T00:00:00.000Z</x:v>
      </x:c>
      <x:c r="D659" s="9" t="d">
        <x:v>2011-10-29T00:00:00.000Z</x:v>
      </x:c>
      <x:c r="E659" s="1" t="str">
        <x:v>seasonal_naive</x:v>
      </x:c>
      <x:c r="F659" s="10" t="n">
        <x:v>0</x:v>
      </x:c>
      <x:c r="G659" s="10" t="n">
        <x:v>0</x:v>
      </x:c>
      <x:c r="H659" s="10" t="n">
        <x:f>ABS(G659-F659)</x:f>
        <x:v>0</x:v>
      </x:c>
      <x:c r="I659" s="10" t="n">
        <x:f>G659-F659</x:f>
        <x:v>0</x:v>
      </x:c>
    </x:row>
    <x:row r="660" ht="20" customHeight="1">
      <x:c r="A660" s="1" t="str">
        <x:v>22111</x:v>
      </x:c>
      <x:c r="B660" s="10" t="n">
        <x:v>1</x:v>
      </x:c>
      <x:c r="C660" s="9" t="d">
        <x:v>2011-10-19T00:00:00.000Z</x:v>
      </x:c>
      <x:c r="D660" s="9" t="d">
        <x:v>2011-10-30T00:00:00.000Z</x:v>
      </x:c>
      <x:c r="E660" s="1" t="str">
        <x:v>seasonal_naive</x:v>
      </x:c>
      <x:c r="F660" s="10" t="n">
        <x:v>15</x:v>
      </x:c>
      <x:c r="G660" s="10" t="n">
        <x:v>39</x:v>
      </x:c>
      <x:c r="H660" s="10" t="n">
        <x:f>ABS(G660-F660)</x:f>
        <x:v>24</x:v>
      </x:c>
      <x:c r="I660" s="10" t="n">
        <x:f>G660-F660</x:f>
        <x:v>24</x:v>
      </x:c>
    </x:row>
    <x:row r="661" ht="20" customHeight="1">
      <x:c r="A661" s="1" t="str">
        <x:v>22111</x:v>
      </x:c>
      <x:c r="B661" s="10" t="n">
        <x:v>1</x:v>
      </x:c>
      <x:c r="C661" s="9" t="d">
        <x:v>2011-10-19T00:00:00.000Z</x:v>
      </x:c>
      <x:c r="D661" s="9" t="d">
        <x:v>2011-10-31T00:00:00.000Z</x:v>
      </x:c>
      <x:c r="E661" s="1" t="str">
        <x:v>seasonal_naive</x:v>
      </x:c>
      <x:c r="F661" s="10" t="n">
        <x:v>17</x:v>
      </x:c>
      <x:c r="G661" s="10" t="n">
        <x:v>11</x:v>
      </x:c>
      <x:c r="H661" s="10" t="n">
        <x:f>ABS(G661-F661)</x:f>
        <x:v>6</x:v>
      </x:c>
      <x:c r="I661" s="10" t="n">
        <x:f>G661-F661</x:f>
        <x:v>-6</x:v>
      </x:c>
    </x:row>
    <x:row r="662" ht="20" customHeight="1">
      <x:c r="A662" s="1" t="str">
        <x:v>22111</x:v>
      </x:c>
      <x:c r="B662" s="10" t="n">
        <x:v>1</x:v>
      </x:c>
      <x:c r="C662" s="9" t="d">
        <x:v>2011-10-19T00:00:00.000Z</x:v>
      </x:c>
      <x:c r="D662" s="9" t="d">
        <x:v>2011-11-01T00:00:00.000Z</x:v>
      </x:c>
      <x:c r="E662" s="1" t="str">
        <x:v>seasonal_naive</x:v>
      </x:c>
      <x:c r="F662" s="10" t="n">
        <x:v>30</x:v>
      </x:c>
      <x:c r="G662" s="10" t="n">
        <x:v>19</x:v>
      </x:c>
      <x:c r="H662" s="10" t="n">
        <x:f>ABS(G662-F662)</x:f>
        <x:v>11</x:v>
      </x:c>
      <x:c r="I662" s="10" t="n">
        <x:f>G662-F662</x:f>
        <x:v>-11</x:v>
      </x:c>
    </x:row>
    <x:row r="663" ht="20" customHeight="1">
      <x:c r="A663" s="1" t="str">
        <x:v>22111</x:v>
      </x:c>
      <x:c r="B663" s="10" t="n">
        <x:v>1</x:v>
      </x:c>
      <x:c r="C663" s="9" t="d">
        <x:v>2011-10-19T00:00:00.000Z</x:v>
      </x:c>
      <x:c r="D663" s="9" t="d">
        <x:v>2011-11-02T00:00:00.000Z</x:v>
      </x:c>
      <x:c r="E663" s="1" t="str">
        <x:v>seasonal_naive</x:v>
      </x:c>
      <x:c r="F663" s="10" t="n">
        <x:v>6</x:v>
      </x:c>
      <x:c r="G663" s="10" t="n">
        <x:v>45</x:v>
      </x:c>
      <x:c r="H663" s="10" t="n">
        <x:f>ABS(G663-F663)</x:f>
        <x:v>39</x:v>
      </x:c>
      <x:c r="I663" s="10" t="n">
        <x:f>G663-F663</x:f>
        <x:v>39</x:v>
      </x:c>
    </x:row>
    <x:row r="664" ht="20" customHeight="1">
      <x:c r="A664" s="1" t="str">
        <x:v>22111</x:v>
      </x:c>
      <x:c r="B664" s="10" t="n">
        <x:v>1</x:v>
      </x:c>
      <x:c r="C664" s="9" t="d">
        <x:v>2011-10-19T00:00:00.000Z</x:v>
      </x:c>
      <x:c r="D664" s="9" t="d">
        <x:v>2011-10-20T00:00:00.000Z</x:v>
      </x:c>
      <x:c r="E664" s="1" t="str">
        <x:v>ridge</x:v>
      </x:c>
      <x:c r="F664" s="10" t="n">
        <x:v>30</x:v>
      </x:c>
      <x:c r="G664" s="10" t="n">
        <x:v>12.4207857171</x:v>
      </x:c>
      <x:c r="H664" s="10" t="n">
        <x:f>ABS(G664-F664)</x:f>
        <x:v>17.5792142829</x:v>
      </x:c>
      <x:c r="I664" s="10" t="n">
        <x:f>G664-F664</x:f>
        <x:v>-17.5792142829</x:v>
      </x:c>
    </x:row>
    <x:row r="665" ht="20" customHeight="1">
      <x:c r="A665" s="1" t="str">
        <x:v>22111</x:v>
      </x:c>
      <x:c r="B665" s="10" t="n">
        <x:v>1</x:v>
      </x:c>
      <x:c r="C665" s="9" t="d">
        <x:v>2011-10-19T00:00:00.000Z</x:v>
      </x:c>
      <x:c r="D665" s="9" t="d">
        <x:v>2011-10-21T00:00:00.000Z</x:v>
      </x:c>
      <x:c r="E665" s="1" t="str">
        <x:v>ridge</x:v>
      </x:c>
      <x:c r="F665" s="10" t="n">
        <x:v>11</x:v>
      </x:c>
      <x:c r="G665" s="10" t="n">
        <x:v>8.772699092</x:v>
      </x:c>
      <x:c r="H665" s="10" t="n">
        <x:f>ABS(G665-F665)</x:f>
        <x:v>2.227300908</x:v>
      </x:c>
      <x:c r="I665" s="10" t="n">
        <x:f>G665-F665</x:f>
        <x:v>-2.227300908</x:v>
      </x:c>
    </x:row>
    <x:row r="666" ht="20" customHeight="1">
      <x:c r="A666" s="1" t="str">
        <x:v>22111</x:v>
      </x:c>
      <x:c r="B666" s="10" t="n">
        <x:v>1</x:v>
      </x:c>
      <x:c r="C666" s="9" t="d">
        <x:v>2011-10-19T00:00:00.000Z</x:v>
      </x:c>
      <x:c r="D666" s="9" t="d">
        <x:v>2011-10-22T00:00:00.000Z</x:v>
      </x:c>
      <x:c r="E666" s="1" t="str">
        <x:v>ridge</x:v>
      </x:c>
      <x:c r="F666" s="10" t="n">
        <x:v>0</x:v>
      </x:c>
      <x:c r="G666" s="10" t="n">
        <x:v>7.8969556748</x:v>
      </x:c>
      <x:c r="H666" s="10" t="n">
        <x:f>ABS(G666-F666)</x:f>
        <x:v>7.8969556748</x:v>
      </x:c>
      <x:c r="I666" s="10" t="n">
        <x:f>G666-F666</x:f>
        <x:v>7.8969556748</x:v>
      </x:c>
    </x:row>
    <x:row r="667" ht="20" customHeight="1">
      <x:c r="A667" s="1" t="str">
        <x:v>22111</x:v>
      </x:c>
      <x:c r="B667" s="10" t="n">
        <x:v>1</x:v>
      </x:c>
      <x:c r="C667" s="9" t="d">
        <x:v>2011-10-19T00:00:00.000Z</x:v>
      </x:c>
      <x:c r="D667" s="9" t="d">
        <x:v>2011-10-23T00:00:00.000Z</x:v>
      </x:c>
      <x:c r="E667" s="1" t="str">
        <x:v>ridge</x:v>
      </x:c>
      <x:c r="F667" s="10" t="n">
        <x:v>14</x:v>
      </x:c>
      <x:c r="G667" s="10" t="n">
        <x:v>9.9875783391</x:v>
      </x:c>
      <x:c r="H667" s="10" t="n">
        <x:f>ABS(G667-F667)</x:f>
        <x:v>4.012421660899999</x:v>
      </x:c>
      <x:c r="I667" s="10" t="n">
        <x:f>G667-F667</x:f>
        <x:v>-4.012421660899999</x:v>
      </x:c>
    </x:row>
    <x:row r="668" ht="20" customHeight="1">
      <x:c r="A668" s="1" t="str">
        <x:v>22111</x:v>
      </x:c>
      <x:c r="B668" s="10" t="n">
        <x:v>1</x:v>
      </x:c>
      <x:c r="C668" s="9" t="d">
        <x:v>2011-10-19T00:00:00.000Z</x:v>
      </x:c>
      <x:c r="D668" s="9" t="d">
        <x:v>2011-10-24T00:00:00.000Z</x:v>
      </x:c>
      <x:c r="E668" s="1" t="str">
        <x:v>ridge</x:v>
      </x:c>
      <x:c r="F668" s="10" t="n">
        <x:v>4</x:v>
      </x:c>
      <x:c r="G668" s="10" t="n">
        <x:v>14.2574885305</x:v>
      </x:c>
      <x:c r="H668" s="10" t="n">
        <x:f>ABS(G668-F668)</x:f>
        <x:v>10.2574885305</x:v>
      </x:c>
      <x:c r="I668" s="10" t="n">
        <x:f>G668-F668</x:f>
        <x:v>10.2574885305</x:v>
      </x:c>
    </x:row>
    <x:row r="669" ht="20" customHeight="1">
      <x:c r="A669" s="1" t="str">
        <x:v>22111</x:v>
      </x:c>
      <x:c r="B669" s="10" t="n">
        <x:v>1</x:v>
      </x:c>
      <x:c r="C669" s="9" t="d">
        <x:v>2011-10-19T00:00:00.000Z</x:v>
      </x:c>
      <x:c r="D669" s="9" t="d">
        <x:v>2011-10-25T00:00:00.000Z</x:v>
      </x:c>
      <x:c r="E669" s="1" t="str">
        <x:v>ridge</x:v>
      </x:c>
      <x:c r="F669" s="10" t="n">
        <x:v>9</x:v>
      </x:c>
      <x:c r="G669" s="10" t="n">
        <x:v>17.3618764476</x:v>
      </x:c>
      <x:c r="H669" s="10" t="n">
        <x:f>ABS(G669-F669)</x:f>
        <x:v>8.3618764476</x:v>
      </x:c>
      <x:c r="I669" s="10" t="n">
        <x:f>G669-F669</x:f>
        <x:v>8.3618764476</x:v>
      </x:c>
    </x:row>
    <x:row r="670" ht="20" customHeight="1">
      <x:c r="A670" s="1" t="str">
        <x:v>22111</x:v>
      </x:c>
      <x:c r="B670" s="10" t="n">
        <x:v>1</x:v>
      </x:c>
      <x:c r="C670" s="9" t="d">
        <x:v>2011-10-19T00:00:00.000Z</x:v>
      </x:c>
      <x:c r="D670" s="9" t="d">
        <x:v>2011-10-26T00:00:00.000Z</x:v>
      </x:c>
      <x:c r="E670" s="1" t="str">
        <x:v>ridge</x:v>
      </x:c>
      <x:c r="F670" s="10" t="n">
        <x:v>27</x:v>
      </x:c>
      <x:c r="G670" s="10" t="n">
        <x:v>15.0684630713</x:v>
      </x:c>
      <x:c r="H670" s="10" t="n">
        <x:f>ABS(G670-F670)</x:f>
        <x:v>11.9315369287</x:v>
      </x:c>
      <x:c r="I670" s="10" t="n">
        <x:f>G670-F670</x:f>
        <x:v>-11.9315369287</x:v>
      </x:c>
    </x:row>
    <x:row r="671" ht="20" customHeight="1">
      <x:c r="A671" s="1" t="str">
        <x:v>22111</x:v>
      </x:c>
      <x:c r="B671" s="10" t="n">
        <x:v>1</x:v>
      </x:c>
      <x:c r="C671" s="9" t="d">
        <x:v>2011-10-19T00:00:00.000Z</x:v>
      </x:c>
      <x:c r="D671" s="9" t="d">
        <x:v>2011-10-27T00:00:00.000Z</x:v>
      </x:c>
      <x:c r="E671" s="1" t="str">
        <x:v>ridge</x:v>
      </x:c>
      <x:c r="F671" s="10" t="n">
        <x:v>12</x:v>
      </x:c>
      <x:c r="G671" s="10" t="n">
        <x:v>10.4341901758</x:v>
      </x:c>
      <x:c r="H671" s="10" t="n">
        <x:f>ABS(G671-F671)</x:f>
        <x:v>1.5658098242000005</x:v>
      </x:c>
      <x:c r="I671" s="10" t="n">
        <x:f>G671-F671</x:f>
        <x:v>-1.5658098242000005</x:v>
      </x:c>
    </x:row>
    <x:row r="672" ht="20" customHeight="1">
      <x:c r="A672" s="1" t="str">
        <x:v>22111</x:v>
      </x:c>
      <x:c r="B672" s="10" t="n">
        <x:v>1</x:v>
      </x:c>
      <x:c r="C672" s="9" t="d">
        <x:v>2011-10-19T00:00:00.000Z</x:v>
      </x:c>
      <x:c r="D672" s="9" t="d">
        <x:v>2011-10-28T00:00:00.000Z</x:v>
      </x:c>
      <x:c r="E672" s="1" t="str">
        <x:v>ridge</x:v>
      </x:c>
      <x:c r="F672" s="10" t="n">
        <x:v>37</x:v>
      </x:c>
      <x:c r="G672" s="10" t="n">
        <x:v>5.8068414906</x:v>
      </x:c>
      <x:c r="H672" s="10" t="n">
        <x:f>ABS(G672-F672)</x:f>
        <x:v>31.1931585094</x:v>
      </x:c>
      <x:c r="I672" s="10" t="n">
        <x:f>G672-F672</x:f>
        <x:v>-31.1931585094</x:v>
      </x:c>
    </x:row>
    <x:row r="673" ht="20" customHeight="1">
      <x:c r="A673" s="1" t="str">
        <x:v>22111</x:v>
      </x:c>
      <x:c r="B673" s="10" t="n">
        <x:v>1</x:v>
      </x:c>
      <x:c r="C673" s="9" t="d">
        <x:v>2011-10-19T00:00:00.000Z</x:v>
      </x:c>
      <x:c r="D673" s="9" t="d">
        <x:v>2011-10-29T00:00:00.000Z</x:v>
      </x:c>
      <x:c r="E673" s="1" t="str">
        <x:v>ridge</x:v>
      </x:c>
      <x:c r="F673" s="10" t="n">
        <x:v>0</x:v>
      </x:c>
      <x:c r="G673" s="10" t="n">
        <x:v>4.4531813889</x:v>
      </x:c>
      <x:c r="H673" s="10" t="n">
        <x:f>ABS(G673-F673)</x:f>
        <x:v>4.4531813889</x:v>
      </x:c>
      <x:c r="I673" s="10" t="n">
        <x:f>G673-F673</x:f>
        <x:v>4.4531813889</x:v>
      </x:c>
    </x:row>
    <x:row r="674" ht="20" customHeight="1">
      <x:c r="A674" s="1" t="str">
        <x:v>22111</x:v>
      </x:c>
      <x:c r="B674" s="10" t="n">
        <x:v>1</x:v>
      </x:c>
      <x:c r="C674" s="9" t="d">
        <x:v>2011-10-19T00:00:00.000Z</x:v>
      </x:c>
      <x:c r="D674" s="9" t="d">
        <x:v>2011-10-30T00:00:00.000Z</x:v>
      </x:c>
      <x:c r="E674" s="1" t="str">
        <x:v>ridge</x:v>
      </x:c>
      <x:c r="F674" s="10" t="n">
        <x:v>15</x:v>
      </x:c>
      <x:c r="G674" s="10" t="n">
        <x:v>7.0329990918</x:v>
      </x:c>
      <x:c r="H674" s="10" t="n">
        <x:f>ABS(G674-F674)</x:f>
        <x:v>7.9670009082</x:v>
      </x:c>
      <x:c r="I674" s="10" t="n">
        <x:f>G674-F674</x:f>
        <x:v>-7.9670009082</x:v>
      </x:c>
    </x:row>
    <x:row r="675" ht="20" customHeight="1">
      <x:c r="A675" s="1" t="str">
        <x:v>22111</x:v>
      </x:c>
      <x:c r="B675" s="10" t="n">
        <x:v>1</x:v>
      </x:c>
      <x:c r="C675" s="9" t="d">
        <x:v>2011-10-19T00:00:00.000Z</x:v>
      </x:c>
      <x:c r="D675" s="9" t="d">
        <x:v>2011-10-31T00:00:00.000Z</x:v>
      </x:c>
      <x:c r="E675" s="1" t="str">
        <x:v>ridge</x:v>
      </x:c>
      <x:c r="F675" s="10" t="n">
        <x:v>17</x:v>
      </x:c>
      <x:c r="G675" s="10" t="n">
        <x:v>12.0707617745</x:v>
      </x:c>
      <x:c r="H675" s="10" t="n">
        <x:f>ABS(G675-F675)</x:f>
        <x:v>4.929238225500001</x:v>
      </x:c>
      <x:c r="I675" s="10" t="n">
        <x:f>G675-F675</x:f>
        <x:v>-4.929238225500001</x:v>
      </x:c>
    </x:row>
    <x:row r="676" ht="20" customHeight="1">
      <x:c r="A676" s="1" t="str">
        <x:v>22111</x:v>
      </x:c>
      <x:c r="B676" s="10" t="n">
        <x:v>1</x:v>
      </x:c>
      <x:c r="C676" s="9" t="d">
        <x:v>2011-10-19T00:00:00.000Z</x:v>
      </x:c>
      <x:c r="D676" s="9" t="d">
        <x:v>2011-11-01T00:00:00.000Z</x:v>
      </x:c>
      <x:c r="E676" s="1" t="str">
        <x:v>ridge</x:v>
      </x:c>
      <x:c r="F676" s="10" t="n">
        <x:v>30</x:v>
      </x:c>
      <x:c r="G676" s="10" t="n">
        <x:v>14.7204042424</x:v>
      </x:c>
      <x:c r="H676" s="10" t="n">
        <x:f>ABS(G676-F676)</x:f>
        <x:v>15.2795957576</x:v>
      </x:c>
      <x:c r="I676" s="10" t="n">
        <x:f>G676-F676</x:f>
        <x:v>-15.2795957576</x:v>
      </x:c>
    </x:row>
    <x:row r="677" ht="20" customHeight="1">
      <x:c r="A677" s="1" t="str">
        <x:v>22111</x:v>
      </x:c>
      <x:c r="B677" s="10" t="n">
        <x:v>1</x:v>
      </x:c>
      <x:c r="C677" s="9" t="d">
        <x:v>2011-10-19T00:00:00.000Z</x:v>
      </x:c>
      <x:c r="D677" s="9" t="d">
        <x:v>2011-11-02T00:00:00.000Z</x:v>
      </x:c>
      <x:c r="E677" s="1" t="str">
        <x:v>ridge</x:v>
      </x:c>
      <x:c r="F677" s="10" t="n">
        <x:v>6</x:v>
      </x:c>
      <x:c r="G677" s="10" t="n">
        <x:v>13.0949951555</x:v>
      </x:c>
      <x:c r="H677" s="10" t="n">
        <x:f>ABS(G677-F677)</x:f>
        <x:v>7.0949951554999995</x:v>
      </x:c>
      <x:c r="I677" s="10" t="n">
        <x:f>G677-F677</x:f>
        <x:v>7.0949951554999995</x:v>
      </x:c>
    </x:row>
    <x:row r="678" ht="20" customHeight="1">
      <x:c r="A678" s="1" t="str">
        <x:v>22111</x:v>
      </x:c>
      <x:c r="B678" s="10" t="n">
        <x:v>2</x:v>
      </x:c>
      <x:c r="C678" s="9" t="d">
        <x:v>2011-11-02T00:00:00.000Z</x:v>
      </x:c>
      <x:c r="D678" s="9" t="d">
        <x:v>2011-11-03T00:00:00.000Z</x:v>
      </x:c>
      <x:c r="E678" s="1" t="str">
        <x:v>naive</x:v>
      </x:c>
      <x:c r="F678" s="10" t="n">
        <x:v>16</x:v>
      </x:c>
      <x:c r="G678" s="10" t="n">
        <x:v>6</x:v>
      </x:c>
      <x:c r="H678" s="10" t="n">
        <x:f>ABS(G678-F678)</x:f>
        <x:v>10</x:v>
      </x:c>
      <x:c r="I678" s="10" t="n">
        <x:f>G678-F678</x:f>
        <x:v>-10</x:v>
      </x:c>
    </x:row>
    <x:row r="679" ht="20" customHeight="1">
      <x:c r="A679" s="1" t="str">
        <x:v>22111</x:v>
      </x:c>
      <x:c r="B679" s="10" t="n">
        <x:v>2</x:v>
      </x:c>
      <x:c r="C679" s="9" t="d">
        <x:v>2011-11-02T00:00:00.000Z</x:v>
      </x:c>
      <x:c r="D679" s="9" t="d">
        <x:v>2011-11-04T00:00:00.000Z</x:v>
      </x:c>
      <x:c r="E679" s="1" t="str">
        <x:v>naive</x:v>
      </x:c>
      <x:c r="F679" s="10" t="n">
        <x:v>47</x:v>
      </x:c>
      <x:c r="G679" s="10" t="n">
        <x:v>6</x:v>
      </x:c>
      <x:c r="H679" s="10" t="n">
        <x:f>ABS(G679-F679)</x:f>
        <x:v>41</x:v>
      </x:c>
      <x:c r="I679" s="10" t="n">
        <x:f>G679-F679</x:f>
        <x:v>-41</x:v>
      </x:c>
    </x:row>
    <x:row r="680" ht="20" customHeight="1">
      <x:c r="A680" s="1" t="str">
        <x:v>22111</x:v>
      </x:c>
      <x:c r="B680" s="10" t="n">
        <x:v>2</x:v>
      </x:c>
      <x:c r="C680" s="9" t="d">
        <x:v>2011-11-02T00:00:00.000Z</x:v>
      </x:c>
      <x:c r="D680" s="9" t="d">
        <x:v>2011-11-05T00:00:00.000Z</x:v>
      </x:c>
      <x:c r="E680" s="1" t="str">
        <x:v>naive</x:v>
      </x:c>
      <x:c r="F680" s="10" t="n">
        <x:v>0</x:v>
      </x:c>
      <x:c r="G680" s="10" t="n">
        <x:v>6</x:v>
      </x:c>
      <x:c r="H680" s="10" t="n">
        <x:f>ABS(G680-F680)</x:f>
        <x:v>6</x:v>
      </x:c>
      <x:c r="I680" s="10" t="n">
        <x:f>G680-F680</x:f>
        <x:v>6</x:v>
      </x:c>
    </x:row>
    <x:row r="681" ht="20" customHeight="1">
      <x:c r="A681" s="1" t="str">
        <x:v>22111</x:v>
      </x:c>
      <x:c r="B681" s="10" t="n">
        <x:v>2</x:v>
      </x:c>
      <x:c r="C681" s="9" t="d">
        <x:v>2011-11-02T00:00:00.000Z</x:v>
      </x:c>
      <x:c r="D681" s="9" t="d">
        <x:v>2011-11-06T00:00:00.000Z</x:v>
      </x:c>
      <x:c r="E681" s="1" t="str">
        <x:v>naive</x:v>
      </x:c>
      <x:c r="F681" s="10" t="n">
        <x:v>19</x:v>
      </x:c>
      <x:c r="G681" s="10" t="n">
        <x:v>6</x:v>
      </x:c>
      <x:c r="H681" s="10" t="n">
        <x:f>ABS(G681-F681)</x:f>
        <x:v>13</x:v>
      </x:c>
      <x:c r="I681" s="10" t="n">
        <x:f>G681-F681</x:f>
        <x:v>-13</x:v>
      </x:c>
    </x:row>
    <x:row r="682" ht="20" customHeight="1">
      <x:c r="A682" s="1" t="str">
        <x:v>22111</x:v>
      </x:c>
      <x:c r="B682" s="10" t="n">
        <x:v>2</x:v>
      </x:c>
      <x:c r="C682" s="9" t="d">
        <x:v>2011-11-02T00:00:00.000Z</x:v>
      </x:c>
      <x:c r="D682" s="9" t="d">
        <x:v>2011-11-07T00:00:00.000Z</x:v>
      </x:c>
      <x:c r="E682" s="1" t="str">
        <x:v>naive</x:v>
      </x:c>
      <x:c r="F682" s="10" t="n">
        <x:v>52</x:v>
      </x:c>
      <x:c r="G682" s="10" t="n">
        <x:v>6</x:v>
      </x:c>
      <x:c r="H682" s="10" t="n">
        <x:f>ABS(G682-F682)</x:f>
        <x:v>46</x:v>
      </x:c>
      <x:c r="I682" s="10" t="n">
        <x:f>G682-F682</x:f>
        <x:v>-46</x:v>
      </x:c>
    </x:row>
    <x:row r="683" ht="20" customHeight="1">
      <x:c r="A683" s="1" t="str">
        <x:v>22111</x:v>
      </x:c>
      <x:c r="B683" s="10" t="n">
        <x:v>2</x:v>
      </x:c>
      <x:c r="C683" s="9" t="d">
        <x:v>2011-11-02T00:00:00.000Z</x:v>
      </x:c>
      <x:c r="D683" s="9" t="d">
        <x:v>2011-11-08T00:00:00.000Z</x:v>
      </x:c>
      <x:c r="E683" s="1" t="str">
        <x:v>naive</x:v>
      </x:c>
      <x:c r="F683" s="10" t="n">
        <x:v>36</x:v>
      </x:c>
      <x:c r="G683" s="10" t="n">
        <x:v>6</x:v>
      </x:c>
      <x:c r="H683" s="10" t="n">
        <x:f>ABS(G683-F683)</x:f>
        <x:v>30</x:v>
      </x:c>
      <x:c r="I683" s="10" t="n">
        <x:f>G683-F683</x:f>
        <x:v>-30</x:v>
      </x:c>
    </x:row>
    <x:row r="684" ht="20" customHeight="1">
      <x:c r="A684" s="1" t="str">
        <x:v>22111</x:v>
      </x:c>
      <x:c r="B684" s="10" t="n">
        <x:v>2</x:v>
      </x:c>
      <x:c r="C684" s="9" t="d">
        <x:v>2011-11-02T00:00:00.000Z</x:v>
      </x:c>
      <x:c r="D684" s="9" t="d">
        <x:v>2011-11-09T00:00:00.000Z</x:v>
      </x:c>
      <x:c r="E684" s="1" t="str">
        <x:v>naive</x:v>
      </x:c>
      <x:c r="F684" s="10" t="n">
        <x:v>42</x:v>
      </x:c>
      <x:c r="G684" s="10" t="n">
        <x:v>6</x:v>
      </x:c>
      <x:c r="H684" s="10" t="n">
        <x:f>ABS(G684-F684)</x:f>
        <x:v>36</x:v>
      </x:c>
      <x:c r="I684" s="10" t="n">
        <x:f>G684-F684</x:f>
        <x:v>-36</x:v>
      </x:c>
    </x:row>
    <x:row r="685" ht="20" customHeight="1">
      <x:c r="A685" s="1" t="str">
        <x:v>22111</x:v>
      </x:c>
      <x:c r="B685" s="10" t="n">
        <x:v>2</x:v>
      </x:c>
      <x:c r="C685" s="9" t="d">
        <x:v>2011-11-02T00:00:00.000Z</x:v>
      </x:c>
      <x:c r="D685" s="9" t="d">
        <x:v>2011-11-10T00:00:00.000Z</x:v>
      </x:c>
      <x:c r="E685" s="1" t="str">
        <x:v>naive</x:v>
      </x:c>
      <x:c r="F685" s="10" t="n">
        <x:v>79</x:v>
      </x:c>
      <x:c r="G685" s="10" t="n">
        <x:v>6</x:v>
      </x:c>
      <x:c r="H685" s="10" t="n">
        <x:f>ABS(G685-F685)</x:f>
        <x:v>73</x:v>
      </x:c>
      <x:c r="I685" s="10" t="n">
        <x:f>G685-F685</x:f>
        <x:v>-73</x:v>
      </x:c>
    </x:row>
    <x:row r="686" ht="20" customHeight="1">
      <x:c r="A686" s="1" t="str">
        <x:v>22111</x:v>
      </x:c>
      <x:c r="B686" s="10" t="n">
        <x:v>2</x:v>
      </x:c>
      <x:c r="C686" s="9" t="d">
        <x:v>2011-11-02T00:00:00.000Z</x:v>
      </x:c>
      <x:c r="D686" s="9" t="d">
        <x:v>2011-11-11T00:00:00.000Z</x:v>
      </x:c>
      <x:c r="E686" s="1" t="str">
        <x:v>naive</x:v>
      </x:c>
      <x:c r="F686" s="10" t="n">
        <x:v>52</x:v>
      </x:c>
      <x:c r="G686" s="10" t="n">
        <x:v>6</x:v>
      </x:c>
      <x:c r="H686" s="10" t="n">
        <x:f>ABS(G686-F686)</x:f>
        <x:v>46</x:v>
      </x:c>
      <x:c r="I686" s="10" t="n">
        <x:f>G686-F686</x:f>
        <x:v>-46</x:v>
      </x:c>
    </x:row>
    <x:row r="687" ht="20" customHeight="1">
      <x:c r="A687" s="1" t="str">
        <x:v>22111</x:v>
      </x:c>
      <x:c r="B687" s="10" t="n">
        <x:v>2</x:v>
      </x:c>
      <x:c r="C687" s="9" t="d">
        <x:v>2011-11-02T00:00:00.000Z</x:v>
      </x:c>
      <x:c r="D687" s="9" t="d">
        <x:v>2011-11-12T00:00:00.000Z</x:v>
      </x:c>
      <x:c r="E687" s="1" t="str">
        <x:v>naive</x:v>
      </x:c>
      <x:c r="F687" s="10" t="n">
        <x:v>0</x:v>
      </x:c>
      <x:c r="G687" s="10" t="n">
        <x:v>6</x:v>
      </x:c>
      <x:c r="H687" s="10" t="n">
        <x:f>ABS(G687-F687)</x:f>
        <x:v>6</x:v>
      </x:c>
      <x:c r="I687" s="10" t="n">
        <x:f>G687-F687</x:f>
        <x:v>6</x:v>
      </x:c>
    </x:row>
    <x:row r="688" ht="20" customHeight="1">
      <x:c r="A688" s="1" t="str">
        <x:v>22111</x:v>
      </x:c>
      <x:c r="B688" s="10" t="n">
        <x:v>2</x:v>
      </x:c>
      <x:c r="C688" s="9" t="d">
        <x:v>2011-11-02T00:00:00.000Z</x:v>
      </x:c>
      <x:c r="D688" s="9" t="d">
        <x:v>2011-11-13T00:00:00.000Z</x:v>
      </x:c>
      <x:c r="E688" s="1" t="str">
        <x:v>naive</x:v>
      </x:c>
      <x:c r="F688" s="10" t="n">
        <x:v>8</x:v>
      </x:c>
      <x:c r="G688" s="10" t="n">
        <x:v>6</x:v>
      </x:c>
      <x:c r="H688" s="10" t="n">
        <x:f>ABS(G688-F688)</x:f>
        <x:v>2</x:v>
      </x:c>
      <x:c r="I688" s="10" t="n">
        <x:f>G688-F688</x:f>
        <x:v>-2</x:v>
      </x:c>
    </x:row>
    <x:row r="689" ht="20" customHeight="1">
      <x:c r="A689" s="1" t="str">
        <x:v>22111</x:v>
      </x:c>
      <x:c r="B689" s="10" t="n">
        <x:v>2</x:v>
      </x:c>
      <x:c r="C689" s="9" t="d">
        <x:v>2011-11-02T00:00:00.000Z</x:v>
      </x:c>
      <x:c r="D689" s="9" t="d">
        <x:v>2011-11-14T00:00:00.000Z</x:v>
      </x:c>
      <x:c r="E689" s="1" t="str">
        <x:v>naive</x:v>
      </x:c>
      <x:c r="F689" s="10" t="n">
        <x:v>47</x:v>
      </x:c>
      <x:c r="G689" s="10" t="n">
        <x:v>6</x:v>
      </x:c>
      <x:c r="H689" s="10" t="n">
        <x:f>ABS(G689-F689)</x:f>
        <x:v>41</x:v>
      </x:c>
      <x:c r="I689" s="10" t="n">
        <x:f>G689-F689</x:f>
        <x:v>-41</x:v>
      </x:c>
    </x:row>
    <x:row r="690" ht="20" customHeight="1">
      <x:c r="A690" s="1" t="str">
        <x:v>22111</x:v>
      </x:c>
      <x:c r="B690" s="10" t="n">
        <x:v>2</x:v>
      </x:c>
      <x:c r="C690" s="9" t="d">
        <x:v>2011-11-02T00:00:00.000Z</x:v>
      </x:c>
      <x:c r="D690" s="9" t="d">
        <x:v>2011-11-15T00:00:00.000Z</x:v>
      </x:c>
      <x:c r="E690" s="1" t="str">
        <x:v>naive</x:v>
      </x:c>
      <x:c r="F690" s="10" t="n">
        <x:v>36</x:v>
      </x:c>
      <x:c r="G690" s="10" t="n">
        <x:v>6</x:v>
      </x:c>
      <x:c r="H690" s="10" t="n">
        <x:f>ABS(G690-F690)</x:f>
        <x:v>30</x:v>
      </x:c>
      <x:c r="I690" s="10" t="n">
        <x:f>G690-F690</x:f>
        <x:v>-30</x:v>
      </x:c>
    </x:row>
    <x:row r="691" ht="20" customHeight="1">
      <x:c r="A691" s="1" t="str">
        <x:v>22111</x:v>
      </x:c>
      <x:c r="B691" s="10" t="n">
        <x:v>2</x:v>
      </x:c>
      <x:c r="C691" s="9" t="d">
        <x:v>2011-11-02T00:00:00.000Z</x:v>
      </x:c>
      <x:c r="D691" s="9" t="d">
        <x:v>2011-11-16T00:00:00.000Z</x:v>
      </x:c>
      <x:c r="E691" s="1" t="str">
        <x:v>naive</x:v>
      </x:c>
      <x:c r="F691" s="10" t="n">
        <x:v>125</x:v>
      </x:c>
      <x:c r="G691" s="10" t="n">
        <x:v>6</x:v>
      </x:c>
      <x:c r="H691" s="10" t="n">
        <x:f>ABS(G691-F691)</x:f>
        <x:v>119</x:v>
      </x:c>
      <x:c r="I691" s="10" t="n">
        <x:f>G691-F691</x:f>
        <x:v>-119</x:v>
      </x:c>
    </x:row>
    <x:row r="692" ht="20" customHeight="1">
      <x:c r="A692" s="1" t="str">
        <x:v>22111</x:v>
      </x:c>
      <x:c r="B692" s="10" t="n">
        <x:v>2</x:v>
      </x:c>
      <x:c r="C692" s="9" t="d">
        <x:v>2011-11-02T00:00:00.000Z</x:v>
      </x:c>
      <x:c r="D692" s="9" t="d">
        <x:v>2011-11-03T00:00:00.000Z</x:v>
      </x:c>
      <x:c r="E692" s="1" t="str">
        <x:v>seasonal_naive</x:v>
      </x:c>
      <x:c r="F692" s="10" t="n">
        <x:v>16</x:v>
      </x:c>
      <x:c r="G692" s="10" t="n">
        <x:v>12</x:v>
      </x:c>
      <x:c r="H692" s="10" t="n">
        <x:f>ABS(G692-F692)</x:f>
        <x:v>4</x:v>
      </x:c>
      <x:c r="I692" s="10" t="n">
        <x:f>G692-F692</x:f>
        <x:v>-4</x:v>
      </x:c>
    </x:row>
    <x:row r="693" ht="20" customHeight="1">
      <x:c r="A693" s="1" t="str">
        <x:v>22111</x:v>
      </x:c>
      <x:c r="B693" s="10" t="n">
        <x:v>2</x:v>
      </x:c>
      <x:c r="C693" s="9" t="d">
        <x:v>2011-11-02T00:00:00.000Z</x:v>
      </x:c>
      <x:c r="D693" s="9" t="d">
        <x:v>2011-11-04T00:00:00.000Z</x:v>
      </x:c>
      <x:c r="E693" s="1" t="str">
        <x:v>seasonal_naive</x:v>
      </x:c>
      <x:c r="F693" s="10" t="n">
        <x:v>47</x:v>
      </x:c>
      <x:c r="G693" s="10" t="n">
        <x:v>37</x:v>
      </x:c>
      <x:c r="H693" s="10" t="n">
        <x:f>ABS(G693-F693)</x:f>
        <x:v>10</x:v>
      </x:c>
      <x:c r="I693" s="10" t="n">
        <x:f>G693-F693</x:f>
        <x:v>-10</x:v>
      </x:c>
    </x:row>
    <x:row r="694" ht="20" customHeight="1">
      <x:c r="A694" s="1" t="str">
        <x:v>22111</x:v>
      </x:c>
      <x:c r="B694" s="10" t="n">
        <x:v>2</x:v>
      </x:c>
      <x:c r="C694" s="9" t="d">
        <x:v>2011-11-02T00:00:00.000Z</x:v>
      </x:c>
      <x:c r="D694" s="9" t="d">
        <x:v>2011-11-05T00:00:00.000Z</x:v>
      </x:c>
      <x:c r="E694" s="1" t="str">
        <x:v>seasonal_naive</x:v>
      </x:c>
      <x:c r="F694" s="10" t="n">
        <x:v>0</x:v>
      </x:c>
      <x:c r="G694" s="10" t="n">
        <x:v>0</x:v>
      </x:c>
      <x:c r="H694" s="10" t="n">
        <x:f>ABS(G694-F694)</x:f>
        <x:v>0</x:v>
      </x:c>
      <x:c r="I694" s="10" t="n">
        <x:f>G694-F694</x:f>
        <x:v>0</x:v>
      </x:c>
    </x:row>
    <x:row r="695" ht="20" customHeight="1">
      <x:c r="A695" s="1" t="str">
        <x:v>22111</x:v>
      </x:c>
      <x:c r="B695" s="10" t="n">
        <x:v>2</x:v>
      </x:c>
      <x:c r="C695" s="9" t="d">
        <x:v>2011-11-02T00:00:00.000Z</x:v>
      </x:c>
      <x:c r="D695" s="9" t="d">
        <x:v>2011-11-06T00:00:00.000Z</x:v>
      </x:c>
      <x:c r="E695" s="1" t="str">
        <x:v>seasonal_naive</x:v>
      </x:c>
      <x:c r="F695" s="10" t="n">
        <x:v>19</x:v>
      </x:c>
      <x:c r="G695" s="10" t="n">
        <x:v>15</x:v>
      </x:c>
      <x:c r="H695" s="10" t="n">
        <x:f>ABS(G695-F695)</x:f>
        <x:v>4</x:v>
      </x:c>
      <x:c r="I695" s="10" t="n">
        <x:f>G695-F695</x:f>
        <x:v>-4</x:v>
      </x:c>
    </x:row>
    <x:row r="696" ht="20" customHeight="1">
      <x:c r="A696" s="1" t="str">
        <x:v>22111</x:v>
      </x:c>
      <x:c r="B696" s="10" t="n">
        <x:v>2</x:v>
      </x:c>
      <x:c r="C696" s="9" t="d">
        <x:v>2011-11-02T00:00:00.000Z</x:v>
      </x:c>
      <x:c r="D696" s="9" t="d">
        <x:v>2011-11-07T00:00:00.000Z</x:v>
      </x:c>
      <x:c r="E696" s="1" t="str">
        <x:v>seasonal_naive</x:v>
      </x:c>
      <x:c r="F696" s="10" t="n">
        <x:v>52</x:v>
      </x:c>
      <x:c r="G696" s="10" t="n">
        <x:v>17</x:v>
      </x:c>
      <x:c r="H696" s="10" t="n">
        <x:f>ABS(G696-F696)</x:f>
        <x:v>35</x:v>
      </x:c>
      <x:c r="I696" s="10" t="n">
        <x:f>G696-F696</x:f>
        <x:v>-35</x:v>
      </x:c>
    </x:row>
    <x:row r="697" ht="20" customHeight="1">
      <x:c r="A697" s="1" t="str">
        <x:v>22111</x:v>
      </x:c>
      <x:c r="B697" s="10" t="n">
        <x:v>2</x:v>
      </x:c>
      <x:c r="C697" s="9" t="d">
        <x:v>2011-11-02T00:00:00.000Z</x:v>
      </x:c>
      <x:c r="D697" s="9" t="d">
        <x:v>2011-11-08T00:00:00.000Z</x:v>
      </x:c>
      <x:c r="E697" s="1" t="str">
        <x:v>seasonal_naive</x:v>
      </x:c>
      <x:c r="F697" s="10" t="n">
        <x:v>36</x:v>
      </x:c>
      <x:c r="G697" s="10" t="n">
        <x:v>30</x:v>
      </x:c>
      <x:c r="H697" s="10" t="n">
        <x:f>ABS(G697-F697)</x:f>
        <x:v>6</x:v>
      </x:c>
      <x:c r="I697" s="10" t="n">
        <x:f>G697-F697</x:f>
        <x:v>-6</x:v>
      </x:c>
    </x:row>
    <x:row r="698" ht="20" customHeight="1">
      <x:c r="A698" s="1" t="str">
        <x:v>22111</x:v>
      </x:c>
      <x:c r="B698" s="10" t="n">
        <x:v>2</x:v>
      </x:c>
      <x:c r="C698" s="9" t="d">
        <x:v>2011-11-02T00:00:00.000Z</x:v>
      </x:c>
      <x:c r="D698" s="9" t="d">
        <x:v>2011-11-09T00:00:00.000Z</x:v>
      </x:c>
      <x:c r="E698" s="1" t="str">
        <x:v>seasonal_naive</x:v>
      </x:c>
      <x:c r="F698" s="10" t="n">
        <x:v>42</x:v>
      </x:c>
      <x:c r="G698" s="10" t="n">
        <x:v>6</x:v>
      </x:c>
      <x:c r="H698" s="10" t="n">
        <x:f>ABS(G698-F698)</x:f>
        <x:v>36</x:v>
      </x:c>
      <x:c r="I698" s="10" t="n">
        <x:f>G698-F698</x:f>
        <x:v>-36</x:v>
      </x:c>
    </x:row>
    <x:row r="699" ht="20" customHeight="1">
      <x:c r="A699" s="1" t="str">
        <x:v>22111</x:v>
      </x:c>
      <x:c r="B699" s="10" t="n">
        <x:v>2</x:v>
      </x:c>
      <x:c r="C699" s="9" t="d">
        <x:v>2011-11-02T00:00:00.000Z</x:v>
      </x:c>
      <x:c r="D699" s="9" t="d">
        <x:v>2011-11-10T00:00:00.000Z</x:v>
      </x:c>
      <x:c r="E699" s="1" t="str">
        <x:v>seasonal_naive</x:v>
      </x:c>
      <x:c r="F699" s="10" t="n">
        <x:v>79</x:v>
      </x:c>
      <x:c r="G699" s="10" t="n">
        <x:v>12</x:v>
      </x:c>
      <x:c r="H699" s="10" t="n">
        <x:f>ABS(G699-F699)</x:f>
        <x:v>67</x:v>
      </x:c>
      <x:c r="I699" s="10" t="n">
        <x:f>G699-F699</x:f>
        <x:v>-67</x:v>
      </x:c>
    </x:row>
    <x:row r="700" ht="20" customHeight="1">
      <x:c r="A700" s="1" t="str">
        <x:v>22111</x:v>
      </x:c>
      <x:c r="B700" s="10" t="n">
        <x:v>2</x:v>
      </x:c>
      <x:c r="C700" s="9" t="d">
        <x:v>2011-11-02T00:00:00.000Z</x:v>
      </x:c>
      <x:c r="D700" s="9" t="d">
        <x:v>2011-11-11T00:00:00.000Z</x:v>
      </x:c>
      <x:c r="E700" s="1" t="str">
        <x:v>seasonal_naive</x:v>
      </x:c>
      <x:c r="F700" s="10" t="n">
        <x:v>52</x:v>
      </x:c>
      <x:c r="G700" s="10" t="n">
        <x:v>37</x:v>
      </x:c>
      <x:c r="H700" s="10" t="n">
        <x:f>ABS(G700-F700)</x:f>
        <x:v>15</x:v>
      </x:c>
      <x:c r="I700" s="10" t="n">
        <x:f>G700-F700</x:f>
        <x:v>-15</x:v>
      </x:c>
    </x:row>
    <x:row r="701" ht="20" customHeight="1">
      <x:c r="A701" s="1" t="str">
        <x:v>22111</x:v>
      </x:c>
      <x:c r="B701" s="10" t="n">
        <x:v>2</x:v>
      </x:c>
      <x:c r="C701" s="9" t="d">
        <x:v>2011-11-02T00:00:00.000Z</x:v>
      </x:c>
      <x:c r="D701" s="9" t="d">
        <x:v>2011-11-12T00:00:00.000Z</x:v>
      </x:c>
      <x:c r="E701" s="1" t="str">
        <x:v>seasonal_naive</x:v>
      </x:c>
      <x:c r="F701" s="10" t="n">
        <x:v>0</x:v>
      </x:c>
      <x:c r="G701" s="10" t="n">
        <x:v>0</x:v>
      </x:c>
      <x:c r="H701" s="10" t="n">
        <x:f>ABS(G701-F701)</x:f>
        <x:v>0</x:v>
      </x:c>
      <x:c r="I701" s="10" t="n">
        <x:f>G701-F701</x:f>
        <x:v>0</x:v>
      </x:c>
    </x:row>
    <x:row r="702" ht="20" customHeight="1">
      <x:c r="A702" s="1" t="str">
        <x:v>22111</x:v>
      </x:c>
      <x:c r="B702" s="10" t="n">
        <x:v>2</x:v>
      </x:c>
      <x:c r="C702" s="9" t="d">
        <x:v>2011-11-02T00:00:00.000Z</x:v>
      </x:c>
      <x:c r="D702" s="9" t="d">
        <x:v>2011-11-13T00:00:00.000Z</x:v>
      </x:c>
      <x:c r="E702" s="1" t="str">
        <x:v>seasonal_naive</x:v>
      </x:c>
      <x:c r="F702" s="10" t="n">
        <x:v>8</x:v>
      </x:c>
      <x:c r="G702" s="10" t="n">
        <x:v>15</x:v>
      </x:c>
      <x:c r="H702" s="10" t="n">
        <x:f>ABS(G702-F702)</x:f>
        <x:v>7</x:v>
      </x:c>
      <x:c r="I702" s="10" t="n">
        <x:f>G702-F702</x:f>
        <x:v>7</x:v>
      </x:c>
    </x:row>
    <x:row r="703" ht="20" customHeight="1">
      <x:c r="A703" s="1" t="str">
        <x:v>22111</x:v>
      </x:c>
      <x:c r="B703" s="10" t="n">
        <x:v>2</x:v>
      </x:c>
      <x:c r="C703" s="9" t="d">
        <x:v>2011-11-02T00:00:00.000Z</x:v>
      </x:c>
      <x:c r="D703" s="9" t="d">
        <x:v>2011-11-14T00:00:00.000Z</x:v>
      </x:c>
      <x:c r="E703" s="1" t="str">
        <x:v>seasonal_naive</x:v>
      </x:c>
      <x:c r="F703" s="10" t="n">
        <x:v>47</x:v>
      </x:c>
      <x:c r="G703" s="10" t="n">
        <x:v>17</x:v>
      </x:c>
      <x:c r="H703" s="10" t="n">
        <x:f>ABS(G703-F703)</x:f>
        <x:v>30</x:v>
      </x:c>
      <x:c r="I703" s="10" t="n">
        <x:f>G703-F703</x:f>
        <x:v>-30</x:v>
      </x:c>
    </x:row>
    <x:row r="704" ht="20" customHeight="1">
      <x:c r="A704" s="1" t="str">
        <x:v>22111</x:v>
      </x:c>
      <x:c r="B704" s="10" t="n">
        <x:v>2</x:v>
      </x:c>
      <x:c r="C704" s="9" t="d">
        <x:v>2011-11-02T00:00:00.000Z</x:v>
      </x:c>
      <x:c r="D704" s="9" t="d">
        <x:v>2011-11-15T00:00:00.000Z</x:v>
      </x:c>
      <x:c r="E704" s="1" t="str">
        <x:v>seasonal_naive</x:v>
      </x:c>
      <x:c r="F704" s="10" t="n">
        <x:v>36</x:v>
      </x:c>
      <x:c r="G704" s="10" t="n">
        <x:v>30</x:v>
      </x:c>
      <x:c r="H704" s="10" t="n">
        <x:f>ABS(G704-F704)</x:f>
        <x:v>6</x:v>
      </x:c>
      <x:c r="I704" s="10" t="n">
        <x:f>G704-F704</x:f>
        <x:v>-6</x:v>
      </x:c>
    </x:row>
    <x:row r="705" ht="20" customHeight="1">
      <x:c r="A705" s="1" t="str">
        <x:v>22111</x:v>
      </x:c>
      <x:c r="B705" s="10" t="n">
        <x:v>2</x:v>
      </x:c>
      <x:c r="C705" s="9" t="d">
        <x:v>2011-11-02T00:00:00.000Z</x:v>
      </x:c>
      <x:c r="D705" s="9" t="d">
        <x:v>2011-11-16T00:00:00.000Z</x:v>
      </x:c>
      <x:c r="E705" s="1" t="str">
        <x:v>seasonal_naive</x:v>
      </x:c>
      <x:c r="F705" s="10" t="n">
        <x:v>125</x:v>
      </x:c>
      <x:c r="G705" s="10" t="n">
        <x:v>6</x:v>
      </x:c>
      <x:c r="H705" s="10" t="n">
        <x:f>ABS(G705-F705)</x:f>
        <x:v>119</x:v>
      </x:c>
      <x:c r="I705" s="10" t="n">
        <x:f>G705-F705</x:f>
        <x:v>-119</x:v>
      </x:c>
    </x:row>
    <x:row r="706" ht="20" customHeight="1">
      <x:c r="A706" s="1" t="str">
        <x:v>22111</x:v>
      </x:c>
      <x:c r="B706" s="10" t="n">
        <x:v>2</x:v>
      </x:c>
      <x:c r="C706" s="9" t="d">
        <x:v>2011-11-02T00:00:00.000Z</x:v>
      </x:c>
      <x:c r="D706" s="9" t="d">
        <x:v>2011-11-03T00:00:00.000Z</x:v>
      </x:c>
      <x:c r="E706" s="1" t="str">
        <x:v>ridge</x:v>
      </x:c>
      <x:c r="F706" s="10" t="n">
        <x:v>16</x:v>
      </x:c>
      <x:c r="G706" s="10" t="n">
        <x:v>12.3170894333</x:v>
      </x:c>
      <x:c r="H706" s="10" t="n">
        <x:f>ABS(G706-F706)</x:f>
        <x:v>3.6829105667000004</x:v>
      </x:c>
      <x:c r="I706" s="10" t="n">
        <x:f>G706-F706</x:f>
        <x:v>-3.6829105667000004</x:v>
      </x:c>
    </x:row>
    <x:row r="707" ht="20" customHeight="1">
      <x:c r="A707" s="1" t="str">
        <x:v>22111</x:v>
      </x:c>
      <x:c r="B707" s="10" t="n">
        <x:v>2</x:v>
      </x:c>
      <x:c r="C707" s="9" t="d">
        <x:v>2011-11-02T00:00:00.000Z</x:v>
      </x:c>
      <x:c r="D707" s="9" t="d">
        <x:v>2011-11-04T00:00:00.000Z</x:v>
      </x:c>
      <x:c r="E707" s="1" t="str">
        <x:v>ridge</x:v>
      </x:c>
      <x:c r="F707" s="10" t="n">
        <x:v>47</x:v>
      </x:c>
      <x:c r="G707" s="10" t="n">
        <x:v>6.7200950532</x:v>
      </x:c>
      <x:c r="H707" s="10" t="n">
        <x:f>ABS(G707-F707)</x:f>
        <x:v>40.2799049468</x:v>
      </x:c>
      <x:c r="I707" s="10" t="n">
        <x:f>G707-F707</x:f>
        <x:v>-40.2799049468</x:v>
      </x:c>
    </x:row>
    <x:row r="708" ht="20" customHeight="1">
      <x:c r="A708" s="1" t="str">
        <x:v>22111</x:v>
      </x:c>
      <x:c r="B708" s="10" t="n">
        <x:v>2</x:v>
      </x:c>
      <x:c r="C708" s="9" t="d">
        <x:v>2011-11-02T00:00:00.000Z</x:v>
      </x:c>
      <x:c r="D708" s="9" t="d">
        <x:v>2011-11-05T00:00:00.000Z</x:v>
      </x:c>
      <x:c r="E708" s="1" t="str">
        <x:v>ridge</x:v>
      </x:c>
      <x:c r="F708" s="10" t="n">
        <x:v>0</x:v>
      </x:c>
      <x:c r="G708" s="10" t="n">
        <x:v>5.6317528524</x:v>
      </x:c>
      <x:c r="H708" s="10" t="n">
        <x:f>ABS(G708-F708)</x:f>
        <x:v>5.6317528524</x:v>
      </x:c>
      <x:c r="I708" s="10" t="n">
        <x:f>G708-F708</x:f>
        <x:v>5.6317528524</x:v>
      </x:c>
    </x:row>
    <x:row r="709" ht="20" customHeight="1">
      <x:c r="A709" s="1" t="str">
        <x:v>22111</x:v>
      </x:c>
      <x:c r="B709" s="10" t="n">
        <x:v>2</x:v>
      </x:c>
      <x:c r="C709" s="9" t="d">
        <x:v>2011-11-02T00:00:00.000Z</x:v>
      </x:c>
      <x:c r="D709" s="9" t="d">
        <x:v>2011-11-06T00:00:00.000Z</x:v>
      </x:c>
      <x:c r="E709" s="1" t="str">
        <x:v>ridge</x:v>
      </x:c>
      <x:c r="F709" s="10" t="n">
        <x:v>19</x:v>
      </x:c>
      <x:c r="G709" s="10" t="n">
        <x:v>8.2122757524</x:v>
      </x:c>
      <x:c r="H709" s="10" t="n">
        <x:f>ABS(G709-F709)</x:f>
        <x:v>10.7877242476</x:v>
      </x:c>
      <x:c r="I709" s="10" t="n">
        <x:f>G709-F709</x:f>
        <x:v>-10.7877242476</x:v>
      </x:c>
    </x:row>
    <x:row r="710" ht="20" customHeight="1">
      <x:c r="A710" s="1" t="str">
        <x:v>22111</x:v>
      </x:c>
      <x:c r="B710" s="10" t="n">
        <x:v>2</x:v>
      </x:c>
      <x:c r="C710" s="9" t="d">
        <x:v>2011-11-02T00:00:00.000Z</x:v>
      </x:c>
      <x:c r="D710" s="9" t="d">
        <x:v>2011-11-07T00:00:00.000Z</x:v>
      </x:c>
      <x:c r="E710" s="1" t="str">
        <x:v>ridge</x:v>
      </x:c>
      <x:c r="F710" s="10" t="n">
        <x:v>52</x:v>
      </x:c>
      <x:c r="G710" s="10" t="n">
        <x:v>12.9294798795</x:v>
      </x:c>
      <x:c r="H710" s="10" t="n">
        <x:f>ABS(G710-F710)</x:f>
        <x:v>39.0705201205</x:v>
      </x:c>
      <x:c r="I710" s="10" t="n">
        <x:f>G710-F710</x:f>
        <x:v>-39.0705201205</x:v>
      </x:c>
    </x:row>
    <x:row r="711" ht="20" customHeight="1">
      <x:c r="A711" s="1" t="str">
        <x:v>22111</x:v>
      </x:c>
      <x:c r="B711" s="10" t="n">
        <x:v>2</x:v>
      </x:c>
      <x:c r="C711" s="9" t="d">
        <x:v>2011-11-02T00:00:00.000Z</x:v>
      </x:c>
      <x:c r="D711" s="9" t="d">
        <x:v>2011-11-08T00:00:00.000Z</x:v>
      </x:c>
      <x:c r="E711" s="1" t="str">
        <x:v>ridge</x:v>
      </x:c>
      <x:c r="F711" s="10" t="n">
        <x:v>36</x:v>
      </x:c>
      <x:c r="G711" s="10" t="n">
        <x:v>15.3352807553</x:v>
      </x:c>
      <x:c r="H711" s="10" t="n">
        <x:f>ABS(G711-F711)</x:f>
        <x:v>20.664719244700002</x:v>
      </x:c>
      <x:c r="I711" s="10" t="n">
        <x:f>G711-F711</x:f>
        <x:v>-20.664719244700002</x:v>
      </x:c>
    </x:row>
    <x:row r="712" ht="20" customHeight="1">
      <x:c r="A712" s="1" t="str">
        <x:v>22111</x:v>
      </x:c>
      <x:c r="B712" s="10" t="n">
        <x:v>2</x:v>
      </x:c>
      <x:c r="C712" s="9" t="d">
        <x:v>2011-11-02T00:00:00.000Z</x:v>
      </x:c>
      <x:c r="D712" s="9" t="d">
        <x:v>2011-11-09T00:00:00.000Z</x:v>
      </x:c>
      <x:c r="E712" s="1" t="str">
        <x:v>ridge</x:v>
      </x:c>
      <x:c r="F712" s="10" t="n">
        <x:v>42</x:v>
      </x:c>
      <x:c r="G712" s="10" t="n">
        <x:v>14.4516333273</x:v>
      </x:c>
      <x:c r="H712" s="10" t="n">
        <x:f>ABS(G712-F712)</x:f>
        <x:v>27.5483666727</x:v>
      </x:c>
      <x:c r="I712" s="10" t="n">
        <x:f>G712-F712</x:f>
        <x:v>-27.5483666727</x:v>
      </x:c>
    </x:row>
    <x:row r="713" ht="20" customHeight="1">
      <x:c r="A713" s="1" t="str">
        <x:v>22111</x:v>
      </x:c>
      <x:c r="B713" s="10" t="n">
        <x:v>2</x:v>
      </x:c>
      <x:c r="C713" s="9" t="d">
        <x:v>2011-11-02T00:00:00.000Z</x:v>
      </x:c>
      <x:c r="D713" s="9" t="d">
        <x:v>2011-11-10T00:00:00.000Z</x:v>
      </x:c>
      <x:c r="E713" s="1" t="str">
        <x:v>ridge</x:v>
      </x:c>
      <x:c r="F713" s="10" t="n">
        <x:v>79</x:v>
      </x:c>
      <x:c r="G713" s="10" t="n">
        <x:v>10.4342124569</x:v>
      </x:c>
      <x:c r="H713" s="10" t="n">
        <x:f>ABS(G713-F713)</x:f>
        <x:v>68.5657875431</x:v>
      </x:c>
      <x:c r="I713" s="10" t="n">
        <x:f>G713-F713</x:f>
        <x:v>-68.5657875431</x:v>
      </x:c>
    </x:row>
    <x:row r="714" ht="20" customHeight="1">
      <x:c r="A714" s="1" t="str">
        <x:v>22111</x:v>
      </x:c>
      <x:c r="B714" s="10" t="n">
        <x:v>2</x:v>
      </x:c>
      <x:c r="C714" s="9" t="d">
        <x:v>2011-11-02T00:00:00.000Z</x:v>
      </x:c>
      <x:c r="D714" s="9" t="d">
        <x:v>2011-11-11T00:00:00.000Z</x:v>
      </x:c>
      <x:c r="E714" s="1" t="str">
        <x:v>ridge</x:v>
      </x:c>
      <x:c r="F714" s="10" t="n">
        <x:v>52</x:v>
      </x:c>
      <x:c r="G714" s="10" t="n">
        <x:v>5.7284246193</x:v>
      </x:c>
      <x:c r="H714" s="10" t="n">
        <x:f>ABS(G714-F714)</x:f>
        <x:v>46.2715753807</x:v>
      </x:c>
      <x:c r="I714" s="10" t="n">
        <x:f>G714-F714</x:f>
        <x:v>-46.2715753807</x:v>
      </x:c>
    </x:row>
    <x:row r="715" ht="20" customHeight="1">
      <x:c r="A715" s="1" t="str">
        <x:v>22111</x:v>
      </x:c>
      <x:c r="B715" s="10" t="n">
        <x:v>2</x:v>
      </x:c>
      <x:c r="C715" s="9" t="d">
        <x:v>2011-11-02T00:00:00.000Z</x:v>
      </x:c>
      <x:c r="D715" s="9" t="d">
        <x:v>2011-11-12T00:00:00.000Z</x:v>
      </x:c>
      <x:c r="E715" s="1" t="str">
        <x:v>ridge</x:v>
      </x:c>
      <x:c r="F715" s="10" t="n">
        <x:v>0</x:v>
      </x:c>
      <x:c r="G715" s="10" t="n">
        <x:v>4.9209626673</x:v>
      </x:c>
      <x:c r="H715" s="10" t="n">
        <x:f>ABS(G715-F715)</x:f>
        <x:v>4.9209626673</x:v>
      </x:c>
      <x:c r="I715" s="10" t="n">
        <x:f>G715-F715</x:f>
        <x:v>4.9209626673</x:v>
      </x:c>
    </x:row>
    <x:row r="716" ht="20" customHeight="1">
      <x:c r="A716" s="1" t="str">
        <x:v>22111</x:v>
      </x:c>
      <x:c r="B716" s="10" t="n">
        <x:v>2</x:v>
      </x:c>
      <x:c r="C716" s="9" t="d">
        <x:v>2011-11-02T00:00:00.000Z</x:v>
      </x:c>
      <x:c r="D716" s="9" t="d">
        <x:v>2011-11-13T00:00:00.000Z</x:v>
      </x:c>
      <x:c r="E716" s="1" t="str">
        <x:v>ridge</x:v>
      </x:c>
      <x:c r="F716" s="10" t="n">
        <x:v>8</x:v>
      </x:c>
      <x:c r="G716" s="10" t="n">
        <x:v>7.6323508607</x:v>
      </x:c>
      <x:c r="H716" s="10" t="n">
        <x:f>ABS(G716-F716)</x:f>
        <x:v>0.3676491393000001</x:v>
      </x:c>
      <x:c r="I716" s="10" t="n">
        <x:f>G716-F716</x:f>
        <x:v>-0.3676491393000001</x:v>
      </x:c>
    </x:row>
    <x:row r="717" ht="20" customHeight="1">
      <x:c r="A717" s="1" t="str">
        <x:v>22111</x:v>
      </x:c>
      <x:c r="B717" s="10" t="n">
        <x:v>2</x:v>
      </x:c>
      <x:c r="C717" s="9" t="d">
        <x:v>2011-11-02T00:00:00.000Z</x:v>
      </x:c>
      <x:c r="D717" s="9" t="d">
        <x:v>2011-11-14T00:00:00.000Z</x:v>
      </x:c>
      <x:c r="E717" s="1" t="str">
        <x:v>ridge</x:v>
      </x:c>
      <x:c r="F717" s="10" t="n">
        <x:v>47</x:v>
      </x:c>
      <x:c r="G717" s="10" t="n">
        <x:v>12.0614237437</x:v>
      </x:c>
      <x:c r="H717" s="10" t="n">
        <x:f>ABS(G717-F717)</x:f>
        <x:v>34.938576256299996</x:v>
      </x:c>
      <x:c r="I717" s="10" t="n">
        <x:f>G717-F717</x:f>
        <x:v>-34.938576256299996</x:v>
      </x:c>
    </x:row>
    <x:row r="718" ht="20" customHeight="1">
      <x:c r="A718" s="1" t="str">
        <x:v>22111</x:v>
      </x:c>
      <x:c r="B718" s="10" t="n">
        <x:v>2</x:v>
      </x:c>
      <x:c r="C718" s="9" t="d">
        <x:v>2011-11-02T00:00:00.000Z</x:v>
      </x:c>
      <x:c r="D718" s="9" t="d">
        <x:v>2011-11-15T00:00:00.000Z</x:v>
      </x:c>
      <x:c r="E718" s="1" t="str">
        <x:v>ridge</x:v>
      </x:c>
      <x:c r="F718" s="10" t="n">
        <x:v>36</x:v>
      </x:c>
      <x:c r="G718" s="10" t="n">
        <x:v>15.010357474</x:v>
      </x:c>
      <x:c r="H718" s="10" t="n">
        <x:f>ABS(G718-F718)</x:f>
        <x:v>20.989642526</x:v>
      </x:c>
      <x:c r="I718" s="10" t="n">
        <x:f>G718-F718</x:f>
        <x:v>-20.989642526</x:v>
      </x:c>
    </x:row>
    <x:row r="719" ht="20" customHeight="1">
      <x:c r="A719" s="1" t="str">
        <x:v>22111</x:v>
      </x:c>
      <x:c r="B719" s="10" t="n">
        <x:v>2</x:v>
      </x:c>
      <x:c r="C719" s="9" t="d">
        <x:v>2011-11-02T00:00:00.000Z</x:v>
      </x:c>
      <x:c r="D719" s="9" t="d">
        <x:v>2011-11-16T00:00:00.000Z</x:v>
      </x:c>
      <x:c r="E719" s="1" t="str">
        <x:v>ridge</x:v>
      </x:c>
      <x:c r="F719" s="10" t="n">
        <x:v>125</x:v>
      </x:c>
      <x:c r="G719" s="10" t="n">
        <x:v>14.3200282768</x:v>
      </x:c>
      <x:c r="H719" s="10" t="n">
        <x:f>ABS(G719-F719)</x:f>
        <x:v>110.6799717232</x:v>
      </x:c>
      <x:c r="I719" s="10" t="n">
        <x:f>G719-F719</x:f>
        <x:v>-110.6799717232</x:v>
      </x:c>
    </x:row>
    <x:row r="720" ht="20" customHeight="1">
      <x:c r="A720" s="1" t="str">
        <x:v>22111</x:v>
      </x:c>
      <x:c r="B720" s="10" t="n">
        <x:v>3</x:v>
      </x:c>
      <x:c r="C720" s="9" t="d">
        <x:v>2011-11-16T00:00:00.000Z</x:v>
      </x:c>
      <x:c r="D720" s="9" t="d">
        <x:v>2011-11-17T00:00:00.000Z</x:v>
      </x:c>
      <x:c r="E720" s="1" t="str">
        <x:v>naive</x:v>
      </x:c>
      <x:c r="F720" s="10" t="n">
        <x:v>46</x:v>
      </x:c>
      <x:c r="G720" s="10" t="n">
        <x:v>125</x:v>
      </x:c>
      <x:c r="H720" s="10" t="n">
        <x:f>ABS(G720-F720)</x:f>
        <x:v>79</x:v>
      </x:c>
      <x:c r="I720" s="10" t="n">
        <x:f>G720-F720</x:f>
        <x:v>79</x:v>
      </x:c>
    </x:row>
    <x:row r="721" ht="20" customHeight="1">
      <x:c r="A721" s="1" t="str">
        <x:v>22111</x:v>
      </x:c>
      <x:c r="B721" s="10" t="n">
        <x:v>3</x:v>
      </x:c>
      <x:c r="C721" s="9" t="d">
        <x:v>2011-11-16T00:00:00.000Z</x:v>
      </x:c>
      <x:c r="D721" s="9" t="d">
        <x:v>2011-11-18T00:00:00.000Z</x:v>
      </x:c>
      <x:c r="E721" s="1" t="str">
        <x:v>naive</x:v>
      </x:c>
      <x:c r="F721" s="10" t="n">
        <x:v>24</x:v>
      </x:c>
      <x:c r="G721" s="10" t="n">
        <x:v>125</x:v>
      </x:c>
      <x:c r="H721" s="10" t="n">
        <x:f>ABS(G721-F721)</x:f>
        <x:v>101</x:v>
      </x:c>
      <x:c r="I721" s="10" t="n">
        <x:f>G721-F721</x:f>
        <x:v>101</x:v>
      </x:c>
    </x:row>
    <x:row r="722" ht="20" customHeight="1">
      <x:c r="A722" s="1" t="str">
        <x:v>22111</x:v>
      </x:c>
      <x:c r="B722" s="10" t="n">
        <x:v>3</x:v>
      </x:c>
      <x:c r="C722" s="9" t="d">
        <x:v>2011-11-16T00:00:00.000Z</x:v>
      </x:c>
      <x:c r="D722" s="9" t="d">
        <x:v>2011-11-19T00:00:00.000Z</x:v>
      </x:c>
      <x:c r="E722" s="1" t="str">
        <x:v>naive</x:v>
      </x:c>
      <x:c r="F722" s="10" t="n">
        <x:v>0</x:v>
      </x:c>
      <x:c r="G722" s="10" t="n">
        <x:v>125</x:v>
      </x:c>
      <x:c r="H722" s="10" t="n">
        <x:f>ABS(G722-F722)</x:f>
        <x:v>125</x:v>
      </x:c>
      <x:c r="I722" s="10" t="n">
        <x:f>G722-F722</x:f>
        <x:v>125</x:v>
      </x:c>
    </x:row>
    <x:row r="723" ht="20" customHeight="1">
      <x:c r="A723" s="1" t="str">
        <x:v>22111</x:v>
      </x:c>
      <x:c r="B723" s="10" t="n">
        <x:v>3</x:v>
      </x:c>
      <x:c r="C723" s="9" t="d">
        <x:v>2011-11-16T00:00:00.000Z</x:v>
      </x:c>
      <x:c r="D723" s="9" t="d">
        <x:v>2011-11-20T00:00:00.000Z</x:v>
      </x:c>
      <x:c r="E723" s="1" t="str">
        <x:v>naive</x:v>
      </x:c>
      <x:c r="F723" s="10" t="n">
        <x:v>17</x:v>
      </x:c>
      <x:c r="G723" s="10" t="n">
        <x:v>125</x:v>
      </x:c>
      <x:c r="H723" s="10" t="n">
        <x:f>ABS(G723-F723)</x:f>
        <x:v>108</x:v>
      </x:c>
      <x:c r="I723" s="10" t="n">
        <x:f>G723-F723</x:f>
        <x:v>108</x:v>
      </x:c>
    </x:row>
    <x:row r="724" ht="20" customHeight="1">
      <x:c r="A724" s="1" t="str">
        <x:v>22111</x:v>
      </x:c>
      <x:c r="B724" s="10" t="n">
        <x:v>3</x:v>
      </x:c>
      <x:c r="C724" s="9" t="d">
        <x:v>2011-11-16T00:00:00.000Z</x:v>
      </x:c>
      <x:c r="D724" s="9" t="d">
        <x:v>2011-11-21T00:00:00.000Z</x:v>
      </x:c>
      <x:c r="E724" s="1" t="str">
        <x:v>naive</x:v>
      </x:c>
      <x:c r="F724" s="10" t="n">
        <x:v>10</x:v>
      </x:c>
      <x:c r="G724" s="10" t="n">
        <x:v>125</x:v>
      </x:c>
      <x:c r="H724" s="10" t="n">
        <x:f>ABS(G724-F724)</x:f>
        <x:v>115</x:v>
      </x:c>
      <x:c r="I724" s="10" t="n">
        <x:f>G724-F724</x:f>
        <x:v>115</x:v>
      </x:c>
    </x:row>
    <x:row r="725" ht="20" customHeight="1">
      <x:c r="A725" s="1" t="str">
        <x:v>22111</x:v>
      </x:c>
      <x:c r="B725" s="10" t="n">
        <x:v>3</x:v>
      </x:c>
      <x:c r="C725" s="9" t="d">
        <x:v>2011-11-16T00:00:00.000Z</x:v>
      </x:c>
      <x:c r="D725" s="9" t="d">
        <x:v>2011-11-22T00:00:00.000Z</x:v>
      </x:c>
      <x:c r="E725" s="1" t="str">
        <x:v>naive</x:v>
      </x:c>
      <x:c r="F725" s="10" t="n">
        <x:v>30</x:v>
      </x:c>
      <x:c r="G725" s="10" t="n">
        <x:v>125</x:v>
      </x:c>
      <x:c r="H725" s="10" t="n">
        <x:f>ABS(G725-F725)</x:f>
        <x:v>95</x:v>
      </x:c>
      <x:c r="I725" s="10" t="n">
        <x:f>G725-F725</x:f>
        <x:v>95</x:v>
      </x:c>
    </x:row>
    <x:row r="726" ht="20" customHeight="1">
      <x:c r="A726" s="1" t="str">
        <x:v>22111</x:v>
      </x:c>
      <x:c r="B726" s="10" t="n">
        <x:v>3</x:v>
      </x:c>
      <x:c r="C726" s="9" t="d">
        <x:v>2011-11-16T00:00:00.000Z</x:v>
      </x:c>
      <x:c r="D726" s="9" t="d">
        <x:v>2011-11-23T00:00:00.000Z</x:v>
      </x:c>
      <x:c r="E726" s="1" t="str">
        <x:v>naive</x:v>
      </x:c>
      <x:c r="F726" s="10" t="n">
        <x:v>83</x:v>
      </x:c>
      <x:c r="G726" s="10" t="n">
        <x:v>125</x:v>
      </x:c>
      <x:c r="H726" s="10" t="n">
        <x:f>ABS(G726-F726)</x:f>
        <x:v>42</x:v>
      </x:c>
      <x:c r="I726" s="10" t="n">
        <x:f>G726-F726</x:f>
        <x:v>42</x:v>
      </x:c>
    </x:row>
    <x:row r="727" ht="20" customHeight="1">
      <x:c r="A727" s="1" t="str">
        <x:v>22111</x:v>
      </x:c>
      <x:c r="B727" s="10" t="n">
        <x:v>3</x:v>
      </x:c>
      <x:c r="C727" s="9" t="d">
        <x:v>2011-11-16T00:00:00.000Z</x:v>
      </x:c>
      <x:c r="D727" s="9" t="d">
        <x:v>2011-11-24T00:00:00.000Z</x:v>
      </x:c>
      <x:c r="E727" s="1" t="str">
        <x:v>naive</x:v>
      </x:c>
      <x:c r="F727" s="10" t="n">
        <x:v>10</x:v>
      </x:c>
      <x:c r="G727" s="10" t="n">
        <x:v>125</x:v>
      </x:c>
      <x:c r="H727" s="10" t="n">
        <x:f>ABS(G727-F727)</x:f>
        <x:v>115</x:v>
      </x:c>
      <x:c r="I727" s="10" t="n">
        <x:f>G727-F727</x:f>
        <x:v>115</x:v>
      </x:c>
    </x:row>
    <x:row r="728" ht="20" customHeight="1">
      <x:c r="A728" s="1" t="str">
        <x:v>22111</x:v>
      </x:c>
      <x:c r="B728" s="10" t="n">
        <x:v>3</x:v>
      </x:c>
      <x:c r="C728" s="9" t="d">
        <x:v>2011-11-16T00:00:00.000Z</x:v>
      </x:c>
      <x:c r="D728" s="9" t="d">
        <x:v>2011-11-25T00:00:00.000Z</x:v>
      </x:c>
      <x:c r="E728" s="1" t="str">
        <x:v>naive</x:v>
      </x:c>
      <x:c r="F728" s="10" t="n">
        <x:v>7</x:v>
      </x:c>
      <x:c r="G728" s="10" t="n">
        <x:v>125</x:v>
      </x:c>
      <x:c r="H728" s="10" t="n">
        <x:f>ABS(G728-F728)</x:f>
        <x:v>118</x:v>
      </x:c>
      <x:c r="I728" s="10" t="n">
        <x:f>G728-F728</x:f>
        <x:v>118</x:v>
      </x:c>
    </x:row>
    <x:row r="729" ht="20" customHeight="1">
      <x:c r="A729" s="1" t="str">
        <x:v>22111</x:v>
      </x:c>
      <x:c r="B729" s="10" t="n">
        <x:v>3</x:v>
      </x:c>
      <x:c r="C729" s="9" t="d">
        <x:v>2011-11-16T00:00:00.000Z</x:v>
      </x:c>
      <x:c r="D729" s="9" t="d">
        <x:v>2011-11-26T00:00:00.000Z</x:v>
      </x:c>
      <x:c r="E729" s="1" t="str">
        <x:v>naive</x:v>
      </x:c>
      <x:c r="F729" s="10" t="n">
        <x:v>0</x:v>
      </x:c>
      <x:c r="G729" s="10" t="n">
        <x:v>125</x:v>
      </x:c>
      <x:c r="H729" s="10" t="n">
        <x:f>ABS(G729-F729)</x:f>
        <x:v>125</x:v>
      </x:c>
      <x:c r="I729" s="10" t="n">
        <x:f>G729-F729</x:f>
        <x:v>125</x:v>
      </x:c>
    </x:row>
    <x:row r="730" ht="20" customHeight="1">
      <x:c r="A730" s="1" t="str">
        <x:v>22111</x:v>
      </x:c>
      <x:c r="B730" s="10" t="n">
        <x:v>3</x:v>
      </x:c>
      <x:c r="C730" s="9" t="d">
        <x:v>2011-11-16T00:00:00.000Z</x:v>
      </x:c>
      <x:c r="D730" s="9" t="d">
        <x:v>2011-11-27T00:00:00.000Z</x:v>
      </x:c>
      <x:c r="E730" s="1" t="str">
        <x:v>naive</x:v>
      </x:c>
      <x:c r="F730" s="10" t="n">
        <x:v>20</x:v>
      </x:c>
      <x:c r="G730" s="10" t="n">
        <x:v>125</x:v>
      </x:c>
      <x:c r="H730" s="10" t="n">
        <x:f>ABS(G730-F730)</x:f>
        <x:v>105</x:v>
      </x:c>
      <x:c r="I730" s="10" t="n">
        <x:f>G730-F730</x:f>
        <x:v>105</x:v>
      </x:c>
    </x:row>
    <x:row r="731" ht="20" customHeight="1">
      <x:c r="A731" s="1" t="str">
        <x:v>22111</x:v>
      </x:c>
      <x:c r="B731" s="10" t="n">
        <x:v>3</x:v>
      </x:c>
      <x:c r="C731" s="9" t="d">
        <x:v>2011-11-16T00:00:00.000Z</x:v>
      </x:c>
      <x:c r="D731" s="9" t="d">
        <x:v>2011-11-28T00:00:00.000Z</x:v>
      </x:c>
      <x:c r="E731" s="1" t="str">
        <x:v>naive</x:v>
      </x:c>
      <x:c r="F731" s="10" t="n">
        <x:v>63</x:v>
      </x:c>
      <x:c r="G731" s="10" t="n">
        <x:v>125</x:v>
      </x:c>
      <x:c r="H731" s="10" t="n">
        <x:f>ABS(G731-F731)</x:f>
        <x:v>62</x:v>
      </x:c>
      <x:c r="I731" s="10" t="n">
        <x:f>G731-F731</x:f>
        <x:v>62</x:v>
      </x:c>
    </x:row>
    <x:row r="732" ht="20" customHeight="1">
      <x:c r="A732" s="1" t="str">
        <x:v>22111</x:v>
      </x:c>
      <x:c r="B732" s="10" t="n">
        <x:v>3</x:v>
      </x:c>
      <x:c r="C732" s="9" t="d">
        <x:v>2011-11-16T00:00:00.000Z</x:v>
      </x:c>
      <x:c r="D732" s="9" t="d">
        <x:v>2011-11-29T00:00:00.000Z</x:v>
      </x:c>
      <x:c r="E732" s="1" t="str">
        <x:v>naive</x:v>
      </x:c>
      <x:c r="F732" s="10" t="n">
        <x:v>53</x:v>
      </x:c>
      <x:c r="G732" s="10" t="n">
        <x:v>125</x:v>
      </x:c>
      <x:c r="H732" s="10" t="n">
        <x:f>ABS(G732-F732)</x:f>
        <x:v>72</x:v>
      </x:c>
      <x:c r="I732" s="10" t="n">
        <x:f>G732-F732</x:f>
        <x:v>72</x:v>
      </x:c>
    </x:row>
    <x:row r="733" ht="20" customHeight="1">
      <x:c r="A733" s="1" t="str">
        <x:v>22111</x:v>
      </x:c>
      <x:c r="B733" s="10" t="n">
        <x:v>3</x:v>
      </x:c>
      <x:c r="C733" s="9" t="d">
        <x:v>2011-11-16T00:00:00.000Z</x:v>
      </x:c>
      <x:c r="D733" s="9" t="d">
        <x:v>2011-11-30T00:00:00.000Z</x:v>
      </x:c>
      <x:c r="E733" s="1" t="str">
        <x:v>naive</x:v>
      </x:c>
      <x:c r="F733" s="10" t="n">
        <x:v>24</x:v>
      </x:c>
      <x:c r="G733" s="10" t="n">
        <x:v>125</x:v>
      </x:c>
      <x:c r="H733" s="10" t="n">
        <x:f>ABS(G733-F733)</x:f>
        <x:v>101</x:v>
      </x:c>
      <x:c r="I733" s="10" t="n">
        <x:f>G733-F733</x:f>
        <x:v>101</x:v>
      </x:c>
    </x:row>
    <x:row r="734" ht="20" customHeight="1">
      <x:c r="A734" s="1" t="str">
        <x:v>22111</x:v>
      </x:c>
      <x:c r="B734" s="10" t="n">
        <x:v>3</x:v>
      </x:c>
      <x:c r="C734" s="9" t="d">
        <x:v>2011-11-16T00:00:00.000Z</x:v>
      </x:c>
      <x:c r="D734" s="9" t="d">
        <x:v>2011-11-17T00:00:00.000Z</x:v>
      </x:c>
      <x:c r="E734" s="1" t="str">
        <x:v>seasonal_naive</x:v>
      </x:c>
      <x:c r="F734" s="10" t="n">
        <x:v>46</x:v>
      </x:c>
      <x:c r="G734" s="10" t="n">
        <x:v>79</x:v>
      </x:c>
      <x:c r="H734" s="10" t="n">
        <x:f>ABS(G734-F734)</x:f>
        <x:v>33</x:v>
      </x:c>
      <x:c r="I734" s="10" t="n">
        <x:f>G734-F734</x:f>
        <x:v>33</x:v>
      </x:c>
    </x:row>
    <x:row r="735" ht="20" customHeight="1">
      <x:c r="A735" s="1" t="str">
        <x:v>22111</x:v>
      </x:c>
      <x:c r="B735" s="10" t="n">
        <x:v>3</x:v>
      </x:c>
      <x:c r="C735" s="9" t="d">
        <x:v>2011-11-16T00:00:00.000Z</x:v>
      </x:c>
      <x:c r="D735" s="9" t="d">
        <x:v>2011-11-18T00:00:00.000Z</x:v>
      </x:c>
      <x:c r="E735" s="1" t="str">
        <x:v>seasonal_naive</x:v>
      </x:c>
      <x:c r="F735" s="10" t="n">
        <x:v>24</x:v>
      </x:c>
      <x:c r="G735" s="10" t="n">
        <x:v>52</x:v>
      </x:c>
      <x:c r="H735" s="10" t="n">
        <x:f>ABS(G735-F735)</x:f>
        <x:v>28</x:v>
      </x:c>
      <x:c r="I735" s="10" t="n">
        <x:f>G735-F735</x:f>
        <x:v>28</x:v>
      </x:c>
    </x:row>
    <x:row r="736" ht="20" customHeight="1">
      <x:c r="A736" s="1" t="str">
        <x:v>22111</x:v>
      </x:c>
      <x:c r="B736" s="10" t="n">
        <x:v>3</x:v>
      </x:c>
      <x:c r="C736" s="9" t="d">
        <x:v>2011-11-16T00:00:00.000Z</x:v>
      </x:c>
      <x:c r="D736" s="9" t="d">
        <x:v>2011-11-19T00:00:00.000Z</x:v>
      </x:c>
      <x:c r="E736" s="1" t="str">
        <x:v>seasonal_naive</x:v>
      </x:c>
      <x:c r="F736" s="10" t="n">
        <x:v>0</x:v>
      </x:c>
      <x:c r="G736" s="10" t="n">
        <x:v>0</x:v>
      </x:c>
      <x:c r="H736" s="10" t="n">
        <x:f>ABS(G736-F736)</x:f>
        <x:v>0</x:v>
      </x:c>
      <x:c r="I736" s="10" t="n">
        <x:f>G736-F736</x:f>
        <x:v>0</x:v>
      </x:c>
    </x:row>
    <x:row r="737" ht="20" customHeight="1">
      <x:c r="A737" s="1" t="str">
        <x:v>22111</x:v>
      </x:c>
      <x:c r="B737" s="10" t="n">
        <x:v>3</x:v>
      </x:c>
      <x:c r="C737" s="9" t="d">
        <x:v>2011-11-16T00:00:00.000Z</x:v>
      </x:c>
      <x:c r="D737" s="9" t="d">
        <x:v>2011-11-20T00:00:00.000Z</x:v>
      </x:c>
      <x:c r="E737" s="1" t="str">
        <x:v>seasonal_naive</x:v>
      </x:c>
      <x:c r="F737" s="10" t="n">
        <x:v>17</x:v>
      </x:c>
      <x:c r="G737" s="10" t="n">
        <x:v>8</x:v>
      </x:c>
      <x:c r="H737" s="10" t="n">
        <x:f>ABS(G737-F737)</x:f>
        <x:v>9</x:v>
      </x:c>
      <x:c r="I737" s="10" t="n">
        <x:f>G737-F737</x:f>
        <x:v>-9</x:v>
      </x:c>
    </x:row>
    <x:row r="738" ht="20" customHeight="1">
      <x:c r="A738" s="1" t="str">
        <x:v>22111</x:v>
      </x:c>
      <x:c r="B738" s="10" t="n">
        <x:v>3</x:v>
      </x:c>
      <x:c r="C738" s="9" t="d">
        <x:v>2011-11-16T00:00:00.000Z</x:v>
      </x:c>
      <x:c r="D738" s="9" t="d">
        <x:v>2011-11-21T00:00:00.000Z</x:v>
      </x:c>
      <x:c r="E738" s="1" t="str">
        <x:v>seasonal_naive</x:v>
      </x:c>
      <x:c r="F738" s="10" t="n">
        <x:v>10</x:v>
      </x:c>
      <x:c r="G738" s="10" t="n">
        <x:v>47</x:v>
      </x:c>
      <x:c r="H738" s="10" t="n">
        <x:f>ABS(G738-F738)</x:f>
        <x:v>37</x:v>
      </x:c>
      <x:c r="I738" s="10" t="n">
        <x:f>G738-F738</x:f>
        <x:v>37</x:v>
      </x:c>
    </x:row>
    <x:row r="739" ht="20" customHeight="1">
      <x:c r="A739" s="1" t="str">
        <x:v>22111</x:v>
      </x:c>
      <x:c r="B739" s="10" t="n">
        <x:v>3</x:v>
      </x:c>
      <x:c r="C739" s="9" t="d">
        <x:v>2011-11-16T00:00:00.000Z</x:v>
      </x:c>
      <x:c r="D739" s="9" t="d">
        <x:v>2011-11-22T00:00:00.000Z</x:v>
      </x:c>
      <x:c r="E739" s="1" t="str">
        <x:v>seasonal_naive</x:v>
      </x:c>
      <x:c r="F739" s="10" t="n">
        <x:v>30</x:v>
      </x:c>
      <x:c r="G739" s="10" t="n">
        <x:v>36</x:v>
      </x:c>
      <x:c r="H739" s="10" t="n">
        <x:f>ABS(G739-F739)</x:f>
        <x:v>6</x:v>
      </x:c>
      <x:c r="I739" s="10" t="n">
        <x:f>G739-F739</x:f>
        <x:v>6</x:v>
      </x:c>
    </x:row>
    <x:row r="740" ht="20" customHeight="1">
      <x:c r="A740" s="1" t="str">
        <x:v>22111</x:v>
      </x:c>
      <x:c r="B740" s="10" t="n">
        <x:v>3</x:v>
      </x:c>
      <x:c r="C740" s="9" t="d">
        <x:v>2011-11-16T00:00:00.000Z</x:v>
      </x:c>
      <x:c r="D740" s="9" t="d">
        <x:v>2011-11-23T00:00:00.000Z</x:v>
      </x:c>
      <x:c r="E740" s="1" t="str">
        <x:v>seasonal_naive</x:v>
      </x:c>
      <x:c r="F740" s="10" t="n">
        <x:v>83</x:v>
      </x:c>
      <x:c r="G740" s="10" t="n">
        <x:v>125</x:v>
      </x:c>
      <x:c r="H740" s="10" t="n">
        <x:f>ABS(G740-F740)</x:f>
        <x:v>42</x:v>
      </x:c>
      <x:c r="I740" s="10" t="n">
        <x:f>G740-F740</x:f>
        <x:v>42</x:v>
      </x:c>
    </x:row>
    <x:row r="741" ht="20" customHeight="1">
      <x:c r="A741" s="1" t="str">
        <x:v>22111</x:v>
      </x:c>
      <x:c r="B741" s="10" t="n">
        <x:v>3</x:v>
      </x:c>
      <x:c r="C741" s="9" t="d">
        <x:v>2011-11-16T00:00:00.000Z</x:v>
      </x:c>
      <x:c r="D741" s="9" t="d">
        <x:v>2011-11-24T00:00:00.000Z</x:v>
      </x:c>
      <x:c r="E741" s="1" t="str">
        <x:v>seasonal_naive</x:v>
      </x:c>
      <x:c r="F741" s="10" t="n">
        <x:v>10</x:v>
      </x:c>
      <x:c r="G741" s="10" t="n">
        <x:v>79</x:v>
      </x:c>
      <x:c r="H741" s="10" t="n">
        <x:f>ABS(G741-F741)</x:f>
        <x:v>69</x:v>
      </x:c>
      <x:c r="I741" s="10" t="n">
        <x:f>G741-F741</x:f>
        <x:v>69</x:v>
      </x:c>
    </x:row>
    <x:row r="742" ht="20" customHeight="1">
      <x:c r="A742" s="1" t="str">
        <x:v>22111</x:v>
      </x:c>
      <x:c r="B742" s="10" t="n">
        <x:v>3</x:v>
      </x:c>
      <x:c r="C742" s="9" t="d">
        <x:v>2011-11-16T00:00:00.000Z</x:v>
      </x:c>
      <x:c r="D742" s="9" t="d">
        <x:v>2011-11-25T00:00:00.000Z</x:v>
      </x:c>
      <x:c r="E742" s="1" t="str">
        <x:v>seasonal_naive</x:v>
      </x:c>
      <x:c r="F742" s="10" t="n">
        <x:v>7</x:v>
      </x:c>
      <x:c r="G742" s="10" t="n">
        <x:v>52</x:v>
      </x:c>
      <x:c r="H742" s="10" t="n">
        <x:f>ABS(G742-F742)</x:f>
        <x:v>45</x:v>
      </x:c>
      <x:c r="I742" s="10" t="n">
        <x:f>G742-F742</x:f>
        <x:v>45</x:v>
      </x:c>
    </x:row>
    <x:row r="743" ht="20" customHeight="1">
      <x:c r="A743" s="1" t="str">
        <x:v>22111</x:v>
      </x:c>
      <x:c r="B743" s="10" t="n">
        <x:v>3</x:v>
      </x:c>
      <x:c r="C743" s="9" t="d">
        <x:v>2011-11-16T00:00:00.000Z</x:v>
      </x:c>
      <x:c r="D743" s="9" t="d">
        <x:v>2011-11-26T00:00:00.000Z</x:v>
      </x:c>
      <x:c r="E743" s="1" t="str">
        <x:v>seasonal_naive</x:v>
      </x:c>
      <x:c r="F743" s="10" t="n">
        <x:v>0</x:v>
      </x:c>
      <x:c r="G743" s="10" t="n">
        <x:v>0</x:v>
      </x:c>
      <x:c r="H743" s="10" t="n">
        <x:f>ABS(G743-F743)</x:f>
        <x:v>0</x:v>
      </x:c>
      <x:c r="I743" s="10" t="n">
        <x:f>G743-F743</x:f>
        <x:v>0</x:v>
      </x:c>
    </x:row>
    <x:row r="744" ht="20" customHeight="1">
      <x:c r="A744" s="1" t="str">
        <x:v>22111</x:v>
      </x:c>
      <x:c r="B744" s="10" t="n">
        <x:v>3</x:v>
      </x:c>
      <x:c r="C744" s="9" t="d">
        <x:v>2011-11-16T00:00:00.000Z</x:v>
      </x:c>
      <x:c r="D744" s="9" t="d">
        <x:v>2011-11-27T00:00:00.000Z</x:v>
      </x:c>
      <x:c r="E744" s="1" t="str">
        <x:v>seasonal_naive</x:v>
      </x:c>
      <x:c r="F744" s="10" t="n">
        <x:v>20</x:v>
      </x:c>
      <x:c r="G744" s="10" t="n">
        <x:v>8</x:v>
      </x:c>
      <x:c r="H744" s="10" t="n">
        <x:f>ABS(G744-F744)</x:f>
        <x:v>12</x:v>
      </x:c>
      <x:c r="I744" s="10" t="n">
        <x:f>G744-F744</x:f>
        <x:v>-12</x:v>
      </x:c>
    </x:row>
    <x:row r="745" ht="20" customHeight="1">
      <x:c r="A745" s="1" t="str">
        <x:v>22111</x:v>
      </x:c>
      <x:c r="B745" s="10" t="n">
        <x:v>3</x:v>
      </x:c>
      <x:c r="C745" s="9" t="d">
        <x:v>2011-11-16T00:00:00.000Z</x:v>
      </x:c>
      <x:c r="D745" s="9" t="d">
        <x:v>2011-11-28T00:00:00.000Z</x:v>
      </x:c>
      <x:c r="E745" s="1" t="str">
        <x:v>seasonal_naive</x:v>
      </x:c>
      <x:c r="F745" s="10" t="n">
        <x:v>63</x:v>
      </x:c>
      <x:c r="G745" s="10" t="n">
        <x:v>47</x:v>
      </x:c>
      <x:c r="H745" s="10" t="n">
        <x:f>ABS(G745-F745)</x:f>
        <x:v>16</x:v>
      </x:c>
      <x:c r="I745" s="10" t="n">
        <x:f>G745-F745</x:f>
        <x:v>-16</x:v>
      </x:c>
    </x:row>
    <x:row r="746" ht="20" customHeight="1">
      <x:c r="A746" s="1" t="str">
        <x:v>22111</x:v>
      </x:c>
      <x:c r="B746" s="10" t="n">
        <x:v>3</x:v>
      </x:c>
      <x:c r="C746" s="9" t="d">
        <x:v>2011-11-16T00:00:00.000Z</x:v>
      </x:c>
      <x:c r="D746" s="9" t="d">
        <x:v>2011-11-29T00:00:00.000Z</x:v>
      </x:c>
      <x:c r="E746" s="1" t="str">
        <x:v>seasonal_naive</x:v>
      </x:c>
      <x:c r="F746" s="10" t="n">
        <x:v>53</x:v>
      </x:c>
      <x:c r="G746" s="10" t="n">
        <x:v>36</x:v>
      </x:c>
      <x:c r="H746" s="10" t="n">
        <x:f>ABS(G746-F746)</x:f>
        <x:v>17</x:v>
      </x:c>
      <x:c r="I746" s="10" t="n">
        <x:f>G746-F746</x:f>
        <x:v>-17</x:v>
      </x:c>
    </x:row>
    <x:row r="747" ht="20" customHeight="1">
      <x:c r="A747" s="1" t="str">
        <x:v>22111</x:v>
      </x:c>
      <x:c r="B747" s="10" t="n">
        <x:v>3</x:v>
      </x:c>
      <x:c r="C747" s="9" t="d">
        <x:v>2011-11-16T00:00:00.000Z</x:v>
      </x:c>
      <x:c r="D747" s="9" t="d">
        <x:v>2011-11-30T00:00:00.000Z</x:v>
      </x:c>
      <x:c r="E747" s="1" t="str">
        <x:v>seasonal_naive</x:v>
      </x:c>
      <x:c r="F747" s="10" t="n">
        <x:v>24</x:v>
      </x:c>
      <x:c r="G747" s="10" t="n">
        <x:v>125</x:v>
      </x:c>
      <x:c r="H747" s="10" t="n">
        <x:f>ABS(G747-F747)</x:f>
        <x:v>101</x:v>
      </x:c>
      <x:c r="I747" s="10" t="n">
        <x:f>G747-F747</x:f>
        <x:v>101</x:v>
      </x:c>
    </x:row>
    <x:row r="748" ht="20" customHeight="1">
      <x:c r="A748" s="1" t="str">
        <x:v>22111</x:v>
      </x:c>
      <x:c r="B748" s="10" t="n">
        <x:v>3</x:v>
      </x:c>
      <x:c r="C748" s="9" t="d">
        <x:v>2011-11-16T00:00:00.000Z</x:v>
      </x:c>
      <x:c r="D748" s="9" t="d">
        <x:v>2011-11-17T00:00:00.000Z</x:v>
      </x:c>
      <x:c r="E748" s="1" t="str">
        <x:v>ridge</x:v>
      </x:c>
      <x:c r="F748" s="10" t="n">
        <x:v>46</x:v>
      </x:c>
      <x:c r="G748" s="10" t="n">
        <x:v>26.2899365871</x:v>
      </x:c>
      <x:c r="H748" s="10" t="n">
        <x:f>ABS(G748-F748)</x:f>
        <x:v>19.7100634129</x:v>
      </x:c>
      <x:c r="I748" s="10" t="n">
        <x:f>G748-F748</x:f>
        <x:v>-19.7100634129</x:v>
      </x:c>
    </x:row>
    <x:row r="749" ht="20" customHeight="1">
      <x:c r="A749" s="1" t="str">
        <x:v>22111</x:v>
      </x:c>
      <x:c r="B749" s="10" t="n">
        <x:v>3</x:v>
      </x:c>
      <x:c r="C749" s="9" t="d">
        <x:v>2011-11-16T00:00:00.000Z</x:v>
      </x:c>
      <x:c r="D749" s="9" t="d">
        <x:v>2011-11-18T00:00:00.000Z</x:v>
      </x:c>
      <x:c r="E749" s="1" t="str">
        <x:v>ridge</x:v>
      </x:c>
      <x:c r="F749" s="10" t="n">
        <x:v>24</x:v>
      </x:c>
      <x:c r="G749" s="10" t="n">
        <x:v>21.082582167</x:v>
      </x:c>
      <x:c r="H749" s="10" t="n">
        <x:f>ABS(G749-F749)</x:f>
        <x:v>2.9174178329999982</x:v>
      </x:c>
      <x:c r="I749" s="10" t="n">
        <x:f>G749-F749</x:f>
        <x:v>-2.9174178329999982</x:v>
      </x:c>
    </x:row>
    <x:row r="750" ht="20" customHeight="1">
      <x:c r="A750" s="1" t="str">
        <x:v>22111</x:v>
      </x:c>
      <x:c r="B750" s="10" t="n">
        <x:v>3</x:v>
      </x:c>
      <x:c r="C750" s="9" t="d">
        <x:v>2011-11-16T00:00:00.000Z</x:v>
      </x:c>
      <x:c r="D750" s="9" t="d">
        <x:v>2011-11-19T00:00:00.000Z</x:v>
      </x:c>
      <x:c r="E750" s="1" t="str">
        <x:v>ridge</x:v>
      </x:c>
      <x:c r="F750" s="10" t="n">
        <x:v>0</x:v>
      </x:c>
      <x:c r="G750" s="10" t="n">
        <x:v>19.8287578739</x:v>
      </x:c>
      <x:c r="H750" s="10" t="n">
        <x:f>ABS(G750-F750)</x:f>
        <x:v>19.8287578739</x:v>
      </x:c>
      <x:c r="I750" s="10" t="n">
        <x:f>G750-F750</x:f>
        <x:v>19.8287578739</x:v>
      </x:c>
    </x:row>
    <x:row r="751" ht="20" customHeight="1">
      <x:c r="A751" s="1" t="str">
        <x:v>22111</x:v>
      </x:c>
      <x:c r="B751" s="10" t="n">
        <x:v>3</x:v>
      </x:c>
      <x:c r="C751" s="9" t="d">
        <x:v>2011-11-16T00:00:00.000Z</x:v>
      </x:c>
      <x:c r="D751" s="9" t="d">
        <x:v>2011-11-20T00:00:00.000Z</x:v>
      </x:c>
      <x:c r="E751" s="1" t="str">
        <x:v>ridge</x:v>
      </x:c>
      <x:c r="F751" s="10" t="n">
        <x:v>17</x:v>
      </x:c>
      <x:c r="G751" s="10" t="n">
        <x:v>23.3682051509</x:v>
      </x:c>
      <x:c r="H751" s="10" t="n">
        <x:f>ABS(G751-F751)</x:f>
        <x:v>6.3682051509</x:v>
      </x:c>
      <x:c r="I751" s="10" t="n">
        <x:f>G751-F751</x:f>
        <x:v>6.3682051509</x:v>
      </x:c>
    </x:row>
    <x:row r="752" ht="20" customHeight="1">
      <x:c r="A752" s="1" t="str">
        <x:v>22111</x:v>
      </x:c>
      <x:c r="B752" s="10" t="n">
        <x:v>3</x:v>
      </x:c>
      <x:c r="C752" s="9" t="d">
        <x:v>2011-11-16T00:00:00.000Z</x:v>
      </x:c>
      <x:c r="D752" s="9" t="d">
        <x:v>2011-11-21T00:00:00.000Z</x:v>
      </x:c>
      <x:c r="E752" s="1" t="str">
        <x:v>ridge</x:v>
      </x:c>
      <x:c r="F752" s="10" t="n">
        <x:v>10</x:v>
      </x:c>
      <x:c r="G752" s="10" t="n">
        <x:v>28.0892121321</x:v>
      </x:c>
      <x:c r="H752" s="10" t="n">
        <x:f>ABS(G752-F752)</x:f>
        <x:v>18.0892121321</x:v>
      </x:c>
      <x:c r="I752" s="10" t="n">
        <x:f>G752-F752</x:f>
        <x:v>18.0892121321</x:v>
      </x:c>
    </x:row>
    <x:row r="753" ht="20" customHeight="1">
      <x:c r="A753" s="1" t="str">
        <x:v>22111</x:v>
      </x:c>
      <x:c r="B753" s="10" t="n">
        <x:v>3</x:v>
      </x:c>
      <x:c r="C753" s="9" t="d">
        <x:v>2011-11-16T00:00:00.000Z</x:v>
      </x:c>
      <x:c r="D753" s="9" t="d">
        <x:v>2011-11-22T00:00:00.000Z</x:v>
      </x:c>
      <x:c r="E753" s="1" t="str">
        <x:v>ridge</x:v>
      </x:c>
      <x:c r="F753" s="10" t="n">
        <x:v>30</x:v>
      </x:c>
      <x:c r="G753" s="10" t="n">
        <x:v>32.049730561</x:v>
      </x:c>
      <x:c r="H753" s="10" t="n">
        <x:f>ABS(G753-F753)</x:f>
        <x:v>2.049730560999997</x:v>
      </x:c>
      <x:c r="I753" s="10" t="n">
        <x:f>G753-F753</x:f>
        <x:v>2.049730560999997</x:v>
      </x:c>
    </x:row>
    <x:row r="754" ht="20" customHeight="1">
      <x:c r="A754" s="1" t="str">
        <x:v>22111</x:v>
      </x:c>
      <x:c r="B754" s="10" t="n">
        <x:v>3</x:v>
      </x:c>
      <x:c r="C754" s="9" t="d">
        <x:v>2011-11-16T00:00:00.000Z</x:v>
      </x:c>
      <x:c r="D754" s="9" t="d">
        <x:v>2011-11-23T00:00:00.000Z</x:v>
      </x:c>
      <x:c r="E754" s="1" t="str">
        <x:v>ridge</x:v>
      </x:c>
      <x:c r="F754" s="10" t="n">
        <x:v>83</x:v>
      </x:c>
      <x:c r="G754" s="10" t="n">
        <x:v>28.8180138293</x:v>
      </x:c>
      <x:c r="H754" s="10" t="n">
        <x:f>ABS(G754-F754)</x:f>
        <x:v>54.1819861707</x:v>
      </x:c>
      <x:c r="I754" s="10" t="n">
        <x:f>G754-F754</x:f>
        <x:v>-54.1819861707</x:v>
      </x:c>
    </x:row>
    <x:row r="755" ht="20" customHeight="1">
      <x:c r="A755" s="1" t="str">
        <x:v>22111</x:v>
      </x:c>
      <x:c r="B755" s="10" t="n">
        <x:v>3</x:v>
      </x:c>
      <x:c r="C755" s="9" t="d">
        <x:v>2011-11-16T00:00:00.000Z</x:v>
      </x:c>
      <x:c r="D755" s="9" t="d">
        <x:v>2011-11-24T00:00:00.000Z</x:v>
      </x:c>
      <x:c r="E755" s="1" t="str">
        <x:v>ridge</x:v>
      </x:c>
      <x:c r="F755" s="10" t="n">
        <x:v>10</x:v>
      </x:c>
      <x:c r="G755" s="10" t="n">
        <x:v>21.5589953695</x:v>
      </x:c>
      <x:c r="H755" s="10" t="n">
        <x:f>ABS(G755-F755)</x:f>
        <x:v>11.5589953695</x:v>
      </x:c>
      <x:c r="I755" s="10" t="n">
        <x:f>G755-F755</x:f>
        <x:v>11.5589953695</x:v>
      </x:c>
    </x:row>
    <x:row r="756" ht="20" customHeight="1">
      <x:c r="A756" s="1" t="str">
        <x:v>22111</x:v>
      </x:c>
      <x:c r="B756" s="10" t="n">
        <x:v>3</x:v>
      </x:c>
      <x:c r="C756" s="9" t="d">
        <x:v>2011-11-16T00:00:00.000Z</x:v>
      </x:c>
      <x:c r="D756" s="9" t="d">
        <x:v>2011-11-25T00:00:00.000Z</x:v>
      </x:c>
      <x:c r="E756" s="1" t="str">
        <x:v>ridge</x:v>
      </x:c>
      <x:c r="F756" s="10" t="n">
        <x:v>7</x:v>
      </x:c>
      <x:c r="G756" s="10" t="n">
        <x:v>16.7323198785</x:v>
      </x:c>
      <x:c r="H756" s="10" t="n">
        <x:f>ABS(G756-F756)</x:f>
        <x:v>9.7323198785</x:v>
      </x:c>
      <x:c r="I756" s="10" t="n">
        <x:f>G756-F756</x:f>
        <x:v>9.7323198785</x:v>
      </x:c>
    </x:row>
    <x:row r="757" ht="20" customHeight="1">
      <x:c r="A757" s="1" t="str">
        <x:v>22111</x:v>
      </x:c>
      <x:c r="B757" s="10" t="n">
        <x:v>3</x:v>
      </x:c>
      <x:c r="C757" s="9" t="d">
        <x:v>2011-11-16T00:00:00.000Z</x:v>
      </x:c>
      <x:c r="D757" s="9" t="d">
        <x:v>2011-11-26T00:00:00.000Z</x:v>
      </x:c>
      <x:c r="E757" s="1" t="str">
        <x:v>ridge</x:v>
      </x:c>
      <x:c r="F757" s="10" t="n">
        <x:v>0</x:v>
      </x:c>
      <x:c r="G757" s="10" t="n">
        <x:v>15.0587484123</x:v>
      </x:c>
      <x:c r="H757" s="10" t="n">
        <x:f>ABS(G757-F757)</x:f>
        <x:v>15.0587484123</x:v>
      </x:c>
      <x:c r="I757" s="10" t="n">
        <x:f>G757-F757</x:f>
        <x:v>15.0587484123</x:v>
      </x:c>
    </x:row>
    <x:row r="758" ht="20" customHeight="1">
      <x:c r="A758" s="1" t="str">
        <x:v>22111</x:v>
      </x:c>
      <x:c r="B758" s="10" t="n">
        <x:v>3</x:v>
      </x:c>
      <x:c r="C758" s="9" t="d">
        <x:v>2011-11-16T00:00:00.000Z</x:v>
      </x:c>
      <x:c r="D758" s="9" t="d">
        <x:v>2011-11-27T00:00:00.000Z</x:v>
      </x:c>
      <x:c r="E758" s="1" t="str">
        <x:v>ridge</x:v>
      </x:c>
      <x:c r="F758" s="10" t="n">
        <x:v>20</x:v>
      </x:c>
      <x:c r="G758" s="10" t="n">
        <x:v>17.5262078161</x:v>
      </x:c>
      <x:c r="H758" s="10" t="n">
        <x:f>ABS(G758-F758)</x:f>
        <x:v>2.4737921838999988</x:v>
      </x:c>
      <x:c r="I758" s="10" t="n">
        <x:f>G758-F758</x:f>
        <x:v>-2.4737921838999988</x:v>
      </x:c>
    </x:row>
    <x:row r="759" ht="20" customHeight="1">
      <x:c r="A759" s="1" t="str">
        <x:v>22111</x:v>
      </x:c>
      <x:c r="B759" s="10" t="n">
        <x:v>3</x:v>
      </x:c>
      <x:c r="C759" s="9" t="d">
        <x:v>2011-11-16T00:00:00.000Z</x:v>
      </x:c>
      <x:c r="D759" s="9" t="d">
        <x:v>2011-11-28T00:00:00.000Z</x:v>
      </x:c>
      <x:c r="E759" s="1" t="str">
        <x:v>ridge</x:v>
      </x:c>
      <x:c r="F759" s="10" t="n">
        <x:v>63</x:v>
      </x:c>
      <x:c r="G759" s="10" t="n">
        <x:v>22.0176364092</x:v>
      </x:c>
      <x:c r="H759" s="10" t="n">
        <x:f>ABS(G759-F759)</x:f>
        <x:v>40.9823635908</x:v>
      </x:c>
      <x:c r="I759" s="10" t="n">
        <x:f>G759-F759</x:f>
        <x:v>-40.9823635908</x:v>
      </x:c>
    </x:row>
    <x:row r="760" ht="20" customHeight="1">
      <x:c r="A760" s="1" t="str">
        <x:v>22111</x:v>
      </x:c>
      <x:c r="B760" s="10" t="n">
        <x:v>3</x:v>
      </x:c>
      <x:c r="C760" s="9" t="d">
        <x:v>2011-11-16T00:00:00.000Z</x:v>
      </x:c>
      <x:c r="D760" s="9" t="d">
        <x:v>2011-11-29T00:00:00.000Z</x:v>
      </x:c>
      <x:c r="E760" s="1" t="str">
        <x:v>ridge</x:v>
      </x:c>
      <x:c r="F760" s="10" t="n">
        <x:v>53</x:v>
      </x:c>
      <x:c r="G760" s="10" t="n">
        <x:v>25.9180104422</x:v>
      </x:c>
      <x:c r="H760" s="10" t="n">
        <x:f>ABS(G760-F760)</x:f>
        <x:v>27.0819895578</x:v>
      </x:c>
      <x:c r="I760" s="10" t="n">
        <x:f>G760-F760</x:f>
        <x:v>-27.0819895578</x:v>
      </x:c>
    </x:row>
    <x:row r="761" ht="20" customHeight="1">
      <x:c r="A761" s="1" t="str">
        <x:v>22111</x:v>
      </x:c>
      <x:c r="B761" s="10" t="n">
        <x:v>3</x:v>
      </x:c>
      <x:c r="C761" s="9" t="d">
        <x:v>2011-11-16T00:00:00.000Z</x:v>
      </x:c>
      <x:c r="D761" s="9" t="d">
        <x:v>2011-11-30T00:00:00.000Z</x:v>
      </x:c>
      <x:c r="E761" s="1" t="str">
        <x:v>ridge</x:v>
      </x:c>
      <x:c r="F761" s="10" t="n">
        <x:v>24</x:v>
      </x:c>
      <x:c r="G761" s="10" t="n">
        <x:v>23.8303428291</x:v>
      </x:c>
      <x:c r="H761" s="10" t="n">
        <x:f>ABS(G761-F761)</x:f>
        <x:v>0.169657170899999</x:v>
      </x:c>
      <x:c r="I761" s="10" t="n">
        <x:f>G761-F761</x:f>
        <x:v>-0.169657170899999</x:v>
      </x:c>
    </x:row>
    <x:row r="762" ht="20" customHeight="1">
      <x:c r="A762" s="1" t="str">
        <x:v>22197</x:v>
      </x:c>
      <x:c r="B762" s="10" t="n">
        <x:v>1</x:v>
      </x:c>
      <x:c r="C762" s="9" t="d">
        <x:v>2011-10-19T00:00:00.000Z</x:v>
      </x:c>
      <x:c r="D762" s="9" t="d">
        <x:v>2011-10-20T00:00:00.000Z</x:v>
      </x:c>
      <x:c r="E762" s="1" t="str">
        <x:v>naive</x:v>
      </x:c>
      <x:c r="F762" s="10" t="n">
        <x:v>15</x:v>
      </x:c>
      <x:c r="G762" s="10" t="n">
        <x:v>247</x:v>
      </x:c>
      <x:c r="H762" s="10" t="n">
        <x:f>ABS(G762-F762)</x:f>
        <x:v>232</x:v>
      </x:c>
      <x:c r="I762" s="10" t="n">
        <x:f>G762-F762</x:f>
        <x:v>232</x:v>
      </x:c>
    </x:row>
    <x:row r="763" ht="20" customHeight="1">
      <x:c r="A763" s="1" t="str">
        <x:v>22197</x:v>
      </x:c>
      <x:c r="B763" s="10" t="n">
        <x:v>1</x:v>
      </x:c>
      <x:c r="C763" s="9" t="d">
        <x:v>2011-10-19T00:00:00.000Z</x:v>
      </x:c>
      <x:c r="D763" s="9" t="d">
        <x:v>2011-10-21T00:00:00.000Z</x:v>
      </x:c>
      <x:c r="E763" s="1" t="str">
        <x:v>naive</x:v>
      </x:c>
      <x:c r="F763" s="10" t="n">
        <x:v>62</x:v>
      </x:c>
      <x:c r="G763" s="10" t="n">
        <x:v>247</x:v>
      </x:c>
      <x:c r="H763" s="10" t="n">
        <x:f>ABS(G763-F763)</x:f>
        <x:v>185</x:v>
      </x:c>
      <x:c r="I763" s="10" t="n">
        <x:f>G763-F763</x:f>
        <x:v>185</x:v>
      </x:c>
    </x:row>
    <x:row r="764" ht="20" customHeight="1">
      <x:c r="A764" s="1" t="str">
        <x:v>22197</x:v>
      </x:c>
      <x:c r="B764" s="10" t="n">
        <x:v>1</x:v>
      </x:c>
      <x:c r="C764" s="9" t="d">
        <x:v>2011-10-19T00:00:00.000Z</x:v>
      </x:c>
      <x:c r="D764" s="9" t="d">
        <x:v>2011-10-22T00:00:00.000Z</x:v>
      </x:c>
      <x:c r="E764" s="1" t="str">
        <x:v>naive</x:v>
      </x:c>
      <x:c r="F764" s="10" t="n">
        <x:v>0</x:v>
      </x:c>
      <x:c r="G764" s="10" t="n">
        <x:v>247</x:v>
      </x:c>
      <x:c r="H764" s="10" t="n">
        <x:f>ABS(G764-F764)</x:f>
        <x:v>247</x:v>
      </x:c>
      <x:c r="I764" s="10" t="n">
        <x:f>G764-F764</x:f>
        <x:v>247</x:v>
      </x:c>
    </x:row>
    <x:row r="765" ht="20" customHeight="1">
      <x:c r="A765" s="1" t="str">
        <x:v>22197</x:v>
      </x:c>
      <x:c r="B765" s="10" t="n">
        <x:v>1</x:v>
      </x:c>
      <x:c r="C765" s="9" t="d">
        <x:v>2011-10-19T00:00:00.000Z</x:v>
      </x:c>
      <x:c r="D765" s="9" t="d">
        <x:v>2011-10-23T00:00:00.000Z</x:v>
      </x:c>
      <x:c r="E765" s="1" t="str">
        <x:v>naive</x:v>
      </x:c>
      <x:c r="F765" s="10" t="n">
        <x:v>12</x:v>
      </x:c>
      <x:c r="G765" s="10" t="n">
        <x:v>247</x:v>
      </x:c>
      <x:c r="H765" s="10" t="n">
        <x:f>ABS(G765-F765)</x:f>
        <x:v>235</x:v>
      </x:c>
      <x:c r="I765" s="10" t="n">
        <x:f>G765-F765</x:f>
        <x:v>235</x:v>
      </x:c>
    </x:row>
    <x:row r="766" ht="20" customHeight="1">
      <x:c r="A766" s="1" t="str">
        <x:v>22197</x:v>
      </x:c>
      <x:c r="B766" s="10" t="n">
        <x:v>1</x:v>
      </x:c>
      <x:c r="C766" s="9" t="d">
        <x:v>2011-10-19T00:00:00.000Z</x:v>
      </x:c>
      <x:c r="D766" s="9" t="d">
        <x:v>2011-10-24T00:00:00.000Z</x:v>
      </x:c>
      <x:c r="E766" s="1" t="str">
        <x:v>naive</x:v>
      </x:c>
      <x:c r="F766" s="10" t="n">
        <x:v>232</x:v>
      </x:c>
      <x:c r="G766" s="10" t="n">
        <x:v>247</x:v>
      </x:c>
      <x:c r="H766" s="10" t="n">
        <x:f>ABS(G766-F766)</x:f>
        <x:v>15</x:v>
      </x:c>
      <x:c r="I766" s="10" t="n">
        <x:f>G766-F766</x:f>
        <x:v>15</x:v>
      </x:c>
    </x:row>
    <x:row r="767" ht="20" customHeight="1">
      <x:c r="A767" s="1" t="str">
        <x:v>22197</x:v>
      </x:c>
      <x:c r="B767" s="10" t="n">
        <x:v>1</x:v>
      </x:c>
      <x:c r="C767" s="9" t="d">
        <x:v>2011-10-19T00:00:00.000Z</x:v>
      </x:c>
      <x:c r="D767" s="9" t="d">
        <x:v>2011-10-25T00:00:00.000Z</x:v>
      </x:c>
      <x:c r="E767" s="1" t="str">
        <x:v>naive</x:v>
      </x:c>
      <x:c r="F767" s="10" t="n">
        <x:v>251</x:v>
      </x:c>
      <x:c r="G767" s="10" t="n">
        <x:v>247</x:v>
      </x:c>
      <x:c r="H767" s="10" t="n">
        <x:f>ABS(G767-F767)</x:f>
        <x:v>4</x:v>
      </x:c>
      <x:c r="I767" s="10" t="n">
        <x:f>G767-F767</x:f>
        <x:v>-4</x:v>
      </x:c>
    </x:row>
    <x:row r="768" ht="20" customHeight="1">
      <x:c r="A768" s="1" t="str">
        <x:v>22197</x:v>
      </x:c>
      <x:c r="B768" s="10" t="n">
        <x:v>1</x:v>
      </x:c>
      <x:c r="C768" s="9" t="d">
        <x:v>2011-10-19T00:00:00.000Z</x:v>
      </x:c>
      <x:c r="D768" s="9" t="d">
        <x:v>2011-10-26T00:00:00.000Z</x:v>
      </x:c>
      <x:c r="E768" s="1" t="str">
        <x:v>naive</x:v>
      </x:c>
      <x:c r="F768" s="10" t="n">
        <x:v>43</x:v>
      </x:c>
      <x:c r="G768" s="10" t="n">
        <x:v>247</x:v>
      </x:c>
      <x:c r="H768" s="10" t="n">
        <x:f>ABS(G768-F768)</x:f>
        <x:v>204</x:v>
      </x:c>
      <x:c r="I768" s="10" t="n">
        <x:f>G768-F768</x:f>
        <x:v>204</x:v>
      </x:c>
    </x:row>
    <x:row r="769" ht="20" customHeight="1">
      <x:c r="A769" s="1" t="str">
        <x:v>22197</x:v>
      </x:c>
      <x:c r="B769" s="10" t="n">
        <x:v>1</x:v>
      </x:c>
      <x:c r="C769" s="9" t="d">
        <x:v>2011-10-19T00:00:00.000Z</x:v>
      </x:c>
      <x:c r="D769" s="9" t="d">
        <x:v>2011-10-27T00:00:00.000Z</x:v>
      </x:c>
      <x:c r="E769" s="1" t="str">
        <x:v>naive</x:v>
      </x:c>
      <x:c r="F769" s="10" t="n">
        <x:v>47</x:v>
      </x:c>
      <x:c r="G769" s="10" t="n">
        <x:v>247</x:v>
      </x:c>
      <x:c r="H769" s="10" t="n">
        <x:f>ABS(G769-F769)</x:f>
        <x:v>200</x:v>
      </x:c>
      <x:c r="I769" s="10" t="n">
        <x:f>G769-F769</x:f>
        <x:v>200</x:v>
      </x:c>
    </x:row>
    <x:row r="770" ht="20" customHeight="1">
      <x:c r="A770" s="1" t="str">
        <x:v>22197</x:v>
      </x:c>
      <x:c r="B770" s="10" t="n">
        <x:v>1</x:v>
      </x:c>
      <x:c r="C770" s="9" t="d">
        <x:v>2011-10-19T00:00:00.000Z</x:v>
      </x:c>
      <x:c r="D770" s="9" t="d">
        <x:v>2011-10-28T00:00:00.000Z</x:v>
      </x:c>
      <x:c r="E770" s="1" t="str">
        <x:v>naive</x:v>
      </x:c>
      <x:c r="F770" s="10" t="n">
        <x:v>2065</x:v>
      </x:c>
      <x:c r="G770" s="10" t="n">
        <x:v>247</x:v>
      </x:c>
      <x:c r="H770" s="10" t="n">
        <x:f>ABS(G770-F770)</x:f>
        <x:v>1818</x:v>
      </x:c>
      <x:c r="I770" s="10" t="n">
        <x:f>G770-F770</x:f>
        <x:v>-1818</x:v>
      </x:c>
    </x:row>
    <x:row r="771" ht="20" customHeight="1">
      <x:c r="A771" s="1" t="str">
        <x:v>22197</x:v>
      </x:c>
      <x:c r="B771" s="10" t="n">
        <x:v>1</x:v>
      </x:c>
      <x:c r="C771" s="9" t="d">
        <x:v>2011-10-19T00:00:00.000Z</x:v>
      </x:c>
      <x:c r="D771" s="9" t="d">
        <x:v>2011-10-29T00:00:00.000Z</x:v>
      </x:c>
      <x:c r="E771" s="1" t="str">
        <x:v>naive</x:v>
      </x:c>
      <x:c r="F771" s="10" t="n">
        <x:v>0</x:v>
      </x:c>
      <x:c r="G771" s="10" t="n">
        <x:v>247</x:v>
      </x:c>
      <x:c r="H771" s="10" t="n">
        <x:f>ABS(G771-F771)</x:f>
        <x:v>247</x:v>
      </x:c>
      <x:c r="I771" s="10" t="n">
        <x:f>G771-F771</x:f>
        <x:v>247</x:v>
      </x:c>
    </x:row>
    <x:row r="772" ht="20" customHeight="1">
      <x:c r="A772" s="1" t="str">
        <x:v>22197</x:v>
      </x:c>
      <x:c r="B772" s="10" t="n">
        <x:v>1</x:v>
      </x:c>
      <x:c r="C772" s="9" t="d">
        <x:v>2011-10-19T00:00:00.000Z</x:v>
      </x:c>
      <x:c r="D772" s="9" t="d">
        <x:v>2011-10-30T00:00:00.000Z</x:v>
      </x:c>
      <x:c r="E772" s="1" t="str">
        <x:v>naive</x:v>
      </x:c>
      <x:c r="F772" s="10" t="n">
        <x:v>133</x:v>
      </x:c>
      <x:c r="G772" s="10" t="n">
        <x:v>247</x:v>
      </x:c>
      <x:c r="H772" s="10" t="n">
        <x:f>ABS(G772-F772)</x:f>
        <x:v>114</x:v>
      </x:c>
      <x:c r="I772" s="10" t="n">
        <x:f>G772-F772</x:f>
        <x:v>114</x:v>
      </x:c>
    </x:row>
    <x:row r="773" ht="20" customHeight="1">
      <x:c r="A773" s="1" t="str">
        <x:v>22197</x:v>
      </x:c>
      <x:c r="B773" s="10" t="n">
        <x:v>1</x:v>
      </x:c>
      <x:c r="C773" s="9" t="d">
        <x:v>2011-10-19T00:00:00.000Z</x:v>
      </x:c>
      <x:c r="D773" s="9" t="d">
        <x:v>2011-10-31T00:00:00.000Z</x:v>
      </x:c>
      <x:c r="E773" s="1" t="str">
        <x:v>naive</x:v>
      </x:c>
      <x:c r="F773" s="10" t="n">
        <x:v>210</x:v>
      </x:c>
      <x:c r="G773" s="10" t="n">
        <x:v>247</x:v>
      </x:c>
      <x:c r="H773" s="10" t="n">
        <x:f>ABS(G773-F773)</x:f>
        <x:v>37</x:v>
      </x:c>
      <x:c r="I773" s="10" t="n">
        <x:f>G773-F773</x:f>
        <x:v>37</x:v>
      </x:c>
    </x:row>
    <x:row r="774" ht="20" customHeight="1">
      <x:c r="A774" s="1" t="str">
        <x:v>22197</x:v>
      </x:c>
      <x:c r="B774" s="10" t="n">
        <x:v>1</x:v>
      </x:c>
      <x:c r="C774" s="9" t="d">
        <x:v>2011-10-19T00:00:00.000Z</x:v>
      </x:c>
      <x:c r="D774" s="9" t="d">
        <x:v>2011-11-01T00:00:00.000Z</x:v>
      </x:c>
      <x:c r="E774" s="1" t="str">
        <x:v>naive</x:v>
      </x:c>
      <x:c r="F774" s="10" t="n">
        <x:v>286</x:v>
      </x:c>
      <x:c r="G774" s="10" t="n">
        <x:v>247</x:v>
      </x:c>
      <x:c r="H774" s="10" t="n">
        <x:f>ABS(G774-F774)</x:f>
        <x:v>39</x:v>
      </x:c>
      <x:c r="I774" s="10" t="n">
        <x:f>G774-F774</x:f>
        <x:v>-39</x:v>
      </x:c>
    </x:row>
    <x:row r="775" ht="20" customHeight="1">
      <x:c r="A775" s="1" t="str">
        <x:v>22197</x:v>
      </x:c>
      <x:c r="B775" s="10" t="n">
        <x:v>1</x:v>
      </x:c>
      <x:c r="C775" s="9" t="d">
        <x:v>2011-10-19T00:00:00.000Z</x:v>
      </x:c>
      <x:c r="D775" s="9" t="d">
        <x:v>2011-11-02T00:00:00.000Z</x:v>
      </x:c>
      <x:c r="E775" s="1" t="str">
        <x:v>naive</x:v>
      </x:c>
      <x:c r="F775" s="10" t="n">
        <x:v>172</x:v>
      </x:c>
      <x:c r="G775" s="10" t="n">
        <x:v>247</x:v>
      </x:c>
      <x:c r="H775" s="10" t="n">
        <x:f>ABS(G775-F775)</x:f>
        <x:v>75</x:v>
      </x:c>
      <x:c r="I775" s="10" t="n">
        <x:f>G775-F775</x:f>
        <x:v>75</x:v>
      </x:c>
    </x:row>
    <x:row r="776" ht="20" customHeight="1">
      <x:c r="A776" s="1" t="str">
        <x:v>22197</x:v>
      </x:c>
      <x:c r="B776" s="10" t="n">
        <x:v>1</x:v>
      </x:c>
      <x:c r="C776" s="9" t="d">
        <x:v>2011-10-19T00:00:00.000Z</x:v>
      </x:c>
      <x:c r="D776" s="9" t="d">
        <x:v>2011-10-20T00:00:00.000Z</x:v>
      </x:c>
      <x:c r="E776" s="1" t="str">
        <x:v>seasonal_naive</x:v>
      </x:c>
      <x:c r="F776" s="10" t="n">
        <x:v>15</x:v>
      </x:c>
      <x:c r="G776" s="10" t="n">
        <x:v>133</x:v>
      </x:c>
      <x:c r="H776" s="10" t="n">
        <x:f>ABS(G776-F776)</x:f>
        <x:v>118</x:v>
      </x:c>
      <x:c r="I776" s="10" t="n">
        <x:f>G776-F776</x:f>
        <x:v>118</x:v>
      </x:c>
    </x:row>
    <x:row r="777" ht="20" customHeight="1">
      <x:c r="A777" s="1" t="str">
        <x:v>22197</x:v>
      </x:c>
      <x:c r="B777" s="10" t="n">
        <x:v>1</x:v>
      </x:c>
      <x:c r="C777" s="9" t="d">
        <x:v>2011-10-19T00:00:00.000Z</x:v>
      </x:c>
      <x:c r="D777" s="9" t="d">
        <x:v>2011-10-21T00:00:00.000Z</x:v>
      </x:c>
      <x:c r="E777" s="1" t="str">
        <x:v>seasonal_naive</x:v>
      </x:c>
      <x:c r="F777" s="10" t="n">
        <x:v>62</x:v>
      </x:c>
      <x:c r="G777" s="10" t="n">
        <x:v>252</x:v>
      </x:c>
      <x:c r="H777" s="10" t="n">
        <x:f>ABS(G777-F777)</x:f>
        <x:v>190</x:v>
      </x:c>
      <x:c r="I777" s="10" t="n">
        <x:f>G777-F777</x:f>
        <x:v>190</x:v>
      </x:c>
    </x:row>
    <x:row r="778" ht="20" customHeight="1">
      <x:c r="A778" s="1" t="str">
        <x:v>22197</x:v>
      </x:c>
      <x:c r="B778" s="10" t="n">
        <x:v>1</x:v>
      </x:c>
      <x:c r="C778" s="9" t="d">
        <x:v>2011-10-19T00:00:00.000Z</x:v>
      </x:c>
      <x:c r="D778" s="9" t="d">
        <x:v>2011-10-22T00:00:00.000Z</x:v>
      </x:c>
      <x:c r="E778" s="1" t="str">
        <x:v>seasonal_naive</x:v>
      </x:c>
      <x:c r="F778" s="10" t="n">
        <x:v>0</x:v>
      </x:c>
      <x:c r="G778" s="10" t="n">
        <x:v>0</x:v>
      </x:c>
      <x:c r="H778" s="10" t="n">
        <x:f>ABS(G778-F778)</x:f>
        <x:v>0</x:v>
      </x:c>
      <x:c r="I778" s="10" t="n">
        <x:f>G778-F778</x:f>
        <x:v>0</x:v>
      </x:c>
    </x:row>
    <x:row r="779" ht="20" customHeight="1">
      <x:c r="A779" s="1" t="str">
        <x:v>22197</x:v>
      </x:c>
      <x:c r="B779" s="10" t="n">
        <x:v>1</x:v>
      </x:c>
      <x:c r="C779" s="9" t="d">
        <x:v>2011-10-19T00:00:00.000Z</x:v>
      </x:c>
      <x:c r="D779" s="9" t="d">
        <x:v>2011-10-23T00:00:00.000Z</x:v>
      </x:c>
      <x:c r="E779" s="1" t="str">
        <x:v>seasonal_naive</x:v>
      </x:c>
      <x:c r="F779" s="10" t="n">
        <x:v>12</x:v>
      </x:c>
      <x:c r="G779" s="10" t="n">
        <x:v>6</x:v>
      </x:c>
      <x:c r="H779" s="10" t="n">
        <x:f>ABS(G779-F779)</x:f>
        <x:v>6</x:v>
      </x:c>
      <x:c r="I779" s="10" t="n">
        <x:f>G779-F779</x:f>
        <x:v>-6</x:v>
      </x:c>
    </x:row>
    <x:row r="780" ht="20" customHeight="1">
      <x:c r="A780" s="1" t="str">
        <x:v>22197</x:v>
      </x:c>
      <x:c r="B780" s="10" t="n">
        <x:v>1</x:v>
      </x:c>
      <x:c r="C780" s="9" t="d">
        <x:v>2011-10-19T00:00:00.000Z</x:v>
      </x:c>
      <x:c r="D780" s="9" t="d">
        <x:v>2011-10-24T00:00:00.000Z</x:v>
      </x:c>
      <x:c r="E780" s="1" t="str">
        <x:v>seasonal_naive</x:v>
      </x:c>
      <x:c r="F780" s="10" t="n">
        <x:v>232</x:v>
      </x:c>
      <x:c r="G780" s="10" t="n">
        <x:v>534</x:v>
      </x:c>
      <x:c r="H780" s="10" t="n">
        <x:f>ABS(G780-F780)</x:f>
        <x:v>302</x:v>
      </x:c>
      <x:c r="I780" s="10" t="n">
        <x:f>G780-F780</x:f>
        <x:v>302</x:v>
      </x:c>
    </x:row>
    <x:row r="781" ht="20" customHeight="1">
      <x:c r="A781" s="1" t="str">
        <x:v>22197</x:v>
      </x:c>
      <x:c r="B781" s="10" t="n">
        <x:v>1</x:v>
      </x:c>
      <x:c r="C781" s="9" t="d">
        <x:v>2011-10-19T00:00:00.000Z</x:v>
      </x:c>
      <x:c r="D781" s="9" t="d">
        <x:v>2011-10-25T00:00:00.000Z</x:v>
      </x:c>
      <x:c r="E781" s="1" t="str">
        <x:v>seasonal_naive</x:v>
      </x:c>
      <x:c r="F781" s="10" t="n">
        <x:v>251</x:v>
      </x:c>
      <x:c r="G781" s="10" t="n">
        <x:v>294</x:v>
      </x:c>
      <x:c r="H781" s="10" t="n">
        <x:f>ABS(G781-F781)</x:f>
        <x:v>43</x:v>
      </x:c>
      <x:c r="I781" s="10" t="n">
        <x:f>G781-F781</x:f>
        <x:v>43</x:v>
      </x:c>
    </x:row>
    <x:row r="782" ht="20" customHeight="1">
      <x:c r="A782" s="1" t="str">
        <x:v>22197</x:v>
      </x:c>
      <x:c r="B782" s="10" t="n">
        <x:v>1</x:v>
      </x:c>
      <x:c r="C782" s="9" t="d">
        <x:v>2011-10-19T00:00:00.000Z</x:v>
      </x:c>
      <x:c r="D782" s="9" t="d">
        <x:v>2011-10-26T00:00:00.000Z</x:v>
      </x:c>
      <x:c r="E782" s="1" t="str">
        <x:v>seasonal_naive</x:v>
      </x:c>
      <x:c r="F782" s="10" t="n">
        <x:v>43</x:v>
      </x:c>
      <x:c r="G782" s="10" t="n">
        <x:v>247</x:v>
      </x:c>
      <x:c r="H782" s="10" t="n">
        <x:f>ABS(G782-F782)</x:f>
        <x:v>204</x:v>
      </x:c>
      <x:c r="I782" s="10" t="n">
        <x:f>G782-F782</x:f>
        <x:v>204</x:v>
      </x:c>
    </x:row>
    <x:row r="783" ht="20" customHeight="1">
      <x:c r="A783" s="1" t="str">
        <x:v>22197</x:v>
      </x:c>
      <x:c r="B783" s="10" t="n">
        <x:v>1</x:v>
      </x:c>
      <x:c r="C783" s="9" t="d">
        <x:v>2011-10-19T00:00:00.000Z</x:v>
      </x:c>
      <x:c r="D783" s="9" t="d">
        <x:v>2011-10-27T00:00:00.000Z</x:v>
      </x:c>
      <x:c r="E783" s="1" t="str">
        <x:v>seasonal_naive</x:v>
      </x:c>
      <x:c r="F783" s="10" t="n">
        <x:v>47</x:v>
      </x:c>
      <x:c r="G783" s="10" t="n">
        <x:v>133</x:v>
      </x:c>
      <x:c r="H783" s="10" t="n">
        <x:f>ABS(G783-F783)</x:f>
        <x:v>86</x:v>
      </x:c>
      <x:c r="I783" s="10" t="n">
        <x:f>G783-F783</x:f>
        <x:v>86</x:v>
      </x:c>
    </x:row>
    <x:row r="784" ht="20" customHeight="1">
      <x:c r="A784" s="1" t="str">
        <x:v>22197</x:v>
      </x:c>
      <x:c r="B784" s="10" t="n">
        <x:v>1</x:v>
      </x:c>
      <x:c r="C784" s="9" t="d">
        <x:v>2011-10-19T00:00:00.000Z</x:v>
      </x:c>
      <x:c r="D784" s="9" t="d">
        <x:v>2011-10-28T00:00:00.000Z</x:v>
      </x:c>
      <x:c r="E784" s="1" t="str">
        <x:v>seasonal_naive</x:v>
      </x:c>
      <x:c r="F784" s="10" t="n">
        <x:v>2065</x:v>
      </x:c>
      <x:c r="G784" s="10" t="n">
        <x:v>252</x:v>
      </x:c>
      <x:c r="H784" s="10" t="n">
        <x:f>ABS(G784-F784)</x:f>
        <x:v>1813</x:v>
      </x:c>
      <x:c r="I784" s="10" t="n">
        <x:f>G784-F784</x:f>
        <x:v>-1813</x:v>
      </x:c>
    </x:row>
    <x:row r="785" ht="20" customHeight="1">
      <x:c r="A785" s="1" t="str">
        <x:v>22197</x:v>
      </x:c>
      <x:c r="B785" s="10" t="n">
        <x:v>1</x:v>
      </x:c>
      <x:c r="C785" s="9" t="d">
        <x:v>2011-10-19T00:00:00.000Z</x:v>
      </x:c>
      <x:c r="D785" s="9" t="d">
        <x:v>2011-10-29T00:00:00.000Z</x:v>
      </x:c>
      <x:c r="E785" s="1" t="str">
        <x:v>seasonal_naive</x:v>
      </x:c>
      <x:c r="F785" s="10" t="n">
        <x:v>0</x:v>
      </x:c>
      <x:c r="G785" s="10" t="n">
        <x:v>0</x:v>
      </x:c>
      <x:c r="H785" s="10" t="n">
        <x:f>ABS(G785-F785)</x:f>
        <x:v>0</x:v>
      </x:c>
      <x:c r="I785" s="10" t="n">
        <x:f>G785-F785</x:f>
        <x:v>0</x:v>
      </x:c>
    </x:row>
    <x:row r="786" ht="20" customHeight="1">
      <x:c r="A786" s="1" t="str">
        <x:v>22197</x:v>
      </x:c>
      <x:c r="B786" s="10" t="n">
        <x:v>1</x:v>
      </x:c>
      <x:c r="C786" s="9" t="d">
        <x:v>2011-10-19T00:00:00.000Z</x:v>
      </x:c>
      <x:c r="D786" s="9" t="d">
        <x:v>2011-10-30T00:00:00.000Z</x:v>
      </x:c>
      <x:c r="E786" s="1" t="str">
        <x:v>seasonal_naive</x:v>
      </x:c>
      <x:c r="F786" s="10" t="n">
        <x:v>133</x:v>
      </x:c>
      <x:c r="G786" s="10" t="n">
        <x:v>6</x:v>
      </x:c>
      <x:c r="H786" s="10" t="n">
        <x:f>ABS(G786-F786)</x:f>
        <x:v>127</x:v>
      </x:c>
      <x:c r="I786" s="10" t="n">
        <x:f>G786-F786</x:f>
        <x:v>-127</x:v>
      </x:c>
    </x:row>
    <x:row r="787" ht="20" customHeight="1">
      <x:c r="A787" s="1" t="str">
        <x:v>22197</x:v>
      </x:c>
      <x:c r="B787" s="10" t="n">
        <x:v>1</x:v>
      </x:c>
      <x:c r="C787" s="9" t="d">
        <x:v>2011-10-19T00:00:00.000Z</x:v>
      </x:c>
      <x:c r="D787" s="9" t="d">
        <x:v>2011-10-31T00:00:00.000Z</x:v>
      </x:c>
      <x:c r="E787" s="1" t="str">
        <x:v>seasonal_naive</x:v>
      </x:c>
      <x:c r="F787" s="10" t="n">
        <x:v>210</x:v>
      </x:c>
      <x:c r="G787" s="10" t="n">
        <x:v>534</x:v>
      </x:c>
      <x:c r="H787" s="10" t="n">
        <x:f>ABS(G787-F787)</x:f>
        <x:v>324</x:v>
      </x:c>
      <x:c r="I787" s="10" t="n">
        <x:f>G787-F787</x:f>
        <x:v>324</x:v>
      </x:c>
    </x:row>
    <x:row r="788" ht="20" customHeight="1">
      <x:c r="A788" s="1" t="str">
        <x:v>22197</x:v>
      </x:c>
      <x:c r="B788" s="10" t="n">
        <x:v>1</x:v>
      </x:c>
      <x:c r="C788" s="9" t="d">
        <x:v>2011-10-19T00:00:00.000Z</x:v>
      </x:c>
      <x:c r="D788" s="9" t="d">
        <x:v>2011-11-01T00:00:00.000Z</x:v>
      </x:c>
      <x:c r="E788" s="1" t="str">
        <x:v>seasonal_naive</x:v>
      </x:c>
      <x:c r="F788" s="10" t="n">
        <x:v>286</x:v>
      </x:c>
      <x:c r="G788" s="10" t="n">
        <x:v>294</x:v>
      </x:c>
      <x:c r="H788" s="10" t="n">
        <x:f>ABS(G788-F788)</x:f>
        <x:v>8</x:v>
      </x:c>
      <x:c r="I788" s="10" t="n">
        <x:f>G788-F788</x:f>
        <x:v>8</x:v>
      </x:c>
    </x:row>
    <x:row r="789" ht="20" customHeight="1">
      <x:c r="A789" s="1" t="str">
        <x:v>22197</x:v>
      </x:c>
      <x:c r="B789" s="10" t="n">
        <x:v>1</x:v>
      </x:c>
      <x:c r="C789" s="9" t="d">
        <x:v>2011-10-19T00:00:00.000Z</x:v>
      </x:c>
      <x:c r="D789" s="9" t="d">
        <x:v>2011-11-02T00:00:00.000Z</x:v>
      </x:c>
      <x:c r="E789" s="1" t="str">
        <x:v>seasonal_naive</x:v>
      </x:c>
      <x:c r="F789" s="10" t="n">
        <x:v>172</x:v>
      </x:c>
      <x:c r="G789" s="10" t="n">
        <x:v>247</x:v>
      </x:c>
      <x:c r="H789" s="10" t="n">
        <x:f>ABS(G789-F789)</x:f>
        <x:v>75</x:v>
      </x:c>
      <x:c r="I789" s="10" t="n">
        <x:f>G789-F789</x:f>
        <x:v>75</x:v>
      </x:c>
    </x:row>
    <x:row r="790" ht="20" customHeight="1">
      <x:c r="A790" s="1" t="str">
        <x:v>22197</x:v>
      </x:c>
      <x:c r="B790" s="10" t="n">
        <x:v>1</x:v>
      </x:c>
      <x:c r="C790" s="9" t="d">
        <x:v>2011-10-19T00:00:00.000Z</x:v>
      </x:c>
      <x:c r="D790" s="9" t="d">
        <x:v>2011-10-20T00:00:00.000Z</x:v>
      </x:c>
      <x:c r="E790" s="1" t="str">
        <x:v>ridge</x:v>
      </x:c>
      <x:c r="F790" s="10" t="n">
        <x:v>15</x:v>
      </x:c>
      <x:c r="G790" s="10" t="n">
        <x:v>160.8843388268</x:v>
      </x:c>
      <x:c r="H790" s="10" t="n">
        <x:f>ABS(G790-F790)</x:f>
        <x:v>145.8843388268</x:v>
      </x:c>
      <x:c r="I790" s="10" t="n">
        <x:f>G790-F790</x:f>
        <x:v>145.8843388268</x:v>
      </x:c>
    </x:row>
    <x:row r="791" ht="20" customHeight="1">
      <x:c r="A791" s="1" t="str">
        <x:v>22197</x:v>
      </x:c>
      <x:c r="B791" s="10" t="n">
        <x:v>1</x:v>
      </x:c>
      <x:c r="C791" s="9" t="d">
        <x:v>2011-10-19T00:00:00.000Z</x:v>
      </x:c>
      <x:c r="D791" s="9" t="d">
        <x:v>2011-10-21T00:00:00.000Z</x:v>
      </x:c>
      <x:c r="E791" s="1" t="str">
        <x:v>ridge</x:v>
      </x:c>
      <x:c r="F791" s="10" t="n">
        <x:v>62</x:v>
      </x:c>
      <x:c r="G791" s="10" t="n">
        <x:v>161.7912910116</x:v>
      </x:c>
      <x:c r="H791" s="10" t="n">
        <x:f>ABS(G791-F791)</x:f>
        <x:v>99.79129101160001</x:v>
      </x:c>
      <x:c r="I791" s="10" t="n">
        <x:f>G791-F791</x:f>
        <x:v>99.79129101160001</x:v>
      </x:c>
    </x:row>
    <x:row r="792" ht="20" customHeight="1">
      <x:c r="A792" s="1" t="str">
        <x:v>22197</x:v>
      </x:c>
      <x:c r="B792" s="10" t="n">
        <x:v>1</x:v>
      </x:c>
      <x:c r="C792" s="9" t="d">
        <x:v>2011-10-19T00:00:00.000Z</x:v>
      </x:c>
      <x:c r="D792" s="9" t="d">
        <x:v>2011-10-22T00:00:00.000Z</x:v>
      </x:c>
      <x:c r="E792" s="1" t="str">
        <x:v>ridge</x:v>
      </x:c>
      <x:c r="F792" s="10" t="n">
        <x:v>0</x:v>
      </x:c>
      <x:c r="G792" s="10" t="n">
        <x:v>68.9496809568</x:v>
      </x:c>
      <x:c r="H792" s="10" t="n">
        <x:f>ABS(G792-F792)</x:f>
        <x:v>68.9496809568</x:v>
      </x:c>
      <x:c r="I792" s="10" t="n">
        <x:f>G792-F792</x:f>
        <x:v>68.9496809568</x:v>
      </x:c>
    </x:row>
    <x:row r="793" ht="20" customHeight="1">
      <x:c r="A793" s="1" t="str">
        <x:v>22197</x:v>
      </x:c>
      <x:c r="B793" s="10" t="n">
        <x:v>1</x:v>
      </x:c>
      <x:c r="C793" s="9" t="d">
        <x:v>2011-10-19T00:00:00.000Z</x:v>
      </x:c>
      <x:c r="D793" s="9" t="d">
        <x:v>2011-10-23T00:00:00.000Z</x:v>
      </x:c>
      <x:c r="E793" s="1" t="str">
        <x:v>ridge</x:v>
      </x:c>
      <x:c r="F793" s="10" t="n">
        <x:v>12</x:v>
      </x:c>
      <x:c r="G793" s="10" t="n">
        <x:v>19.8284450737</x:v>
      </x:c>
      <x:c r="H793" s="10" t="n">
        <x:f>ABS(G793-F793)</x:f>
        <x:v>7.828445073699999</x:v>
      </x:c>
      <x:c r="I793" s="10" t="n">
        <x:f>G793-F793</x:f>
        <x:v>7.828445073699999</x:v>
      </x:c>
    </x:row>
    <x:row r="794" ht="20" customHeight="1">
      <x:c r="A794" s="1" t="str">
        <x:v>22197</x:v>
      </x:c>
      <x:c r="B794" s="10" t="n">
        <x:v>1</x:v>
      </x:c>
      <x:c r="C794" s="9" t="d">
        <x:v>2011-10-19T00:00:00.000Z</x:v>
      </x:c>
      <x:c r="D794" s="9" t="d">
        <x:v>2011-10-24T00:00:00.000Z</x:v>
      </x:c>
      <x:c r="E794" s="1" t="str">
        <x:v>ridge</x:v>
      </x:c>
      <x:c r="F794" s="10" t="n">
        <x:v>232</x:v>
      </x:c>
      <x:c r="G794" s="10" t="n">
        <x:v>89.4036040767</x:v>
      </x:c>
      <x:c r="H794" s="10" t="n">
        <x:f>ABS(G794-F794)</x:f>
        <x:v>142.5963959233</x:v>
      </x:c>
      <x:c r="I794" s="10" t="n">
        <x:f>G794-F794</x:f>
        <x:v>-142.5963959233</x:v>
      </x:c>
    </x:row>
    <x:row r="795" ht="20" customHeight="1">
      <x:c r="A795" s="1" t="str">
        <x:v>22197</x:v>
      </x:c>
      <x:c r="B795" s="10" t="n">
        <x:v>1</x:v>
      </x:c>
      <x:c r="C795" s="9" t="d">
        <x:v>2011-10-19T00:00:00.000Z</x:v>
      </x:c>
      <x:c r="D795" s="9" t="d">
        <x:v>2011-10-25T00:00:00.000Z</x:v>
      </x:c>
      <x:c r="E795" s="1" t="str">
        <x:v>ridge</x:v>
      </x:c>
      <x:c r="F795" s="10" t="n">
        <x:v>251</x:v>
      </x:c>
      <x:c r="G795" s="10" t="n">
        <x:v>104.2326828999</x:v>
      </x:c>
      <x:c r="H795" s="10" t="n">
        <x:f>ABS(G795-F795)</x:f>
        <x:v>146.7673171001</x:v>
      </x:c>
      <x:c r="I795" s="10" t="n">
        <x:f>G795-F795</x:f>
        <x:v>-146.7673171001</x:v>
      </x:c>
    </x:row>
    <x:row r="796" ht="20" customHeight="1">
      <x:c r="A796" s="1" t="str">
        <x:v>22197</x:v>
      </x:c>
      <x:c r="B796" s="10" t="n">
        <x:v>1</x:v>
      </x:c>
      <x:c r="C796" s="9" t="d">
        <x:v>2011-10-19T00:00:00.000Z</x:v>
      </x:c>
      <x:c r="D796" s="9" t="d">
        <x:v>2011-10-26T00:00:00.000Z</x:v>
      </x:c>
      <x:c r="E796" s="1" t="str">
        <x:v>ridge</x:v>
      </x:c>
      <x:c r="F796" s="10" t="n">
        <x:v>43</x:v>
      </x:c>
      <x:c r="G796" s="10" t="n">
        <x:v>156.8932709128</x:v>
      </x:c>
      <x:c r="H796" s="10" t="n">
        <x:f>ABS(G796-F796)</x:f>
        <x:v>113.8932709128</x:v>
      </x:c>
      <x:c r="I796" s="10" t="n">
        <x:f>G796-F796</x:f>
        <x:v>113.8932709128</x:v>
      </x:c>
    </x:row>
    <x:row r="797" ht="20" customHeight="1">
      <x:c r="A797" s="1" t="str">
        <x:v>22197</x:v>
      </x:c>
      <x:c r="B797" s="10" t="n">
        <x:v>1</x:v>
      </x:c>
      <x:c r="C797" s="9" t="d">
        <x:v>2011-10-19T00:00:00.000Z</x:v>
      </x:c>
      <x:c r="D797" s="9" t="d">
        <x:v>2011-10-27T00:00:00.000Z</x:v>
      </x:c>
      <x:c r="E797" s="1" t="str">
        <x:v>ridge</x:v>
      </x:c>
      <x:c r="F797" s="10" t="n">
        <x:v>47</x:v>
      </x:c>
      <x:c r="G797" s="10" t="n">
        <x:v>174.0790607313</x:v>
      </x:c>
      <x:c r="H797" s="10" t="n">
        <x:f>ABS(G797-F797)</x:f>
        <x:v>127.07906073129999</x:v>
      </x:c>
      <x:c r="I797" s="10" t="n">
        <x:f>G797-F797</x:f>
        <x:v>127.07906073129999</x:v>
      </x:c>
    </x:row>
    <x:row r="798" ht="20" customHeight="1">
      <x:c r="A798" s="1" t="str">
        <x:v>22197</x:v>
      </x:c>
      <x:c r="B798" s="10" t="n">
        <x:v>1</x:v>
      </x:c>
      <x:c r="C798" s="9" t="d">
        <x:v>2011-10-19T00:00:00.000Z</x:v>
      </x:c>
      <x:c r="D798" s="9" t="d">
        <x:v>2011-10-28T00:00:00.000Z</x:v>
      </x:c>
      <x:c r="E798" s="1" t="str">
        <x:v>ridge</x:v>
      </x:c>
      <x:c r="F798" s="10" t="n">
        <x:v>2065</x:v>
      </x:c>
      <x:c r="G798" s="10" t="n">
        <x:v>146.0320475228</x:v>
      </x:c>
      <x:c r="H798" s="10" t="n">
        <x:f>ABS(G798-F798)</x:f>
        <x:v>1918.9679524772</x:v>
      </x:c>
      <x:c r="I798" s="10" t="n">
        <x:f>G798-F798</x:f>
        <x:v>-1918.9679524772</x:v>
      </x:c>
    </x:row>
    <x:row r="799" ht="20" customHeight="1">
      <x:c r="A799" s="1" t="str">
        <x:v>22197</x:v>
      </x:c>
      <x:c r="B799" s="10" t="n">
        <x:v>1</x:v>
      </x:c>
      <x:c r="C799" s="9" t="d">
        <x:v>2011-10-19T00:00:00.000Z</x:v>
      </x:c>
      <x:c r="D799" s="9" t="d">
        <x:v>2011-10-29T00:00:00.000Z</x:v>
      </x:c>
      <x:c r="E799" s="1" t="str">
        <x:v>ridge</x:v>
      </x:c>
      <x:c r="F799" s="10" t="n">
        <x:v>0</x:v>
      </x:c>
      <x:c r="G799" s="10" t="n">
        <x:v>86.13088758</x:v>
      </x:c>
      <x:c r="H799" s="10" t="n">
        <x:f>ABS(G799-F799)</x:f>
        <x:v>86.13088758</x:v>
      </x:c>
      <x:c r="I799" s="10" t="n">
        <x:f>G799-F799</x:f>
        <x:v>86.13088758</x:v>
      </x:c>
    </x:row>
    <x:row r="800" ht="20" customHeight="1">
      <x:c r="A800" s="1" t="str">
        <x:v>22197</x:v>
      </x:c>
      <x:c r="B800" s="10" t="n">
        <x:v>1</x:v>
      </x:c>
      <x:c r="C800" s="9" t="d">
        <x:v>2011-10-19T00:00:00.000Z</x:v>
      </x:c>
      <x:c r="D800" s="9" t="d">
        <x:v>2011-10-30T00:00:00.000Z</x:v>
      </x:c>
      <x:c r="E800" s="1" t="str">
        <x:v>ridge</x:v>
      </x:c>
      <x:c r="F800" s="10" t="n">
        <x:v>133</x:v>
      </x:c>
      <x:c r="G800" s="10" t="n">
        <x:v>31.3579667445</x:v>
      </x:c>
      <x:c r="H800" s="10" t="n">
        <x:f>ABS(G800-F800)</x:f>
        <x:v>101.6420332555</x:v>
      </x:c>
      <x:c r="I800" s="10" t="n">
        <x:f>G800-F800</x:f>
        <x:v>-101.6420332555</x:v>
      </x:c>
    </x:row>
    <x:row r="801" ht="20" customHeight="1">
      <x:c r="A801" s="1" t="str">
        <x:v>22197</x:v>
      </x:c>
      <x:c r="B801" s="10" t="n">
        <x:v>1</x:v>
      </x:c>
      <x:c r="C801" s="9" t="d">
        <x:v>2011-10-19T00:00:00.000Z</x:v>
      </x:c>
      <x:c r="D801" s="9" t="d">
        <x:v>2011-10-31T00:00:00.000Z</x:v>
      </x:c>
      <x:c r="E801" s="1" t="str">
        <x:v>ridge</x:v>
      </x:c>
      <x:c r="F801" s="10" t="n">
        <x:v>210</x:v>
      </x:c>
      <x:c r="G801" s="10" t="n">
        <x:v>28.3369328778</x:v>
      </x:c>
      <x:c r="H801" s="10" t="n">
        <x:f>ABS(G801-F801)</x:f>
        <x:v>181.6630671222</x:v>
      </x:c>
      <x:c r="I801" s="10" t="n">
        <x:f>G801-F801</x:f>
        <x:v>-181.6630671222</x:v>
      </x:c>
    </x:row>
    <x:row r="802" ht="20" customHeight="1">
      <x:c r="A802" s="1" t="str">
        <x:v>22197</x:v>
      </x:c>
      <x:c r="B802" s="10" t="n">
        <x:v>1</x:v>
      </x:c>
      <x:c r="C802" s="9" t="d">
        <x:v>2011-10-19T00:00:00.000Z</x:v>
      </x:c>
      <x:c r="D802" s="9" t="d">
        <x:v>2011-11-01T00:00:00.000Z</x:v>
      </x:c>
      <x:c r="E802" s="1" t="str">
        <x:v>ridge</x:v>
      </x:c>
      <x:c r="F802" s="10" t="n">
        <x:v>286</x:v>
      </x:c>
      <x:c r="G802" s="10" t="n">
        <x:v>84.13917011</x:v>
      </x:c>
      <x:c r="H802" s="10" t="n">
        <x:f>ABS(G802-F802)</x:f>
        <x:v>201.86082989</x:v>
      </x:c>
      <x:c r="I802" s="10" t="n">
        <x:f>G802-F802</x:f>
        <x:v>-201.86082989</x:v>
      </x:c>
    </x:row>
    <x:row r="803" ht="20" customHeight="1">
      <x:c r="A803" s="1" t="str">
        <x:v>22197</x:v>
      </x:c>
      <x:c r="B803" s="10" t="n">
        <x:v>1</x:v>
      </x:c>
      <x:c r="C803" s="9" t="d">
        <x:v>2011-10-19T00:00:00.000Z</x:v>
      </x:c>
      <x:c r="D803" s="9" t="d">
        <x:v>2011-11-02T00:00:00.000Z</x:v>
      </x:c>
      <x:c r="E803" s="1" t="str">
        <x:v>ridge</x:v>
      </x:c>
      <x:c r="F803" s="10" t="n">
        <x:v>172</x:v>
      </x:c>
      <x:c r="G803" s="10" t="n">
        <x:v>151.6799980024</x:v>
      </x:c>
      <x:c r="H803" s="10" t="n">
        <x:f>ABS(G803-F803)</x:f>
        <x:v>20.320001997600002</x:v>
      </x:c>
      <x:c r="I803" s="10" t="n">
        <x:f>G803-F803</x:f>
        <x:v>-20.320001997600002</x:v>
      </x:c>
    </x:row>
    <x:row r="804" ht="20" customHeight="1">
      <x:c r="A804" s="1" t="str">
        <x:v>22197</x:v>
      </x:c>
      <x:c r="B804" s="10" t="n">
        <x:v>2</x:v>
      </x:c>
      <x:c r="C804" s="9" t="d">
        <x:v>2011-11-02T00:00:00.000Z</x:v>
      </x:c>
      <x:c r="D804" s="9" t="d">
        <x:v>2011-11-03T00:00:00.000Z</x:v>
      </x:c>
      <x:c r="E804" s="1" t="str">
        <x:v>naive</x:v>
      </x:c>
      <x:c r="F804" s="10" t="n">
        <x:v>20</x:v>
      </x:c>
      <x:c r="G804" s="10" t="n">
        <x:v>172</x:v>
      </x:c>
      <x:c r="H804" s="10" t="n">
        <x:f>ABS(G804-F804)</x:f>
        <x:v>152</x:v>
      </x:c>
      <x:c r="I804" s="10" t="n">
        <x:f>G804-F804</x:f>
        <x:v>152</x:v>
      </x:c>
    </x:row>
    <x:row r="805" ht="20" customHeight="1">
      <x:c r="A805" s="1" t="str">
        <x:v>22197</x:v>
      </x:c>
      <x:c r="B805" s="10" t="n">
        <x:v>2</x:v>
      </x:c>
      <x:c r="C805" s="9" t="d">
        <x:v>2011-11-02T00:00:00.000Z</x:v>
      </x:c>
      <x:c r="D805" s="9" t="d">
        <x:v>2011-11-04T00:00:00.000Z</x:v>
      </x:c>
      <x:c r="E805" s="1" t="str">
        <x:v>naive</x:v>
      </x:c>
      <x:c r="F805" s="10" t="n">
        <x:v>174</x:v>
      </x:c>
      <x:c r="G805" s="10" t="n">
        <x:v>172</x:v>
      </x:c>
      <x:c r="H805" s="10" t="n">
        <x:f>ABS(G805-F805)</x:f>
        <x:v>2</x:v>
      </x:c>
      <x:c r="I805" s="10" t="n">
        <x:f>G805-F805</x:f>
        <x:v>-2</x:v>
      </x:c>
    </x:row>
    <x:row r="806" ht="20" customHeight="1">
      <x:c r="A806" s="1" t="str">
        <x:v>22197</x:v>
      </x:c>
      <x:c r="B806" s="10" t="n">
        <x:v>2</x:v>
      </x:c>
      <x:c r="C806" s="9" t="d">
        <x:v>2011-11-02T00:00:00.000Z</x:v>
      </x:c>
      <x:c r="D806" s="9" t="d">
        <x:v>2011-11-05T00:00:00.000Z</x:v>
      </x:c>
      <x:c r="E806" s="1" t="str">
        <x:v>naive</x:v>
      </x:c>
      <x:c r="F806" s="10" t="n">
        <x:v>0</x:v>
      </x:c>
      <x:c r="G806" s="10" t="n">
        <x:v>172</x:v>
      </x:c>
      <x:c r="H806" s="10" t="n">
        <x:f>ABS(G806-F806)</x:f>
        <x:v>172</x:v>
      </x:c>
      <x:c r="I806" s="10" t="n">
        <x:f>G806-F806</x:f>
        <x:v>172</x:v>
      </x:c>
    </x:row>
    <x:row r="807" ht="20" customHeight="1">
      <x:c r="A807" s="1" t="str">
        <x:v>22197</x:v>
      </x:c>
      <x:c r="B807" s="10" t="n">
        <x:v>2</x:v>
      </x:c>
      <x:c r="C807" s="9" t="d">
        <x:v>2011-11-02T00:00:00.000Z</x:v>
      </x:c>
      <x:c r="D807" s="9" t="d">
        <x:v>2011-11-06T00:00:00.000Z</x:v>
      </x:c>
      <x:c r="E807" s="1" t="str">
        <x:v>naive</x:v>
      </x:c>
      <x:c r="F807" s="10" t="n">
        <x:v>293</x:v>
      </x:c>
      <x:c r="G807" s="10" t="n">
        <x:v>172</x:v>
      </x:c>
      <x:c r="H807" s="10" t="n">
        <x:f>ABS(G807-F807)</x:f>
        <x:v>121</x:v>
      </x:c>
      <x:c r="I807" s="10" t="n">
        <x:f>G807-F807</x:f>
        <x:v>-121</x:v>
      </x:c>
    </x:row>
    <x:row r="808" ht="20" customHeight="1">
      <x:c r="A808" s="1" t="str">
        <x:v>22197</x:v>
      </x:c>
      <x:c r="B808" s="10" t="n">
        <x:v>2</x:v>
      </x:c>
      <x:c r="C808" s="9" t="d">
        <x:v>2011-11-02T00:00:00.000Z</x:v>
      </x:c>
      <x:c r="D808" s="9" t="d">
        <x:v>2011-11-07T00:00:00.000Z</x:v>
      </x:c>
      <x:c r="E808" s="1" t="str">
        <x:v>naive</x:v>
      </x:c>
      <x:c r="F808" s="10" t="n">
        <x:v>2012</x:v>
      </x:c>
      <x:c r="G808" s="10" t="n">
        <x:v>172</x:v>
      </x:c>
      <x:c r="H808" s="10" t="n">
        <x:f>ABS(G808-F808)</x:f>
        <x:v>1840</x:v>
      </x:c>
      <x:c r="I808" s="10" t="n">
        <x:f>G808-F808</x:f>
        <x:v>-1840</x:v>
      </x:c>
    </x:row>
    <x:row r="809" ht="20" customHeight="1">
      <x:c r="A809" s="1" t="str">
        <x:v>22197</x:v>
      </x:c>
      <x:c r="B809" s="10" t="n">
        <x:v>2</x:v>
      </x:c>
      <x:c r="C809" s="9" t="d">
        <x:v>2011-11-02T00:00:00.000Z</x:v>
      </x:c>
      <x:c r="D809" s="9" t="d">
        <x:v>2011-11-08T00:00:00.000Z</x:v>
      </x:c>
      <x:c r="E809" s="1" t="str">
        <x:v>naive</x:v>
      </x:c>
      <x:c r="F809" s="10" t="n">
        <x:v>172</x:v>
      </x:c>
      <x:c r="G809" s="10" t="n">
        <x:v>172</x:v>
      </x:c>
      <x:c r="H809" s="10" t="n">
        <x:f>ABS(G809-F809)</x:f>
        <x:v>0</x:v>
      </x:c>
      <x:c r="I809" s="10" t="n">
        <x:f>G809-F809</x:f>
        <x:v>0</x:v>
      </x:c>
    </x:row>
    <x:row r="810" ht="20" customHeight="1">
      <x:c r="A810" s="1" t="str">
        <x:v>22197</x:v>
      </x:c>
      <x:c r="B810" s="10" t="n">
        <x:v>2</x:v>
      </x:c>
      <x:c r="C810" s="9" t="d">
        <x:v>2011-11-02T00:00:00.000Z</x:v>
      </x:c>
      <x:c r="D810" s="9" t="d">
        <x:v>2011-11-09T00:00:00.000Z</x:v>
      </x:c>
      <x:c r="E810" s="1" t="str">
        <x:v>naive</x:v>
      </x:c>
      <x:c r="F810" s="10" t="n">
        <x:v>1079</x:v>
      </x:c>
      <x:c r="G810" s="10" t="n">
        <x:v>172</x:v>
      </x:c>
      <x:c r="H810" s="10" t="n">
        <x:f>ABS(G810-F810)</x:f>
        <x:v>907</x:v>
      </x:c>
      <x:c r="I810" s="10" t="n">
        <x:f>G810-F810</x:f>
        <x:v>-907</x:v>
      </x:c>
    </x:row>
    <x:row r="811" ht="20" customHeight="1">
      <x:c r="A811" s="1" t="str">
        <x:v>22197</x:v>
      </x:c>
      <x:c r="B811" s="10" t="n">
        <x:v>2</x:v>
      </x:c>
      <x:c r="C811" s="9" t="d">
        <x:v>2011-11-02T00:00:00.000Z</x:v>
      </x:c>
      <x:c r="D811" s="9" t="d">
        <x:v>2011-11-10T00:00:00.000Z</x:v>
      </x:c>
      <x:c r="E811" s="1" t="str">
        <x:v>naive</x:v>
      </x:c>
      <x:c r="F811" s="10" t="n">
        <x:v>339</x:v>
      </x:c>
      <x:c r="G811" s="10" t="n">
        <x:v>172</x:v>
      </x:c>
      <x:c r="H811" s="10" t="n">
        <x:f>ABS(G811-F811)</x:f>
        <x:v>167</x:v>
      </x:c>
      <x:c r="I811" s="10" t="n">
        <x:f>G811-F811</x:f>
        <x:v>-167</x:v>
      </x:c>
    </x:row>
    <x:row r="812" ht="20" customHeight="1">
      <x:c r="A812" s="1" t="str">
        <x:v>22197</x:v>
      </x:c>
      <x:c r="B812" s="10" t="n">
        <x:v>2</x:v>
      </x:c>
      <x:c r="C812" s="9" t="d">
        <x:v>2011-11-02T00:00:00.000Z</x:v>
      </x:c>
      <x:c r="D812" s="9" t="d">
        <x:v>2011-11-11T00:00:00.000Z</x:v>
      </x:c>
      <x:c r="E812" s="1" t="str">
        <x:v>naive</x:v>
      </x:c>
      <x:c r="F812" s="10" t="n">
        <x:v>184</x:v>
      </x:c>
      <x:c r="G812" s="10" t="n">
        <x:v>172</x:v>
      </x:c>
      <x:c r="H812" s="10" t="n">
        <x:f>ABS(G812-F812)</x:f>
        <x:v>12</x:v>
      </x:c>
      <x:c r="I812" s="10" t="n">
        <x:f>G812-F812</x:f>
        <x:v>-12</x:v>
      </x:c>
    </x:row>
    <x:row r="813" ht="20" customHeight="1">
      <x:c r="A813" s="1" t="str">
        <x:v>22197</x:v>
      </x:c>
      <x:c r="B813" s="10" t="n">
        <x:v>2</x:v>
      </x:c>
      <x:c r="C813" s="9" t="d">
        <x:v>2011-11-02T00:00:00.000Z</x:v>
      </x:c>
      <x:c r="D813" s="9" t="d">
        <x:v>2011-11-12T00:00:00.000Z</x:v>
      </x:c>
      <x:c r="E813" s="1" t="str">
        <x:v>naive</x:v>
      </x:c>
      <x:c r="F813" s="10" t="n">
        <x:v>0</x:v>
      </x:c>
      <x:c r="G813" s="10" t="n">
        <x:v>172</x:v>
      </x:c>
      <x:c r="H813" s="10" t="n">
        <x:f>ABS(G813-F813)</x:f>
        <x:v>172</x:v>
      </x:c>
      <x:c r="I813" s="10" t="n">
        <x:f>G813-F813</x:f>
        <x:v>172</x:v>
      </x:c>
    </x:row>
    <x:row r="814" ht="20" customHeight="1">
      <x:c r="A814" s="1" t="str">
        <x:v>22197</x:v>
      </x:c>
      <x:c r="B814" s="10" t="n">
        <x:v>2</x:v>
      </x:c>
      <x:c r="C814" s="9" t="d">
        <x:v>2011-11-02T00:00:00.000Z</x:v>
      </x:c>
      <x:c r="D814" s="9" t="d">
        <x:v>2011-11-13T00:00:00.000Z</x:v>
      </x:c>
      <x:c r="E814" s="1" t="str">
        <x:v>naive</x:v>
      </x:c>
      <x:c r="F814" s="10" t="n">
        <x:v>114</x:v>
      </x:c>
      <x:c r="G814" s="10" t="n">
        <x:v>172</x:v>
      </x:c>
      <x:c r="H814" s="10" t="n">
        <x:f>ABS(G814-F814)</x:f>
        <x:v>58</x:v>
      </x:c>
      <x:c r="I814" s="10" t="n">
        <x:f>G814-F814</x:f>
        <x:v>58</x:v>
      </x:c>
    </x:row>
    <x:row r="815" ht="20" customHeight="1">
      <x:c r="A815" s="1" t="str">
        <x:v>22197</x:v>
      </x:c>
      <x:c r="B815" s="10" t="n">
        <x:v>2</x:v>
      </x:c>
      <x:c r="C815" s="9" t="d">
        <x:v>2011-11-02T00:00:00.000Z</x:v>
      </x:c>
      <x:c r="D815" s="9" t="d">
        <x:v>2011-11-14T00:00:00.000Z</x:v>
      </x:c>
      <x:c r="E815" s="1" t="str">
        <x:v>naive</x:v>
      </x:c>
      <x:c r="F815" s="10" t="n">
        <x:v>1767</x:v>
      </x:c>
      <x:c r="G815" s="10" t="n">
        <x:v>172</x:v>
      </x:c>
      <x:c r="H815" s="10" t="n">
        <x:f>ABS(G815-F815)</x:f>
        <x:v>1595</x:v>
      </x:c>
      <x:c r="I815" s="10" t="n">
        <x:f>G815-F815</x:f>
        <x:v>-1595</x:v>
      </x:c>
    </x:row>
    <x:row r="816" ht="20" customHeight="1">
      <x:c r="A816" s="1" t="str">
        <x:v>22197</x:v>
      </x:c>
      <x:c r="B816" s="10" t="n">
        <x:v>2</x:v>
      </x:c>
      <x:c r="C816" s="9" t="d">
        <x:v>2011-11-02T00:00:00.000Z</x:v>
      </x:c>
      <x:c r="D816" s="9" t="d">
        <x:v>2011-11-15T00:00:00.000Z</x:v>
      </x:c>
      <x:c r="E816" s="1" t="str">
        <x:v>naive</x:v>
      </x:c>
      <x:c r="F816" s="10" t="n">
        <x:v>221</x:v>
      </x:c>
      <x:c r="G816" s="10" t="n">
        <x:v>172</x:v>
      </x:c>
      <x:c r="H816" s="10" t="n">
        <x:f>ABS(G816-F816)</x:f>
        <x:v>49</x:v>
      </x:c>
      <x:c r="I816" s="10" t="n">
        <x:f>G816-F816</x:f>
        <x:v>-49</x:v>
      </x:c>
    </x:row>
    <x:row r="817" ht="20" customHeight="1">
      <x:c r="A817" s="1" t="str">
        <x:v>22197</x:v>
      </x:c>
      <x:c r="B817" s="10" t="n">
        <x:v>2</x:v>
      </x:c>
      <x:c r="C817" s="9" t="d">
        <x:v>2011-11-02T00:00:00.000Z</x:v>
      </x:c>
      <x:c r="D817" s="9" t="d">
        <x:v>2011-11-16T00:00:00.000Z</x:v>
      </x:c>
      <x:c r="E817" s="1" t="str">
        <x:v>naive</x:v>
      </x:c>
      <x:c r="F817" s="10" t="n">
        <x:v>352</x:v>
      </x:c>
      <x:c r="G817" s="10" t="n">
        <x:v>172</x:v>
      </x:c>
      <x:c r="H817" s="10" t="n">
        <x:f>ABS(G817-F817)</x:f>
        <x:v>180</x:v>
      </x:c>
      <x:c r="I817" s="10" t="n">
        <x:f>G817-F817</x:f>
        <x:v>-180</x:v>
      </x:c>
    </x:row>
    <x:row r="818" ht="20" customHeight="1">
      <x:c r="A818" s="1" t="str">
        <x:v>22197</x:v>
      </x:c>
      <x:c r="B818" s="10" t="n">
        <x:v>2</x:v>
      </x:c>
      <x:c r="C818" s="9" t="d">
        <x:v>2011-11-02T00:00:00.000Z</x:v>
      </x:c>
      <x:c r="D818" s="9" t="d">
        <x:v>2011-11-03T00:00:00.000Z</x:v>
      </x:c>
      <x:c r="E818" s="1" t="str">
        <x:v>seasonal_naive</x:v>
      </x:c>
      <x:c r="F818" s="10" t="n">
        <x:v>20</x:v>
      </x:c>
      <x:c r="G818" s="10" t="n">
        <x:v>47</x:v>
      </x:c>
      <x:c r="H818" s="10" t="n">
        <x:f>ABS(G818-F818)</x:f>
        <x:v>27</x:v>
      </x:c>
      <x:c r="I818" s="10" t="n">
        <x:f>G818-F818</x:f>
        <x:v>27</x:v>
      </x:c>
    </x:row>
    <x:row r="819" ht="20" customHeight="1">
      <x:c r="A819" s="1" t="str">
        <x:v>22197</x:v>
      </x:c>
      <x:c r="B819" s="10" t="n">
        <x:v>2</x:v>
      </x:c>
      <x:c r="C819" s="9" t="d">
        <x:v>2011-11-02T00:00:00.000Z</x:v>
      </x:c>
      <x:c r="D819" s="9" t="d">
        <x:v>2011-11-04T00:00:00.000Z</x:v>
      </x:c>
      <x:c r="E819" s="1" t="str">
        <x:v>seasonal_naive</x:v>
      </x:c>
      <x:c r="F819" s="10" t="n">
        <x:v>174</x:v>
      </x:c>
      <x:c r="G819" s="10" t="n">
        <x:v>2065</x:v>
      </x:c>
      <x:c r="H819" s="10" t="n">
        <x:f>ABS(G819-F819)</x:f>
        <x:v>1891</x:v>
      </x:c>
      <x:c r="I819" s="10" t="n">
        <x:f>G819-F819</x:f>
        <x:v>1891</x:v>
      </x:c>
    </x:row>
    <x:row r="820" ht="20" customHeight="1">
      <x:c r="A820" s="1" t="str">
        <x:v>22197</x:v>
      </x:c>
      <x:c r="B820" s="10" t="n">
        <x:v>2</x:v>
      </x:c>
      <x:c r="C820" s="9" t="d">
        <x:v>2011-11-02T00:00:00.000Z</x:v>
      </x:c>
      <x:c r="D820" s="9" t="d">
        <x:v>2011-11-05T00:00:00.000Z</x:v>
      </x:c>
      <x:c r="E820" s="1" t="str">
        <x:v>seasonal_naive</x:v>
      </x:c>
      <x:c r="F820" s="10" t="n">
        <x:v>0</x:v>
      </x:c>
      <x:c r="G820" s="10" t="n">
        <x:v>0</x:v>
      </x:c>
      <x:c r="H820" s="10" t="n">
        <x:f>ABS(G820-F820)</x:f>
        <x:v>0</x:v>
      </x:c>
      <x:c r="I820" s="10" t="n">
        <x:f>G820-F820</x:f>
        <x:v>0</x:v>
      </x:c>
    </x:row>
    <x:row r="821" ht="20" customHeight="1">
      <x:c r="A821" s="1" t="str">
        <x:v>22197</x:v>
      </x:c>
      <x:c r="B821" s="10" t="n">
        <x:v>2</x:v>
      </x:c>
      <x:c r="C821" s="9" t="d">
        <x:v>2011-11-02T00:00:00.000Z</x:v>
      </x:c>
      <x:c r="D821" s="9" t="d">
        <x:v>2011-11-06T00:00:00.000Z</x:v>
      </x:c>
      <x:c r="E821" s="1" t="str">
        <x:v>seasonal_naive</x:v>
      </x:c>
      <x:c r="F821" s="10" t="n">
        <x:v>293</x:v>
      </x:c>
      <x:c r="G821" s="10" t="n">
        <x:v>133</x:v>
      </x:c>
      <x:c r="H821" s="10" t="n">
        <x:f>ABS(G821-F821)</x:f>
        <x:v>160</x:v>
      </x:c>
      <x:c r="I821" s="10" t="n">
        <x:f>G821-F821</x:f>
        <x:v>-160</x:v>
      </x:c>
    </x:row>
    <x:row r="822" ht="20" customHeight="1">
      <x:c r="A822" s="1" t="str">
        <x:v>22197</x:v>
      </x:c>
      <x:c r="B822" s="10" t="n">
        <x:v>2</x:v>
      </x:c>
      <x:c r="C822" s="9" t="d">
        <x:v>2011-11-02T00:00:00.000Z</x:v>
      </x:c>
      <x:c r="D822" s="9" t="d">
        <x:v>2011-11-07T00:00:00.000Z</x:v>
      </x:c>
      <x:c r="E822" s="1" t="str">
        <x:v>seasonal_naive</x:v>
      </x:c>
      <x:c r="F822" s="10" t="n">
        <x:v>2012</x:v>
      </x:c>
      <x:c r="G822" s="10" t="n">
        <x:v>210</x:v>
      </x:c>
      <x:c r="H822" s="10" t="n">
        <x:f>ABS(G822-F822)</x:f>
        <x:v>1802</x:v>
      </x:c>
      <x:c r="I822" s="10" t="n">
        <x:f>G822-F822</x:f>
        <x:v>-1802</x:v>
      </x:c>
    </x:row>
    <x:row r="823" ht="20" customHeight="1">
      <x:c r="A823" s="1" t="str">
        <x:v>22197</x:v>
      </x:c>
      <x:c r="B823" s="10" t="n">
        <x:v>2</x:v>
      </x:c>
      <x:c r="C823" s="9" t="d">
        <x:v>2011-11-02T00:00:00.000Z</x:v>
      </x:c>
      <x:c r="D823" s="9" t="d">
        <x:v>2011-11-08T00:00:00.000Z</x:v>
      </x:c>
      <x:c r="E823" s="1" t="str">
        <x:v>seasonal_naive</x:v>
      </x:c>
      <x:c r="F823" s="10" t="n">
        <x:v>172</x:v>
      </x:c>
      <x:c r="G823" s="10" t="n">
        <x:v>286</x:v>
      </x:c>
      <x:c r="H823" s="10" t="n">
        <x:f>ABS(G823-F823)</x:f>
        <x:v>114</x:v>
      </x:c>
      <x:c r="I823" s="10" t="n">
        <x:f>G823-F823</x:f>
        <x:v>114</x:v>
      </x:c>
    </x:row>
    <x:row r="824" ht="20" customHeight="1">
      <x:c r="A824" s="1" t="str">
        <x:v>22197</x:v>
      </x:c>
      <x:c r="B824" s="10" t="n">
        <x:v>2</x:v>
      </x:c>
      <x:c r="C824" s="9" t="d">
        <x:v>2011-11-02T00:00:00.000Z</x:v>
      </x:c>
      <x:c r="D824" s="9" t="d">
        <x:v>2011-11-09T00:00:00.000Z</x:v>
      </x:c>
      <x:c r="E824" s="1" t="str">
        <x:v>seasonal_naive</x:v>
      </x:c>
      <x:c r="F824" s="10" t="n">
        <x:v>1079</x:v>
      </x:c>
      <x:c r="G824" s="10" t="n">
        <x:v>172</x:v>
      </x:c>
      <x:c r="H824" s="10" t="n">
        <x:f>ABS(G824-F824)</x:f>
        <x:v>907</x:v>
      </x:c>
      <x:c r="I824" s="10" t="n">
        <x:f>G824-F824</x:f>
        <x:v>-907</x:v>
      </x:c>
    </x:row>
    <x:row r="825" ht="20" customHeight="1">
      <x:c r="A825" s="1" t="str">
        <x:v>22197</x:v>
      </x:c>
      <x:c r="B825" s="10" t="n">
        <x:v>2</x:v>
      </x:c>
      <x:c r="C825" s="9" t="d">
        <x:v>2011-11-02T00:00:00.000Z</x:v>
      </x:c>
      <x:c r="D825" s="9" t="d">
        <x:v>2011-11-10T00:00:00.000Z</x:v>
      </x:c>
      <x:c r="E825" s="1" t="str">
        <x:v>seasonal_naive</x:v>
      </x:c>
      <x:c r="F825" s="10" t="n">
        <x:v>339</x:v>
      </x:c>
      <x:c r="G825" s="10" t="n">
        <x:v>47</x:v>
      </x:c>
      <x:c r="H825" s="10" t="n">
        <x:f>ABS(G825-F825)</x:f>
        <x:v>292</x:v>
      </x:c>
      <x:c r="I825" s="10" t="n">
        <x:f>G825-F825</x:f>
        <x:v>-292</x:v>
      </x:c>
    </x:row>
    <x:row r="826" ht="20" customHeight="1">
      <x:c r="A826" s="1" t="str">
        <x:v>22197</x:v>
      </x:c>
      <x:c r="B826" s="10" t="n">
        <x:v>2</x:v>
      </x:c>
      <x:c r="C826" s="9" t="d">
        <x:v>2011-11-02T00:00:00.000Z</x:v>
      </x:c>
      <x:c r="D826" s="9" t="d">
        <x:v>2011-11-11T00:00:00.000Z</x:v>
      </x:c>
      <x:c r="E826" s="1" t="str">
        <x:v>seasonal_naive</x:v>
      </x:c>
      <x:c r="F826" s="10" t="n">
        <x:v>184</x:v>
      </x:c>
      <x:c r="G826" s="10" t="n">
        <x:v>2065</x:v>
      </x:c>
      <x:c r="H826" s="10" t="n">
        <x:f>ABS(G826-F826)</x:f>
        <x:v>1881</x:v>
      </x:c>
      <x:c r="I826" s="10" t="n">
        <x:f>G826-F826</x:f>
        <x:v>1881</x:v>
      </x:c>
    </x:row>
    <x:row r="827" ht="20" customHeight="1">
      <x:c r="A827" s="1" t="str">
        <x:v>22197</x:v>
      </x:c>
      <x:c r="B827" s="10" t="n">
        <x:v>2</x:v>
      </x:c>
      <x:c r="C827" s="9" t="d">
        <x:v>2011-11-02T00:00:00.000Z</x:v>
      </x:c>
      <x:c r="D827" s="9" t="d">
        <x:v>2011-11-12T00:00:00.000Z</x:v>
      </x:c>
      <x:c r="E827" s="1" t="str">
        <x:v>seasonal_naive</x:v>
      </x:c>
      <x:c r="F827" s="10" t="n">
        <x:v>0</x:v>
      </x:c>
      <x:c r="G827" s="10" t="n">
        <x:v>0</x:v>
      </x:c>
      <x:c r="H827" s="10" t="n">
        <x:f>ABS(G827-F827)</x:f>
        <x:v>0</x:v>
      </x:c>
      <x:c r="I827" s="10" t="n">
        <x:f>G827-F827</x:f>
        <x:v>0</x:v>
      </x:c>
    </x:row>
    <x:row r="828" ht="20" customHeight="1">
      <x:c r="A828" s="1" t="str">
        <x:v>22197</x:v>
      </x:c>
      <x:c r="B828" s="10" t="n">
        <x:v>2</x:v>
      </x:c>
      <x:c r="C828" s="9" t="d">
        <x:v>2011-11-02T00:00:00.000Z</x:v>
      </x:c>
      <x:c r="D828" s="9" t="d">
        <x:v>2011-11-13T00:00:00.000Z</x:v>
      </x:c>
      <x:c r="E828" s="1" t="str">
        <x:v>seasonal_naive</x:v>
      </x:c>
      <x:c r="F828" s="10" t="n">
        <x:v>114</x:v>
      </x:c>
      <x:c r="G828" s="10" t="n">
        <x:v>133</x:v>
      </x:c>
      <x:c r="H828" s="10" t="n">
        <x:f>ABS(G828-F828)</x:f>
        <x:v>19</x:v>
      </x:c>
      <x:c r="I828" s="10" t="n">
        <x:f>G828-F828</x:f>
        <x:v>19</x:v>
      </x:c>
    </x:row>
    <x:row r="829" ht="20" customHeight="1">
      <x:c r="A829" s="1" t="str">
        <x:v>22197</x:v>
      </x:c>
      <x:c r="B829" s="10" t="n">
        <x:v>2</x:v>
      </x:c>
      <x:c r="C829" s="9" t="d">
        <x:v>2011-11-02T00:00:00.000Z</x:v>
      </x:c>
      <x:c r="D829" s="9" t="d">
        <x:v>2011-11-14T00:00:00.000Z</x:v>
      </x:c>
      <x:c r="E829" s="1" t="str">
        <x:v>seasonal_naive</x:v>
      </x:c>
      <x:c r="F829" s="10" t="n">
        <x:v>1767</x:v>
      </x:c>
      <x:c r="G829" s="10" t="n">
        <x:v>210</x:v>
      </x:c>
      <x:c r="H829" s="10" t="n">
        <x:f>ABS(G829-F829)</x:f>
        <x:v>1557</x:v>
      </x:c>
      <x:c r="I829" s="10" t="n">
        <x:f>G829-F829</x:f>
        <x:v>-1557</x:v>
      </x:c>
    </x:row>
    <x:row r="830" ht="20" customHeight="1">
      <x:c r="A830" s="1" t="str">
        <x:v>22197</x:v>
      </x:c>
      <x:c r="B830" s="10" t="n">
        <x:v>2</x:v>
      </x:c>
      <x:c r="C830" s="9" t="d">
        <x:v>2011-11-02T00:00:00.000Z</x:v>
      </x:c>
      <x:c r="D830" s="9" t="d">
        <x:v>2011-11-15T00:00:00.000Z</x:v>
      </x:c>
      <x:c r="E830" s="1" t="str">
        <x:v>seasonal_naive</x:v>
      </x:c>
      <x:c r="F830" s="10" t="n">
        <x:v>221</x:v>
      </x:c>
      <x:c r="G830" s="10" t="n">
        <x:v>286</x:v>
      </x:c>
      <x:c r="H830" s="10" t="n">
        <x:f>ABS(G830-F830)</x:f>
        <x:v>65</x:v>
      </x:c>
      <x:c r="I830" s="10" t="n">
        <x:f>G830-F830</x:f>
        <x:v>65</x:v>
      </x:c>
    </x:row>
    <x:row r="831" ht="20" customHeight="1">
      <x:c r="A831" s="1" t="str">
        <x:v>22197</x:v>
      </x:c>
      <x:c r="B831" s="10" t="n">
        <x:v>2</x:v>
      </x:c>
      <x:c r="C831" s="9" t="d">
        <x:v>2011-11-02T00:00:00.000Z</x:v>
      </x:c>
      <x:c r="D831" s="9" t="d">
        <x:v>2011-11-16T00:00:00.000Z</x:v>
      </x:c>
      <x:c r="E831" s="1" t="str">
        <x:v>seasonal_naive</x:v>
      </x:c>
      <x:c r="F831" s="10" t="n">
        <x:v>352</x:v>
      </x:c>
      <x:c r="G831" s="10" t="n">
        <x:v>172</x:v>
      </x:c>
      <x:c r="H831" s="10" t="n">
        <x:f>ABS(G831-F831)</x:f>
        <x:v>180</x:v>
      </x:c>
      <x:c r="I831" s="10" t="n">
        <x:f>G831-F831</x:f>
        <x:v>-180</x:v>
      </x:c>
    </x:row>
    <x:row r="832" ht="20" customHeight="1">
      <x:c r="A832" s="1" t="str">
        <x:v>22197</x:v>
      </x:c>
      <x:c r="B832" s="10" t="n">
        <x:v>2</x:v>
      </x:c>
      <x:c r="C832" s="9" t="d">
        <x:v>2011-11-02T00:00:00.000Z</x:v>
      </x:c>
      <x:c r="D832" s="9" t="d">
        <x:v>2011-11-03T00:00:00.000Z</x:v>
      </x:c>
      <x:c r="E832" s="1" t="str">
        <x:v>ridge</x:v>
      </x:c>
      <x:c r="F832" s="10" t="n">
        <x:v>20</x:v>
      </x:c>
      <x:c r="G832" s="10" t="n">
        <x:v>175.7267311879</x:v>
      </x:c>
      <x:c r="H832" s="10" t="n">
        <x:f>ABS(G832-F832)</x:f>
        <x:v>155.7267311879</x:v>
      </x:c>
      <x:c r="I832" s="10" t="n">
        <x:f>G832-F832</x:f>
        <x:v>155.7267311879</x:v>
      </x:c>
    </x:row>
    <x:row r="833" ht="20" customHeight="1">
      <x:c r="A833" s="1" t="str">
        <x:v>22197</x:v>
      </x:c>
      <x:c r="B833" s="10" t="n">
        <x:v>2</x:v>
      </x:c>
      <x:c r="C833" s="9" t="d">
        <x:v>2011-11-02T00:00:00.000Z</x:v>
      </x:c>
      <x:c r="D833" s="9" t="d">
        <x:v>2011-11-04T00:00:00.000Z</x:v>
      </x:c>
      <x:c r="E833" s="1" t="str">
        <x:v>ridge</x:v>
      </x:c>
      <x:c r="F833" s="10" t="n">
        <x:v>174</x:v>
      </x:c>
      <x:c r="G833" s="10" t="n">
        <x:v>410.3138853557</x:v>
      </x:c>
      <x:c r="H833" s="10" t="n">
        <x:f>ABS(G833-F833)</x:f>
        <x:v>236.3138853557</x:v>
      </x:c>
      <x:c r="I833" s="10" t="n">
        <x:f>G833-F833</x:f>
        <x:v>236.3138853557</x:v>
      </x:c>
    </x:row>
    <x:row r="834" ht="20" customHeight="1">
      <x:c r="A834" s="1" t="str">
        <x:v>22197</x:v>
      </x:c>
      <x:c r="B834" s="10" t="n">
        <x:v>2</x:v>
      </x:c>
      <x:c r="C834" s="9" t="d">
        <x:v>2011-11-02T00:00:00.000Z</x:v>
      </x:c>
      <x:c r="D834" s="9" t="d">
        <x:v>2011-11-05T00:00:00.000Z</x:v>
      </x:c>
      <x:c r="E834" s="1" t="str">
        <x:v>ridge</x:v>
      </x:c>
      <x:c r="F834" s="10" t="n">
        <x:v>0</x:v>
      </x:c>
      <x:c r="G834" s="10" t="n">
        <x:v>79.0648925435</x:v>
      </x:c>
      <x:c r="H834" s="10" t="n">
        <x:f>ABS(G834-F834)</x:f>
        <x:v>79.0648925435</x:v>
      </x:c>
      <x:c r="I834" s="10" t="n">
        <x:f>G834-F834</x:f>
        <x:v>79.0648925435</x:v>
      </x:c>
    </x:row>
    <x:row r="835" ht="20" customHeight="1">
      <x:c r="A835" s="1" t="str">
        <x:v>22197</x:v>
      </x:c>
      <x:c r="B835" s="10" t="n">
        <x:v>2</x:v>
      </x:c>
      <x:c r="C835" s="9" t="d">
        <x:v>2011-11-02T00:00:00.000Z</x:v>
      </x:c>
      <x:c r="D835" s="9" t="d">
        <x:v>2011-11-06T00:00:00.000Z</x:v>
      </x:c>
      <x:c r="E835" s="1" t="str">
        <x:v>ridge</x:v>
      </x:c>
      <x:c r="F835" s="10" t="n">
        <x:v>293</x:v>
      </x:c>
      <x:c r="G835" s="10" t="n">
        <x:v>56.0082751091</x:v>
      </x:c>
      <x:c r="H835" s="10" t="n">
        <x:f>ABS(G835-F835)</x:f>
        <x:v>236.9917248909</x:v>
      </x:c>
      <x:c r="I835" s="10" t="n">
        <x:f>G835-F835</x:f>
        <x:v>-236.9917248909</x:v>
      </x:c>
    </x:row>
    <x:row r="836" ht="20" customHeight="1">
      <x:c r="A836" s="1" t="str">
        <x:v>22197</x:v>
      </x:c>
      <x:c r="B836" s="10" t="n">
        <x:v>2</x:v>
      </x:c>
      <x:c r="C836" s="9" t="d">
        <x:v>2011-11-02T00:00:00.000Z</x:v>
      </x:c>
      <x:c r="D836" s="9" t="d">
        <x:v>2011-11-07T00:00:00.000Z</x:v>
      </x:c>
      <x:c r="E836" s="1" t="str">
        <x:v>ridge</x:v>
      </x:c>
      <x:c r="F836" s="10" t="n">
        <x:v>2012</x:v>
      </x:c>
      <x:c r="G836" s="10" t="n">
        <x:v>55.5079901323</x:v>
      </x:c>
      <x:c r="H836" s="10" t="n">
        <x:f>ABS(G836-F836)</x:f>
        <x:v>1956.4920098677</x:v>
      </x:c>
      <x:c r="I836" s="10" t="n">
        <x:f>G836-F836</x:f>
        <x:v>-1956.4920098677</x:v>
      </x:c>
    </x:row>
    <x:row r="837" ht="20" customHeight="1">
      <x:c r="A837" s="1" t="str">
        <x:v>22197</x:v>
      </x:c>
      <x:c r="B837" s="10" t="n">
        <x:v>2</x:v>
      </x:c>
      <x:c r="C837" s="9" t="d">
        <x:v>2011-11-02T00:00:00.000Z</x:v>
      </x:c>
      <x:c r="D837" s="9" t="d">
        <x:v>2011-11-08T00:00:00.000Z</x:v>
      </x:c>
      <x:c r="E837" s="1" t="str">
        <x:v>ridge</x:v>
      </x:c>
      <x:c r="F837" s="10" t="n">
        <x:v>172</x:v>
      </x:c>
      <x:c r="G837" s="10" t="n">
        <x:v>111.1919106951</x:v>
      </x:c>
      <x:c r="H837" s="10" t="n">
        <x:f>ABS(G837-F837)</x:f>
        <x:v>60.808089304899994</x:v>
      </x:c>
      <x:c r="I837" s="10" t="n">
        <x:f>G837-F837</x:f>
        <x:v>-60.808089304899994</x:v>
      </x:c>
    </x:row>
    <x:row r="838" ht="20" customHeight="1">
      <x:c r="A838" s="1" t="str">
        <x:v>22197</x:v>
      </x:c>
      <x:c r="B838" s="10" t="n">
        <x:v>2</x:v>
      </x:c>
      <x:c r="C838" s="9" t="d">
        <x:v>2011-11-02T00:00:00.000Z</x:v>
      </x:c>
      <x:c r="D838" s="9" t="d">
        <x:v>2011-11-09T00:00:00.000Z</x:v>
      </x:c>
      <x:c r="E838" s="1" t="str">
        <x:v>ridge</x:v>
      </x:c>
      <x:c r="F838" s="10" t="n">
        <x:v>1079</x:v>
      </x:c>
      <x:c r="G838" s="10" t="n">
        <x:v>163.0550024683</x:v>
      </x:c>
      <x:c r="H838" s="10" t="n">
        <x:f>ABS(G838-F838)</x:f>
        <x:v>915.9449975317</x:v>
      </x:c>
      <x:c r="I838" s="10" t="n">
        <x:f>G838-F838</x:f>
        <x:v>-915.9449975317</x:v>
      </x:c>
    </x:row>
    <x:row r="839" ht="20" customHeight="1">
      <x:c r="A839" s="1" t="str">
        <x:v>22197</x:v>
      </x:c>
      <x:c r="B839" s="10" t="n">
        <x:v>2</x:v>
      </x:c>
      <x:c r="C839" s="9" t="d">
        <x:v>2011-11-02T00:00:00.000Z</x:v>
      </x:c>
      <x:c r="D839" s="9" t="d">
        <x:v>2011-11-10T00:00:00.000Z</x:v>
      </x:c>
      <x:c r="E839" s="1" t="str">
        <x:v>ridge</x:v>
      </x:c>
      <x:c r="F839" s="10" t="n">
        <x:v>339</x:v>
      </x:c>
      <x:c r="G839" s="10" t="n">
        <x:v>196.1296130497</x:v>
      </x:c>
      <x:c r="H839" s="10" t="n">
        <x:f>ABS(G839-F839)</x:f>
        <x:v>142.8703869503</x:v>
      </x:c>
      <x:c r="I839" s="10" t="n">
        <x:f>G839-F839</x:f>
        <x:v>-142.8703869503</x:v>
      </x:c>
    </x:row>
    <x:row r="840" ht="20" customHeight="1">
      <x:c r="A840" s="1" t="str">
        <x:v>22197</x:v>
      </x:c>
      <x:c r="B840" s="10" t="n">
        <x:v>2</x:v>
      </x:c>
      <x:c r="C840" s="9" t="d">
        <x:v>2011-11-02T00:00:00.000Z</x:v>
      </x:c>
      <x:c r="D840" s="9" t="d">
        <x:v>2011-11-11T00:00:00.000Z</x:v>
      </x:c>
      <x:c r="E840" s="1" t="str">
        <x:v>ridge</x:v>
      </x:c>
      <x:c r="F840" s="10" t="n">
        <x:v>184</x:v>
      </x:c>
      <x:c r="G840" s="10" t="n">
        <x:v>167.4100261549</x:v>
      </x:c>
      <x:c r="H840" s="10" t="n">
        <x:f>ABS(G840-F840)</x:f>
        <x:v>16.58997384509999</x:v>
      </x:c>
      <x:c r="I840" s="10" t="n">
        <x:f>G840-F840</x:f>
        <x:v>-16.58997384509999</x:v>
      </x:c>
    </x:row>
    <x:row r="841" ht="20" customHeight="1">
      <x:c r="A841" s="1" t="str">
        <x:v>22197</x:v>
      </x:c>
      <x:c r="B841" s="10" t="n">
        <x:v>2</x:v>
      </x:c>
      <x:c r="C841" s="9" t="d">
        <x:v>2011-11-02T00:00:00.000Z</x:v>
      </x:c>
      <x:c r="D841" s="9" t="d">
        <x:v>2011-11-12T00:00:00.000Z</x:v>
      </x:c>
      <x:c r="E841" s="1" t="str">
        <x:v>ridge</x:v>
      </x:c>
      <x:c r="F841" s="10" t="n">
        <x:v>0</x:v>
      </x:c>
      <x:c r="G841" s="10" t="n">
        <x:v>102.2197454814</x:v>
      </x:c>
      <x:c r="H841" s="10" t="n">
        <x:f>ABS(G841-F841)</x:f>
        <x:v>102.2197454814</x:v>
      </x:c>
      <x:c r="I841" s="10" t="n">
        <x:f>G841-F841</x:f>
        <x:v>102.2197454814</x:v>
      </x:c>
    </x:row>
    <x:row r="842" ht="20" customHeight="1">
      <x:c r="A842" s="1" t="str">
        <x:v>22197</x:v>
      </x:c>
      <x:c r="B842" s="10" t="n">
        <x:v>2</x:v>
      </x:c>
      <x:c r="C842" s="9" t="d">
        <x:v>2011-11-02T00:00:00.000Z</x:v>
      </x:c>
      <x:c r="D842" s="9" t="d">
        <x:v>2011-11-13T00:00:00.000Z</x:v>
      </x:c>
      <x:c r="E842" s="1" t="str">
        <x:v>ridge</x:v>
      </x:c>
      <x:c r="F842" s="10" t="n">
        <x:v>114</x:v>
      </x:c>
      <x:c r="G842" s="10" t="n">
        <x:v>44.4046802219</x:v>
      </x:c>
      <x:c r="H842" s="10" t="n">
        <x:f>ABS(G842-F842)</x:f>
        <x:v>69.59531977809999</x:v>
      </x:c>
      <x:c r="I842" s="10" t="n">
        <x:f>G842-F842</x:f>
        <x:v>-69.59531977809999</x:v>
      </x:c>
    </x:row>
    <x:row r="843" ht="20" customHeight="1">
      <x:c r="A843" s="1" t="str">
        <x:v>22197</x:v>
      </x:c>
      <x:c r="B843" s="10" t="n">
        <x:v>2</x:v>
      </x:c>
      <x:c r="C843" s="9" t="d">
        <x:v>2011-11-02T00:00:00.000Z</x:v>
      </x:c>
      <x:c r="D843" s="9" t="d">
        <x:v>2011-11-14T00:00:00.000Z</x:v>
      </x:c>
      <x:c r="E843" s="1" t="str">
        <x:v>ridge</x:v>
      </x:c>
      <x:c r="F843" s="10" t="n">
        <x:v>1767</x:v>
      </x:c>
      <x:c r="G843" s="10" t="n">
        <x:v>38.0364437606</x:v>
      </x:c>
      <x:c r="H843" s="10" t="n">
        <x:f>ABS(G843-F843)</x:f>
        <x:v>1728.9635562394</x:v>
      </x:c>
      <x:c r="I843" s="10" t="n">
        <x:f>G843-F843</x:f>
        <x:v>-1728.9635562394</x:v>
      </x:c>
    </x:row>
    <x:row r="844" ht="20" customHeight="1">
      <x:c r="A844" s="1" t="str">
        <x:v>22197</x:v>
      </x:c>
      <x:c r="B844" s="10" t="n">
        <x:v>2</x:v>
      </x:c>
      <x:c r="C844" s="9" t="d">
        <x:v>2011-11-02T00:00:00.000Z</x:v>
      </x:c>
      <x:c r="D844" s="9" t="d">
        <x:v>2011-11-15T00:00:00.000Z</x:v>
      </x:c>
      <x:c r="E844" s="1" t="str">
        <x:v>ridge</x:v>
      </x:c>
      <x:c r="F844" s="10" t="n">
        <x:v>221</x:v>
      </x:c>
      <x:c r="G844" s="10" t="n">
        <x:v>90.3409217406</x:v>
      </x:c>
      <x:c r="H844" s="10" t="n">
        <x:f>ABS(G844-F844)</x:f>
        <x:v>130.65907825940002</x:v>
      </x:c>
      <x:c r="I844" s="10" t="n">
        <x:f>G844-F844</x:f>
        <x:v>-130.65907825940002</x:v>
      </x:c>
    </x:row>
    <x:row r="845" ht="20" customHeight="1">
      <x:c r="A845" s="1" t="str">
        <x:v>22197</x:v>
      </x:c>
      <x:c r="B845" s="10" t="n">
        <x:v>2</x:v>
      </x:c>
      <x:c r="C845" s="9" t="d">
        <x:v>2011-11-02T00:00:00.000Z</x:v>
      </x:c>
      <x:c r="D845" s="9" t="d">
        <x:v>2011-11-16T00:00:00.000Z</x:v>
      </x:c>
      <x:c r="E845" s="1" t="str">
        <x:v>ridge</x:v>
      </x:c>
      <x:c r="F845" s="10" t="n">
        <x:v>352</x:v>
      </x:c>
      <x:c r="G845" s="10" t="n">
        <x:v>161.5948603799</x:v>
      </x:c>
      <x:c r="H845" s="10" t="n">
        <x:f>ABS(G845-F845)</x:f>
        <x:v>190.4051396201</x:v>
      </x:c>
      <x:c r="I845" s="10" t="n">
        <x:f>G845-F845</x:f>
        <x:v>-190.4051396201</x:v>
      </x:c>
    </x:row>
    <x:row r="846" ht="20" customHeight="1">
      <x:c r="A846" s="1" t="str">
        <x:v>22197</x:v>
      </x:c>
      <x:c r="B846" s="10" t="n">
        <x:v>3</x:v>
      </x:c>
      <x:c r="C846" s="9" t="d">
        <x:v>2011-11-16T00:00:00.000Z</x:v>
      </x:c>
      <x:c r="D846" s="9" t="d">
        <x:v>2011-11-17T00:00:00.000Z</x:v>
      </x:c>
      <x:c r="E846" s="1" t="str">
        <x:v>naive</x:v>
      </x:c>
      <x:c r="F846" s="10" t="n">
        <x:v>135</x:v>
      </x:c>
      <x:c r="G846" s="10" t="n">
        <x:v>352</x:v>
      </x:c>
      <x:c r="H846" s="10" t="n">
        <x:f>ABS(G846-F846)</x:f>
        <x:v>217</x:v>
      </x:c>
      <x:c r="I846" s="10" t="n">
        <x:f>G846-F846</x:f>
        <x:v>217</x:v>
      </x:c>
    </x:row>
    <x:row r="847" ht="20" customHeight="1">
      <x:c r="A847" s="1" t="str">
        <x:v>22197</x:v>
      </x:c>
      <x:c r="B847" s="10" t="n">
        <x:v>3</x:v>
      </x:c>
      <x:c r="C847" s="9" t="d">
        <x:v>2011-11-16T00:00:00.000Z</x:v>
      </x:c>
      <x:c r="D847" s="9" t="d">
        <x:v>2011-11-18T00:00:00.000Z</x:v>
      </x:c>
      <x:c r="E847" s="1" t="str">
        <x:v>naive</x:v>
      </x:c>
      <x:c r="F847" s="10" t="n">
        <x:v>449</x:v>
      </x:c>
      <x:c r="G847" s="10" t="n">
        <x:v>352</x:v>
      </x:c>
      <x:c r="H847" s="10" t="n">
        <x:f>ABS(G847-F847)</x:f>
        <x:v>97</x:v>
      </x:c>
      <x:c r="I847" s="10" t="n">
        <x:f>G847-F847</x:f>
        <x:v>-97</x:v>
      </x:c>
    </x:row>
    <x:row r="848" ht="20" customHeight="1">
      <x:c r="A848" s="1" t="str">
        <x:v>22197</x:v>
      </x:c>
      <x:c r="B848" s="10" t="n">
        <x:v>3</x:v>
      </x:c>
      <x:c r="C848" s="9" t="d">
        <x:v>2011-11-16T00:00:00.000Z</x:v>
      </x:c>
      <x:c r="D848" s="9" t="d">
        <x:v>2011-11-19T00:00:00.000Z</x:v>
      </x:c>
      <x:c r="E848" s="1" t="str">
        <x:v>naive</x:v>
      </x:c>
      <x:c r="F848" s="10" t="n">
        <x:v>0</x:v>
      </x:c>
      <x:c r="G848" s="10" t="n">
        <x:v>352</x:v>
      </x:c>
      <x:c r="H848" s="10" t="n">
        <x:f>ABS(G848-F848)</x:f>
        <x:v>352</x:v>
      </x:c>
      <x:c r="I848" s="10" t="n">
        <x:f>G848-F848</x:f>
        <x:v>352</x:v>
      </x:c>
    </x:row>
    <x:row r="849" ht="20" customHeight="1">
      <x:c r="A849" s="1" t="str">
        <x:v>22197</x:v>
      </x:c>
      <x:c r="B849" s="10" t="n">
        <x:v>3</x:v>
      </x:c>
      <x:c r="C849" s="9" t="d">
        <x:v>2011-11-16T00:00:00.000Z</x:v>
      </x:c>
      <x:c r="D849" s="9" t="d">
        <x:v>2011-11-20T00:00:00.000Z</x:v>
      </x:c>
      <x:c r="E849" s="1" t="str">
        <x:v>naive</x:v>
      </x:c>
      <x:c r="F849" s="10" t="n">
        <x:v>218</x:v>
      </x:c>
      <x:c r="G849" s="10" t="n">
        <x:v>352</x:v>
      </x:c>
      <x:c r="H849" s="10" t="n">
        <x:f>ABS(G849-F849)</x:f>
        <x:v>134</x:v>
      </x:c>
      <x:c r="I849" s="10" t="n">
        <x:f>G849-F849</x:f>
        <x:v>134</x:v>
      </x:c>
    </x:row>
    <x:row r="850" ht="20" customHeight="1">
      <x:c r="A850" s="1" t="str">
        <x:v>22197</x:v>
      </x:c>
      <x:c r="B850" s="10" t="n">
        <x:v>3</x:v>
      </x:c>
      <x:c r="C850" s="9" t="d">
        <x:v>2011-11-16T00:00:00.000Z</x:v>
      </x:c>
      <x:c r="D850" s="9" t="d">
        <x:v>2011-11-21T00:00:00.000Z</x:v>
      </x:c>
      <x:c r="E850" s="1" t="str">
        <x:v>naive</x:v>
      </x:c>
      <x:c r="F850" s="10" t="n">
        <x:v>349</x:v>
      </x:c>
      <x:c r="G850" s="10" t="n">
        <x:v>352</x:v>
      </x:c>
      <x:c r="H850" s="10" t="n">
        <x:f>ABS(G850-F850)</x:f>
        <x:v>3</x:v>
      </x:c>
      <x:c r="I850" s="10" t="n">
        <x:f>G850-F850</x:f>
        <x:v>3</x:v>
      </x:c>
    </x:row>
    <x:row r="851" ht="20" customHeight="1">
      <x:c r="A851" s="1" t="str">
        <x:v>22197</x:v>
      </x:c>
      <x:c r="B851" s="10" t="n">
        <x:v>3</x:v>
      </x:c>
      <x:c r="C851" s="9" t="d">
        <x:v>2011-11-16T00:00:00.000Z</x:v>
      </x:c>
      <x:c r="D851" s="9" t="d">
        <x:v>2011-11-22T00:00:00.000Z</x:v>
      </x:c>
      <x:c r="E851" s="1" t="str">
        <x:v>naive</x:v>
      </x:c>
      <x:c r="F851" s="10" t="n">
        <x:v>1162</x:v>
      </x:c>
      <x:c r="G851" s="10" t="n">
        <x:v>352</x:v>
      </x:c>
      <x:c r="H851" s="10" t="n">
        <x:f>ABS(G851-F851)</x:f>
        <x:v>810</x:v>
      </x:c>
      <x:c r="I851" s="10" t="n">
        <x:f>G851-F851</x:f>
        <x:v>-810</x:v>
      </x:c>
    </x:row>
    <x:row r="852" ht="20" customHeight="1">
      <x:c r="A852" s="1" t="str">
        <x:v>22197</x:v>
      </x:c>
      <x:c r="B852" s="10" t="n">
        <x:v>3</x:v>
      </x:c>
      <x:c r="C852" s="9" t="d">
        <x:v>2011-11-16T00:00:00.000Z</x:v>
      </x:c>
      <x:c r="D852" s="9" t="d">
        <x:v>2011-11-23T00:00:00.000Z</x:v>
      </x:c>
      <x:c r="E852" s="1" t="str">
        <x:v>naive</x:v>
      </x:c>
      <x:c r="F852" s="10" t="n">
        <x:v>497</x:v>
      </x:c>
      <x:c r="G852" s="10" t="n">
        <x:v>352</x:v>
      </x:c>
      <x:c r="H852" s="10" t="n">
        <x:f>ABS(G852-F852)</x:f>
        <x:v>145</x:v>
      </x:c>
      <x:c r="I852" s="10" t="n">
        <x:f>G852-F852</x:f>
        <x:v>-145</x:v>
      </x:c>
    </x:row>
    <x:row r="853" ht="20" customHeight="1">
      <x:c r="A853" s="1" t="str">
        <x:v>22197</x:v>
      </x:c>
      <x:c r="B853" s="10" t="n">
        <x:v>3</x:v>
      </x:c>
      <x:c r="C853" s="9" t="d">
        <x:v>2011-11-16T00:00:00.000Z</x:v>
      </x:c>
      <x:c r="D853" s="9" t="d">
        <x:v>2011-11-24T00:00:00.000Z</x:v>
      </x:c>
      <x:c r="E853" s="1" t="str">
        <x:v>naive</x:v>
      </x:c>
      <x:c r="F853" s="10" t="n">
        <x:v>558</x:v>
      </x:c>
      <x:c r="G853" s="10" t="n">
        <x:v>352</x:v>
      </x:c>
      <x:c r="H853" s="10" t="n">
        <x:f>ABS(G853-F853)</x:f>
        <x:v>206</x:v>
      </x:c>
      <x:c r="I853" s="10" t="n">
        <x:f>G853-F853</x:f>
        <x:v>-206</x:v>
      </x:c>
    </x:row>
    <x:row r="854" ht="20" customHeight="1">
      <x:c r="A854" s="1" t="str">
        <x:v>22197</x:v>
      </x:c>
      <x:c r="B854" s="10" t="n">
        <x:v>3</x:v>
      </x:c>
      <x:c r="C854" s="9" t="d">
        <x:v>2011-11-16T00:00:00.000Z</x:v>
      </x:c>
      <x:c r="D854" s="9" t="d">
        <x:v>2011-11-25T00:00:00.000Z</x:v>
      </x:c>
      <x:c r="E854" s="1" t="str">
        <x:v>naive</x:v>
      </x:c>
      <x:c r="F854" s="10" t="n">
        <x:v>342</x:v>
      </x:c>
      <x:c r="G854" s="10" t="n">
        <x:v>352</x:v>
      </x:c>
      <x:c r="H854" s="10" t="n">
        <x:f>ABS(G854-F854)</x:f>
        <x:v>10</x:v>
      </x:c>
      <x:c r="I854" s="10" t="n">
        <x:f>G854-F854</x:f>
        <x:v>10</x:v>
      </x:c>
    </x:row>
    <x:row r="855" ht="20" customHeight="1">
      <x:c r="A855" s="1" t="str">
        <x:v>22197</x:v>
      </x:c>
      <x:c r="B855" s="10" t="n">
        <x:v>3</x:v>
      </x:c>
      <x:c r="C855" s="9" t="d">
        <x:v>2011-11-16T00:00:00.000Z</x:v>
      </x:c>
      <x:c r="D855" s="9" t="d">
        <x:v>2011-11-26T00:00:00.000Z</x:v>
      </x:c>
      <x:c r="E855" s="1" t="str">
        <x:v>naive</x:v>
      </x:c>
      <x:c r="F855" s="10" t="n">
        <x:v>0</x:v>
      </x:c>
      <x:c r="G855" s="10" t="n">
        <x:v>352</x:v>
      </x:c>
      <x:c r="H855" s="10" t="n">
        <x:f>ABS(G855-F855)</x:f>
        <x:v>352</x:v>
      </x:c>
      <x:c r="I855" s="10" t="n">
        <x:f>G855-F855</x:f>
        <x:v>352</x:v>
      </x:c>
    </x:row>
    <x:row r="856" ht="20" customHeight="1">
      <x:c r="A856" s="1" t="str">
        <x:v>22197</x:v>
      </x:c>
      <x:c r="B856" s="10" t="n">
        <x:v>3</x:v>
      </x:c>
      <x:c r="C856" s="9" t="d">
        <x:v>2011-11-16T00:00:00.000Z</x:v>
      </x:c>
      <x:c r="D856" s="9" t="d">
        <x:v>2011-11-27T00:00:00.000Z</x:v>
      </x:c>
      <x:c r="E856" s="1" t="str">
        <x:v>naive</x:v>
      </x:c>
      <x:c r="F856" s="10" t="n">
        <x:v>47</x:v>
      </x:c>
      <x:c r="G856" s="10" t="n">
        <x:v>352</x:v>
      </x:c>
      <x:c r="H856" s="10" t="n">
        <x:f>ABS(G856-F856)</x:f>
        <x:v>305</x:v>
      </x:c>
      <x:c r="I856" s="10" t="n">
        <x:f>G856-F856</x:f>
        <x:v>305</x:v>
      </x:c>
    </x:row>
    <x:row r="857" ht="20" customHeight="1">
      <x:c r="A857" s="1" t="str">
        <x:v>22197</x:v>
      </x:c>
      <x:c r="B857" s="10" t="n">
        <x:v>3</x:v>
      </x:c>
      <x:c r="C857" s="9" t="d">
        <x:v>2011-11-16T00:00:00.000Z</x:v>
      </x:c>
      <x:c r="D857" s="9" t="d">
        <x:v>2011-11-28T00:00:00.000Z</x:v>
      </x:c>
      <x:c r="E857" s="1" t="str">
        <x:v>naive</x:v>
      </x:c>
      <x:c r="F857" s="10" t="n">
        <x:v>244</x:v>
      </x:c>
      <x:c r="G857" s="10" t="n">
        <x:v>352</x:v>
      </x:c>
      <x:c r="H857" s="10" t="n">
        <x:f>ABS(G857-F857)</x:f>
        <x:v>108</x:v>
      </x:c>
      <x:c r="I857" s="10" t="n">
        <x:f>G857-F857</x:f>
        <x:v>108</x:v>
      </x:c>
    </x:row>
    <x:row r="858" ht="20" customHeight="1">
      <x:c r="A858" s="1" t="str">
        <x:v>22197</x:v>
      </x:c>
      <x:c r="B858" s="10" t="n">
        <x:v>3</x:v>
      </x:c>
      <x:c r="C858" s="9" t="d">
        <x:v>2011-11-16T00:00:00.000Z</x:v>
      </x:c>
      <x:c r="D858" s="9" t="d">
        <x:v>2011-11-29T00:00:00.000Z</x:v>
      </x:c>
      <x:c r="E858" s="1" t="str">
        <x:v>naive</x:v>
      </x:c>
      <x:c r="F858" s="10" t="n">
        <x:v>796</x:v>
      </x:c>
      <x:c r="G858" s="10" t="n">
        <x:v>352</x:v>
      </x:c>
      <x:c r="H858" s="10" t="n">
        <x:f>ABS(G858-F858)</x:f>
        <x:v>444</x:v>
      </x:c>
      <x:c r="I858" s="10" t="n">
        <x:f>G858-F858</x:f>
        <x:v>-444</x:v>
      </x:c>
    </x:row>
    <x:row r="859" ht="20" customHeight="1">
      <x:c r="A859" s="1" t="str">
        <x:v>22197</x:v>
      </x:c>
      <x:c r="B859" s="10" t="n">
        <x:v>3</x:v>
      </x:c>
      <x:c r="C859" s="9" t="d">
        <x:v>2011-11-16T00:00:00.000Z</x:v>
      </x:c>
      <x:c r="D859" s="9" t="d">
        <x:v>2011-11-30T00:00:00.000Z</x:v>
      </x:c>
      <x:c r="E859" s="1" t="str">
        <x:v>naive</x:v>
      </x:c>
      <x:c r="F859" s="10" t="n">
        <x:v>470</x:v>
      </x:c>
      <x:c r="G859" s="10" t="n">
        <x:v>352</x:v>
      </x:c>
      <x:c r="H859" s="10" t="n">
        <x:f>ABS(G859-F859)</x:f>
        <x:v>118</x:v>
      </x:c>
      <x:c r="I859" s="10" t="n">
        <x:f>G859-F859</x:f>
        <x:v>-118</x:v>
      </x:c>
    </x:row>
    <x:row r="860" ht="20" customHeight="1">
      <x:c r="A860" s="1" t="str">
        <x:v>22197</x:v>
      </x:c>
      <x:c r="B860" s="10" t="n">
        <x:v>3</x:v>
      </x:c>
      <x:c r="C860" s="9" t="d">
        <x:v>2011-11-16T00:00:00.000Z</x:v>
      </x:c>
      <x:c r="D860" s="9" t="d">
        <x:v>2011-11-17T00:00:00.000Z</x:v>
      </x:c>
      <x:c r="E860" s="1" t="str">
        <x:v>seasonal_naive</x:v>
      </x:c>
      <x:c r="F860" s="10" t="n">
        <x:v>135</x:v>
      </x:c>
      <x:c r="G860" s="10" t="n">
        <x:v>339</x:v>
      </x:c>
      <x:c r="H860" s="10" t="n">
        <x:f>ABS(G860-F860)</x:f>
        <x:v>204</x:v>
      </x:c>
      <x:c r="I860" s="10" t="n">
        <x:f>G860-F860</x:f>
        <x:v>204</x:v>
      </x:c>
    </x:row>
    <x:row r="861" ht="20" customHeight="1">
      <x:c r="A861" s="1" t="str">
        <x:v>22197</x:v>
      </x:c>
      <x:c r="B861" s="10" t="n">
        <x:v>3</x:v>
      </x:c>
      <x:c r="C861" s="9" t="d">
        <x:v>2011-11-16T00:00:00.000Z</x:v>
      </x:c>
      <x:c r="D861" s="9" t="d">
        <x:v>2011-11-18T00:00:00.000Z</x:v>
      </x:c>
      <x:c r="E861" s="1" t="str">
        <x:v>seasonal_naive</x:v>
      </x:c>
      <x:c r="F861" s="10" t="n">
        <x:v>449</x:v>
      </x:c>
      <x:c r="G861" s="10" t="n">
        <x:v>184</x:v>
      </x:c>
      <x:c r="H861" s="10" t="n">
        <x:f>ABS(G861-F861)</x:f>
        <x:v>265</x:v>
      </x:c>
      <x:c r="I861" s="10" t="n">
        <x:f>G861-F861</x:f>
        <x:v>-265</x:v>
      </x:c>
    </x:row>
    <x:row r="862" ht="20" customHeight="1">
      <x:c r="A862" s="1" t="str">
        <x:v>22197</x:v>
      </x:c>
      <x:c r="B862" s="10" t="n">
        <x:v>3</x:v>
      </x:c>
      <x:c r="C862" s="9" t="d">
        <x:v>2011-11-16T00:00:00.000Z</x:v>
      </x:c>
      <x:c r="D862" s="9" t="d">
        <x:v>2011-11-19T00:00:00.000Z</x:v>
      </x:c>
      <x:c r="E862" s="1" t="str">
        <x:v>seasonal_naive</x:v>
      </x:c>
      <x:c r="F862" s="10" t="n">
        <x:v>0</x:v>
      </x:c>
      <x:c r="G862" s="10" t="n">
        <x:v>0</x:v>
      </x:c>
      <x:c r="H862" s="10" t="n">
        <x:f>ABS(G862-F862)</x:f>
        <x:v>0</x:v>
      </x:c>
      <x:c r="I862" s="10" t="n">
        <x:f>G862-F862</x:f>
        <x:v>0</x:v>
      </x:c>
    </x:row>
    <x:row r="863" ht="20" customHeight="1">
      <x:c r="A863" s="1" t="str">
        <x:v>22197</x:v>
      </x:c>
      <x:c r="B863" s="10" t="n">
        <x:v>3</x:v>
      </x:c>
      <x:c r="C863" s="9" t="d">
        <x:v>2011-11-16T00:00:00.000Z</x:v>
      </x:c>
      <x:c r="D863" s="9" t="d">
        <x:v>2011-11-20T00:00:00.000Z</x:v>
      </x:c>
      <x:c r="E863" s="1" t="str">
        <x:v>seasonal_naive</x:v>
      </x:c>
      <x:c r="F863" s="10" t="n">
        <x:v>218</x:v>
      </x:c>
      <x:c r="G863" s="10" t="n">
        <x:v>114</x:v>
      </x:c>
      <x:c r="H863" s="10" t="n">
        <x:f>ABS(G863-F863)</x:f>
        <x:v>104</x:v>
      </x:c>
      <x:c r="I863" s="10" t="n">
        <x:f>G863-F863</x:f>
        <x:v>-104</x:v>
      </x:c>
    </x:row>
    <x:row r="864" ht="20" customHeight="1">
      <x:c r="A864" s="1" t="str">
        <x:v>22197</x:v>
      </x:c>
      <x:c r="B864" s="10" t="n">
        <x:v>3</x:v>
      </x:c>
      <x:c r="C864" s="9" t="d">
        <x:v>2011-11-16T00:00:00.000Z</x:v>
      </x:c>
      <x:c r="D864" s="9" t="d">
        <x:v>2011-11-21T00:00:00.000Z</x:v>
      </x:c>
      <x:c r="E864" s="1" t="str">
        <x:v>seasonal_naive</x:v>
      </x:c>
      <x:c r="F864" s="10" t="n">
        <x:v>349</x:v>
      </x:c>
      <x:c r="G864" s="10" t="n">
        <x:v>1767</x:v>
      </x:c>
      <x:c r="H864" s="10" t="n">
        <x:f>ABS(G864-F864)</x:f>
        <x:v>1418</x:v>
      </x:c>
      <x:c r="I864" s="10" t="n">
        <x:f>G864-F864</x:f>
        <x:v>1418</x:v>
      </x:c>
    </x:row>
    <x:row r="865" ht="20" customHeight="1">
      <x:c r="A865" s="1" t="str">
        <x:v>22197</x:v>
      </x:c>
      <x:c r="B865" s="10" t="n">
        <x:v>3</x:v>
      </x:c>
      <x:c r="C865" s="9" t="d">
        <x:v>2011-11-16T00:00:00.000Z</x:v>
      </x:c>
      <x:c r="D865" s="9" t="d">
        <x:v>2011-11-22T00:00:00.000Z</x:v>
      </x:c>
      <x:c r="E865" s="1" t="str">
        <x:v>seasonal_naive</x:v>
      </x:c>
      <x:c r="F865" s="10" t="n">
        <x:v>1162</x:v>
      </x:c>
      <x:c r="G865" s="10" t="n">
        <x:v>221</x:v>
      </x:c>
      <x:c r="H865" s="10" t="n">
        <x:f>ABS(G865-F865)</x:f>
        <x:v>941</x:v>
      </x:c>
      <x:c r="I865" s="10" t="n">
        <x:f>G865-F865</x:f>
        <x:v>-941</x:v>
      </x:c>
    </x:row>
    <x:row r="866" ht="20" customHeight="1">
      <x:c r="A866" s="1" t="str">
        <x:v>22197</x:v>
      </x:c>
      <x:c r="B866" s="10" t="n">
        <x:v>3</x:v>
      </x:c>
      <x:c r="C866" s="9" t="d">
        <x:v>2011-11-16T00:00:00.000Z</x:v>
      </x:c>
      <x:c r="D866" s="9" t="d">
        <x:v>2011-11-23T00:00:00.000Z</x:v>
      </x:c>
      <x:c r="E866" s="1" t="str">
        <x:v>seasonal_naive</x:v>
      </x:c>
      <x:c r="F866" s="10" t="n">
        <x:v>497</x:v>
      </x:c>
      <x:c r="G866" s="10" t="n">
        <x:v>352</x:v>
      </x:c>
      <x:c r="H866" s="10" t="n">
        <x:f>ABS(G866-F866)</x:f>
        <x:v>145</x:v>
      </x:c>
      <x:c r="I866" s="10" t="n">
        <x:f>G866-F866</x:f>
        <x:v>-145</x:v>
      </x:c>
    </x:row>
    <x:row r="867" ht="20" customHeight="1">
      <x:c r="A867" s="1" t="str">
        <x:v>22197</x:v>
      </x:c>
      <x:c r="B867" s="10" t="n">
        <x:v>3</x:v>
      </x:c>
      <x:c r="C867" s="9" t="d">
        <x:v>2011-11-16T00:00:00.000Z</x:v>
      </x:c>
      <x:c r="D867" s="9" t="d">
        <x:v>2011-11-24T00:00:00.000Z</x:v>
      </x:c>
      <x:c r="E867" s="1" t="str">
        <x:v>seasonal_naive</x:v>
      </x:c>
      <x:c r="F867" s="10" t="n">
        <x:v>558</x:v>
      </x:c>
      <x:c r="G867" s="10" t="n">
        <x:v>339</x:v>
      </x:c>
      <x:c r="H867" s="10" t="n">
        <x:f>ABS(G867-F867)</x:f>
        <x:v>219</x:v>
      </x:c>
      <x:c r="I867" s="10" t="n">
        <x:f>G867-F867</x:f>
        <x:v>-219</x:v>
      </x:c>
    </x:row>
    <x:row r="868" ht="20" customHeight="1">
      <x:c r="A868" s="1" t="str">
        <x:v>22197</x:v>
      </x:c>
      <x:c r="B868" s="10" t="n">
        <x:v>3</x:v>
      </x:c>
      <x:c r="C868" s="9" t="d">
        <x:v>2011-11-16T00:00:00.000Z</x:v>
      </x:c>
      <x:c r="D868" s="9" t="d">
        <x:v>2011-11-25T00:00:00.000Z</x:v>
      </x:c>
      <x:c r="E868" s="1" t="str">
        <x:v>seasonal_naive</x:v>
      </x:c>
      <x:c r="F868" s="10" t="n">
        <x:v>342</x:v>
      </x:c>
      <x:c r="G868" s="10" t="n">
        <x:v>184</x:v>
      </x:c>
      <x:c r="H868" s="10" t="n">
        <x:f>ABS(G868-F868)</x:f>
        <x:v>158</x:v>
      </x:c>
      <x:c r="I868" s="10" t="n">
        <x:f>G868-F868</x:f>
        <x:v>-158</x:v>
      </x:c>
    </x:row>
    <x:row r="869" ht="20" customHeight="1">
      <x:c r="A869" s="1" t="str">
        <x:v>22197</x:v>
      </x:c>
      <x:c r="B869" s="10" t="n">
        <x:v>3</x:v>
      </x:c>
      <x:c r="C869" s="9" t="d">
        <x:v>2011-11-16T00:00:00.000Z</x:v>
      </x:c>
      <x:c r="D869" s="9" t="d">
        <x:v>2011-11-26T00:00:00.000Z</x:v>
      </x:c>
      <x:c r="E869" s="1" t="str">
        <x:v>seasonal_naive</x:v>
      </x:c>
      <x:c r="F869" s="10" t="n">
        <x:v>0</x:v>
      </x:c>
      <x:c r="G869" s="10" t="n">
        <x:v>0</x:v>
      </x:c>
      <x:c r="H869" s="10" t="n">
        <x:f>ABS(G869-F869)</x:f>
        <x:v>0</x:v>
      </x:c>
      <x:c r="I869" s="10" t="n">
        <x:f>G869-F869</x:f>
        <x:v>0</x:v>
      </x:c>
    </x:row>
    <x:row r="870" ht="20" customHeight="1">
      <x:c r="A870" s="1" t="str">
        <x:v>22197</x:v>
      </x:c>
      <x:c r="B870" s="10" t="n">
        <x:v>3</x:v>
      </x:c>
      <x:c r="C870" s="9" t="d">
        <x:v>2011-11-16T00:00:00.000Z</x:v>
      </x:c>
      <x:c r="D870" s="9" t="d">
        <x:v>2011-11-27T00:00:00.000Z</x:v>
      </x:c>
      <x:c r="E870" s="1" t="str">
        <x:v>seasonal_naive</x:v>
      </x:c>
      <x:c r="F870" s="10" t="n">
        <x:v>47</x:v>
      </x:c>
      <x:c r="G870" s="10" t="n">
        <x:v>114</x:v>
      </x:c>
      <x:c r="H870" s="10" t="n">
        <x:f>ABS(G870-F870)</x:f>
        <x:v>67</x:v>
      </x:c>
      <x:c r="I870" s="10" t="n">
        <x:f>G870-F870</x:f>
        <x:v>67</x:v>
      </x:c>
    </x:row>
    <x:row r="871" ht="20" customHeight="1">
      <x:c r="A871" s="1" t="str">
        <x:v>22197</x:v>
      </x:c>
      <x:c r="B871" s="10" t="n">
        <x:v>3</x:v>
      </x:c>
      <x:c r="C871" s="9" t="d">
        <x:v>2011-11-16T00:00:00.000Z</x:v>
      </x:c>
      <x:c r="D871" s="9" t="d">
        <x:v>2011-11-28T00:00:00.000Z</x:v>
      </x:c>
      <x:c r="E871" s="1" t="str">
        <x:v>seasonal_naive</x:v>
      </x:c>
      <x:c r="F871" s="10" t="n">
        <x:v>244</x:v>
      </x:c>
      <x:c r="G871" s="10" t="n">
        <x:v>1767</x:v>
      </x:c>
      <x:c r="H871" s="10" t="n">
        <x:f>ABS(G871-F871)</x:f>
        <x:v>1523</x:v>
      </x:c>
      <x:c r="I871" s="10" t="n">
        <x:f>G871-F871</x:f>
        <x:v>1523</x:v>
      </x:c>
    </x:row>
    <x:row r="872" ht="20" customHeight="1">
      <x:c r="A872" s="1" t="str">
        <x:v>22197</x:v>
      </x:c>
      <x:c r="B872" s="10" t="n">
        <x:v>3</x:v>
      </x:c>
      <x:c r="C872" s="9" t="d">
        <x:v>2011-11-16T00:00:00.000Z</x:v>
      </x:c>
      <x:c r="D872" s="9" t="d">
        <x:v>2011-11-29T00:00:00.000Z</x:v>
      </x:c>
      <x:c r="E872" s="1" t="str">
        <x:v>seasonal_naive</x:v>
      </x:c>
      <x:c r="F872" s="10" t="n">
        <x:v>796</x:v>
      </x:c>
      <x:c r="G872" s="10" t="n">
        <x:v>221</x:v>
      </x:c>
      <x:c r="H872" s="10" t="n">
        <x:f>ABS(G872-F872)</x:f>
        <x:v>575</x:v>
      </x:c>
      <x:c r="I872" s="10" t="n">
        <x:f>G872-F872</x:f>
        <x:v>-575</x:v>
      </x:c>
    </x:row>
    <x:row r="873" ht="20" customHeight="1">
      <x:c r="A873" s="1" t="str">
        <x:v>22197</x:v>
      </x:c>
      <x:c r="B873" s="10" t="n">
        <x:v>3</x:v>
      </x:c>
      <x:c r="C873" s="9" t="d">
        <x:v>2011-11-16T00:00:00.000Z</x:v>
      </x:c>
      <x:c r="D873" s="9" t="d">
        <x:v>2011-11-30T00:00:00.000Z</x:v>
      </x:c>
      <x:c r="E873" s="1" t="str">
        <x:v>seasonal_naive</x:v>
      </x:c>
      <x:c r="F873" s="10" t="n">
        <x:v>470</x:v>
      </x:c>
      <x:c r="G873" s="10" t="n">
        <x:v>352</x:v>
      </x:c>
      <x:c r="H873" s="10" t="n">
        <x:f>ABS(G873-F873)</x:f>
        <x:v>118</x:v>
      </x:c>
      <x:c r="I873" s="10" t="n">
        <x:f>G873-F873</x:f>
        <x:v>-118</x:v>
      </x:c>
    </x:row>
    <x:row r="874" ht="20" customHeight="1">
      <x:c r="A874" s="1" t="str">
        <x:v>22197</x:v>
      </x:c>
      <x:c r="B874" s="10" t="n">
        <x:v>3</x:v>
      </x:c>
      <x:c r="C874" s="9" t="d">
        <x:v>2011-11-16T00:00:00.000Z</x:v>
      </x:c>
      <x:c r="D874" s="9" t="d">
        <x:v>2011-11-17T00:00:00.000Z</x:v>
      </x:c>
      <x:c r="E874" s="1" t="str">
        <x:v>ridge</x:v>
      </x:c>
      <x:c r="F874" s="10" t="n">
        <x:v>135</x:v>
      </x:c>
      <x:c r="G874" s="10" t="n">
        <x:v>323.8425660904</x:v>
      </x:c>
      <x:c r="H874" s="10" t="n">
        <x:f>ABS(G874-F874)</x:f>
        <x:v>188.8425660904</x:v>
      </x:c>
      <x:c r="I874" s="10" t="n">
        <x:f>G874-F874</x:f>
        <x:v>188.8425660904</x:v>
      </x:c>
    </x:row>
    <x:row r="875" ht="20" customHeight="1">
      <x:c r="A875" s="1" t="str">
        <x:v>22197</x:v>
      </x:c>
      <x:c r="B875" s="10" t="n">
        <x:v>3</x:v>
      </x:c>
      <x:c r="C875" s="9" t="d">
        <x:v>2011-11-16T00:00:00.000Z</x:v>
      </x:c>
      <x:c r="D875" s="9" t="d">
        <x:v>2011-11-18T00:00:00.000Z</x:v>
      </x:c>
      <x:c r="E875" s="1" t="str">
        <x:v>ridge</x:v>
      </x:c>
      <x:c r="F875" s="10" t="n">
        <x:v>449</x:v>
      </x:c>
      <x:c r="G875" s="10" t="n">
        <x:v>271.3699666311</x:v>
      </x:c>
      <x:c r="H875" s="10" t="n">
        <x:f>ABS(G875-F875)</x:f>
        <x:v>177.6300333689</x:v>
      </x:c>
      <x:c r="I875" s="10" t="n">
        <x:f>G875-F875</x:f>
        <x:v>-177.6300333689</x:v>
      </x:c>
    </x:row>
    <x:row r="876" ht="20" customHeight="1">
      <x:c r="A876" s="1" t="str">
        <x:v>22197</x:v>
      </x:c>
      <x:c r="B876" s="10" t="n">
        <x:v>3</x:v>
      </x:c>
      <x:c r="C876" s="9" t="d">
        <x:v>2011-11-16T00:00:00.000Z</x:v>
      </x:c>
      <x:c r="D876" s="9" t="d">
        <x:v>2011-11-19T00:00:00.000Z</x:v>
      </x:c>
      <x:c r="E876" s="1" t="str">
        <x:v>ridge</x:v>
      </x:c>
      <x:c r="F876" s="10" t="n">
        <x:v>0</x:v>
      </x:c>
      <x:c r="G876" s="10" t="n">
        <x:v>199.0445831315</x:v>
      </x:c>
      <x:c r="H876" s="10" t="n">
        <x:f>ABS(G876-F876)</x:f>
        <x:v>199.0445831315</x:v>
      </x:c>
      <x:c r="I876" s="10" t="n">
        <x:f>G876-F876</x:f>
        <x:v>199.0445831315</x:v>
      </x:c>
    </x:row>
    <x:row r="877" ht="20" customHeight="1">
      <x:c r="A877" s="1" t="str">
        <x:v>22197</x:v>
      </x:c>
      <x:c r="B877" s="10" t="n">
        <x:v>3</x:v>
      </x:c>
      <x:c r="C877" s="9" t="d">
        <x:v>2011-11-16T00:00:00.000Z</x:v>
      </x:c>
      <x:c r="D877" s="9" t="d">
        <x:v>2011-11-20T00:00:00.000Z</x:v>
      </x:c>
      <x:c r="E877" s="1" t="str">
        <x:v>ridge</x:v>
      </x:c>
      <x:c r="F877" s="10" t="n">
        <x:v>218</x:v>
      </x:c>
      <x:c r="G877" s="10" t="n">
        <x:v>186.0137563665</x:v>
      </x:c>
      <x:c r="H877" s="10" t="n">
        <x:f>ABS(G877-F877)</x:f>
        <x:v>31.98624363350001</x:v>
      </x:c>
      <x:c r="I877" s="10" t="n">
        <x:f>G877-F877</x:f>
        <x:v>-31.98624363350001</x:v>
      </x:c>
    </x:row>
    <x:row r="878" ht="20" customHeight="1">
      <x:c r="A878" s="1" t="str">
        <x:v>22197</x:v>
      </x:c>
      <x:c r="B878" s="10" t="n">
        <x:v>3</x:v>
      </x:c>
      <x:c r="C878" s="9" t="d">
        <x:v>2011-11-16T00:00:00.000Z</x:v>
      </x:c>
      <x:c r="D878" s="9" t="d">
        <x:v>2011-11-21T00:00:00.000Z</x:v>
      </x:c>
      <x:c r="E878" s="1" t="str">
        <x:v>ridge</x:v>
      </x:c>
      <x:c r="F878" s="10" t="n">
        <x:v>349</x:v>
      </x:c>
      <x:c r="G878" s="10" t="n">
        <x:v>464.092294524</x:v>
      </x:c>
      <x:c r="H878" s="10" t="n">
        <x:f>ABS(G878-F878)</x:f>
        <x:v>115.09229452400001</x:v>
      </x:c>
      <x:c r="I878" s="10" t="n">
        <x:f>G878-F878</x:f>
        <x:v>115.09229452400001</x:v>
      </x:c>
    </x:row>
    <x:row r="879" ht="20" customHeight="1">
      <x:c r="A879" s="1" t="str">
        <x:v>22197</x:v>
      </x:c>
      <x:c r="B879" s="10" t="n">
        <x:v>3</x:v>
      </x:c>
      <x:c r="C879" s="9" t="d">
        <x:v>2011-11-16T00:00:00.000Z</x:v>
      </x:c>
      <x:c r="D879" s="9" t="d">
        <x:v>2011-11-22T00:00:00.000Z</x:v>
      </x:c>
      <x:c r="E879" s="1" t="str">
        <x:v>ridge</x:v>
      </x:c>
      <x:c r="F879" s="10" t="n">
        <x:v>1162</x:v>
      </x:c>
      <x:c r="G879" s="10" t="n">
        <x:v>260.2073342964</x:v>
      </x:c>
      <x:c r="H879" s="10" t="n">
        <x:f>ABS(G879-F879)</x:f>
        <x:v>901.7926657036</x:v>
      </x:c>
      <x:c r="I879" s="10" t="n">
        <x:f>G879-F879</x:f>
        <x:v>-901.7926657036</x:v>
      </x:c>
    </x:row>
    <x:row r="880" ht="20" customHeight="1">
      <x:c r="A880" s="1" t="str">
        <x:v>22197</x:v>
      </x:c>
      <x:c r="B880" s="10" t="n">
        <x:v>3</x:v>
      </x:c>
      <x:c r="C880" s="9" t="d">
        <x:v>2011-11-16T00:00:00.000Z</x:v>
      </x:c>
      <x:c r="D880" s="9" t="d">
        <x:v>2011-11-23T00:00:00.000Z</x:v>
      </x:c>
      <x:c r="E880" s="1" t="str">
        <x:v>ridge</x:v>
      </x:c>
      <x:c r="F880" s="10" t="n">
        <x:v>497</x:v>
      </x:c>
      <x:c r="G880" s="10" t="n">
        <x:v>314.4109018131</x:v>
      </x:c>
      <x:c r="H880" s="10" t="n">
        <x:f>ABS(G880-F880)</x:f>
        <x:v>182.5890981869</x:v>
      </x:c>
      <x:c r="I880" s="10" t="n">
        <x:f>G880-F880</x:f>
        <x:v>-182.5890981869</x:v>
      </x:c>
    </x:row>
    <x:row r="881" ht="20" customHeight="1">
      <x:c r="A881" s="1" t="str">
        <x:v>22197</x:v>
      </x:c>
      <x:c r="B881" s="10" t="n">
        <x:v>3</x:v>
      </x:c>
      <x:c r="C881" s="9" t="d">
        <x:v>2011-11-16T00:00:00.000Z</x:v>
      </x:c>
      <x:c r="D881" s="9" t="d">
        <x:v>2011-11-24T00:00:00.000Z</x:v>
      </x:c>
      <x:c r="E881" s="1" t="str">
        <x:v>ridge</x:v>
      </x:c>
      <x:c r="F881" s="10" t="n">
        <x:v>558</x:v>
      </x:c>
      <x:c r="G881" s="10" t="n">
        <x:v>343.1019705082</x:v>
      </x:c>
      <x:c r="H881" s="10" t="n">
        <x:f>ABS(G881-F881)</x:f>
        <x:v>214.8980294918</x:v>
      </x:c>
      <x:c r="I881" s="10" t="n">
        <x:f>G881-F881</x:f>
        <x:v>-214.8980294918</x:v>
      </x:c>
    </x:row>
    <x:row r="882" ht="20" customHeight="1">
      <x:c r="A882" s="1" t="str">
        <x:v>22197</x:v>
      </x:c>
      <x:c r="B882" s="10" t="n">
        <x:v>3</x:v>
      </x:c>
      <x:c r="C882" s="9" t="d">
        <x:v>2011-11-16T00:00:00.000Z</x:v>
      </x:c>
      <x:c r="D882" s="9" t="d">
        <x:v>2011-11-25T00:00:00.000Z</x:v>
      </x:c>
      <x:c r="E882" s="1" t="str">
        <x:v>ridge</x:v>
      </x:c>
      <x:c r="F882" s="10" t="n">
        <x:v>342</x:v>
      </x:c>
      <x:c r="G882" s="10" t="n">
        <x:v>314.506587092</x:v>
      </x:c>
      <x:c r="H882" s="10" t="n">
        <x:f>ABS(G882-F882)</x:f>
        <x:v>27.493412907999982</x:v>
      </x:c>
      <x:c r="I882" s="10" t="n">
        <x:f>G882-F882</x:f>
        <x:v>-27.493412907999982</x:v>
      </x:c>
    </x:row>
    <x:row r="883" ht="20" customHeight="1">
      <x:c r="A883" s="1" t="str">
        <x:v>22197</x:v>
      </x:c>
      <x:c r="B883" s="10" t="n">
        <x:v>3</x:v>
      </x:c>
      <x:c r="C883" s="9" t="d">
        <x:v>2011-11-16T00:00:00.000Z</x:v>
      </x:c>
      <x:c r="D883" s="9" t="d">
        <x:v>2011-11-26T00:00:00.000Z</x:v>
      </x:c>
      <x:c r="E883" s="1" t="str">
        <x:v>ridge</x:v>
      </x:c>
      <x:c r="F883" s="10" t="n">
        <x:v>0</x:v>
      </x:c>
      <x:c r="G883" s="10" t="n">
        <x:v>230.6453773752</x:v>
      </x:c>
      <x:c r="H883" s="10" t="n">
        <x:f>ABS(G883-F883)</x:f>
        <x:v>230.6453773752</x:v>
      </x:c>
      <x:c r="I883" s="10" t="n">
        <x:f>G883-F883</x:f>
        <x:v>230.6453773752</x:v>
      </x:c>
    </x:row>
    <x:row r="884" ht="20" customHeight="1">
      <x:c r="A884" s="1" t="str">
        <x:v>22197</x:v>
      </x:c>
      <x:c r="B884" s="10" t="n">
        <x:v>3</x:v>
      </x:c>
      <x:c r="C884" s="9" t="d">
        <x:v>2011-11-16T00:00:00.000Z</x:v>
      </x:c>
      <x:c r="D884" s="9" t="d">
        <x:v>2011-11-27T00:00:00.000Z</x:v>
      </x:c>
      <x:c r="E884" s="1" t="str">
        <x:v>ridge</x:v>
      </x:c>
      <x:c r="F884" s="10" t="n">
        <x:v>47</x:v>
      </x:c>
      <x:c r="G884" s="10" t="n">
        <x:v>199.8678885473</x:v>
      </x:c>
      <x:c r="H884" s="10" t="n">
        <x:f>ABS(G884-F884)</x:f>
        <x:v>152.8678885473</x:v>
      </x:c>
      <x:c r="I884" s="10" t="n">
        <x:f>G884-F884</x:f>
        <x:v>152.8678885473</x:v>
      </x:c>
    </x:row>
    <x:row r="885" ht="20" customHeight="1">
      <x:c r="A885" s="1" t="str">
        <x:v>22197</x:v>
      </x:c>
      <x:c r="B885" s="10" t="n">
        <x:v>3</x:v>
      </x:c>
      <x:c r="C885" s="9" t="d">
        <x:v>2011-11-16T00:00:00.000Z</x:v>
      </x:c>
      <x:c r="D885" s="9" t="d">
        <x:v>2011-11-28T00:00:00.000Z</x:v>
      </x:c>
      <x:c r="E885" s="1" t="str">
        <x:v>ridge</x:v>
      </x:c>
      <x:c r="F885" s="10" t="n">
        <x:v>244</x:v>
      </x:c>
      <x:c r="G885" s="10" t="n">
        <x:v>222.4676450153</x:v>
      </x:c>
      <x:c r="H885" s="10" t="n">
        <x:f>ABS(G885-F885)</x:f>
        <x:v>21.532354984699992</x:v>
      </x:c>
      <x:c r="I885" s="10" t="n">
        <x:f>G885-F885</x:f>
        <x:v>-21.532354984699992</x:v>
      </x:c>
    </x:row>
    <x:row r="886" ht="20" customHeight="1">
      <x:c r="A886" s="1" t="str">
        <x:v>22197</x:v>
      </x:c>
      <x:c r="B886" s="10" t="n">
        <x:v>3</x:v>
      </x:c>
      <x:c r="C886" s="9" t="d">
        <x:v>2011-11-16T00:00:00.000Z</x:v>
      </x:c>
      <x:c r="D886" s="9" t="d">
        <x:v>2011-11-29T00:00:00.000Z</x:v>
      </x:c>
      <x:c r="E886" s="1" t="str">
        <x:v>ridge</x:v>
      </x:c>
      <x:c r="F886" s="10" t="n">
        <x:v>796</x:v>
      </x:c>
      <x:c r="G886" s="10" t="n">
        <x:v>261.1446031259</x:v>
      </x:c>
      <x:c r="H886" s="10" t="n">
        <x:f>ABS(G886-F886)</x:f>
        <x:v>534.8553968741</x:v>
      </x:c>
      <x:c r="I886" s="10" t="n">
        <x:f>G886-F886</x:f>
        <x:v>-534.8553968741</x:v>
      </x:c>
    </x:row>
    <x:row r="887" ht="20" customHeight="1">
      <x:c r="A887" s="1" t="str">
        <x:v>22197</x:v>
      </x:c>
      <x:c r="B887" s="10" t="n">
        <x:v>3</x:v>
      </x:c>
      <x:c r="C887" s="9" t="d">
        <x:v>2011-11-16T00:00:00.000Z</x:v>
      </x:c>
      <x:c r="D887" s="9" t="d">
        <x:v>2011-11-30T00:00:00.000Z</x:v>
      </x:c>
      <x:c r="E887" s="1" t="str">
        <x:v>ridge</x:v>
      </x:c>
      <x:c r="F887" s="10" t="n">
        <x:v>470</x:v>
      </x:c>
      <x:c r="G887" s="10" t="n">
        <x:v>310.3133654764</x:v>
      </x:c>
      <x:c r="H887" s="10" t="n">
        <x:f>ABS(G887-F887)</x:f>
        <x:v>159.6866345236</x:v>
      </x:c>
      <x:c r="I887" s="10" t="n">
        <x:f>G887-F887</x:f>
        <x:v>-159.6866345236</x:v>
      </x:c>
    </x:row>
    <x:row r="888" ht="20" customHeight="1">
      <x:c r="A888" s="1" t="str">
        <x:v>22423</x:v>
      </x:c>
      <x:c r="B888" s="10" t="n">
        <x:v>1</x:v>
      </x:c>
      <x:c r="C888" s="9" t="d">
        <x:v>2011-10-19T00:00:00.000Z</x:v>
      </x:c>
      <x:c r="D888" s="9" t="d">
        <x:v>2011-10-20T00:00:00.000Z</x:v>
      </x:c>
      <x:c r="E888" s="1" t="str">
        <x:v>naive</x:v>
      </x:c>
      <x:c r="F888" s="10" t="n">
        <x:v>109</x:v>
      </x:c>
      <x:c r="G888" s="10" t="n">
        <x:v>46</x:v>
      </x:c>
      <x:c r="H888" s="10" t="n">
        <x:f>ABS(G888-F888)</x:f>
        <x:v>63</x:v>
      </x:c>
      <x:c r="I888" s="10" t="n">
        <x:f>G888-F888</x:f>
        <x:v>-63</x:v>
      </x:c>
    </x:row>
    <x:row r="889" ht="20" customHeight="1">
      <x:c r="A889" s="1" t="str">
        <x:v>22423</x:v>
      </x:c>
      <x:c r="B889" s="10" t="n">
        <x:v>1</x:v>
      </x:c>
      <x:c r="C889" s="9" t="d">
        <x:v>2011-10-19T00:00:00.000Z</x:v>
      </x:c>
      <x:c r="D889" s="9" t="d">
        <x:v>2011-10-21T00:00:00.000Z</x:v>
      </x:c>
      <x:c r="E889" s="1" t="str">
        <x:v>naive</x:v>
      </x:c>
      <x:c r="F889" s="10" t="n">
        <x:v>29</x:v>
      </x:c>
      <x:c r="G889" s="10" t="n">
        <x:v>46</x:v>
      </x:c>
      <x:c r="H889" s="10" t="n">
        <x:f>ABS(G889-F889)</x:f>
        <x:v>17</x:v>
      </x:c>
      <x:c r="I889" s="10" t="n">
        <x:f>G889-F889</x:f>
        <x:v>17</x:v>
      </x:c>
    </x:row>
    <x:row r="890" ht="20" customHeight="1">
      <x:c r="A890" s="1" t="str">
        <x:v>22423</x:v>
      </x:c>
      <x:c r="B890" s="10" t="n">
        <x:v>1</x:v>
      </x:c>
      <x:c r="C890" s="9" t="d">
        <x:v>2011-10-19T00:00:00.000Z</x:v>
      </x:c>
      <x:c r="D890" s="9" t="d">
        <x:v>2011-10-22T00:00:00.000Z</x:v>
      </x:c>
      <x:c r="E890" s="1" t="str">
        <x:v>naive</x:v>
      </x:c>
      <x:c r="F890" s="10" t="n">
        <x:v>0</x:v>
      </x:c>
      <x:c r="G890" s="10" t="n">
        <x:v>46</x:v>
      </x:c>
      <x:c r="H890" s="10" t="n">
        <x:f>ABS(G890-F890)</x:f>
        <x:v>46</x:v>
      </x:c>
      <x:c r="I890" s="10" t="n">
        <x:f>G890-F890</x:f>
        <x:v>46</x:v>
      </x:c>
    </x:row>
    <x:row r="891" ht="20" customHeight="1">
      <x:c r="A891" s="1" t="str">
        <x:v>22423</x:v>
      </x:c>
      <x:c r="B891" s="10" t="n">
        <x:v>1</x:v>
      </x:c>
      <x:c r="C891" s="9" t="d">
        <x:v>2011-10-19T00:00:00.000Z</x:v>
      </x:c>
      <x:c r="D891" s="9" t="d">
        <x:v>2011-10-23T00:00:00.000Z</x:v>
      </x:c>
      <x:c r="E891" s="1" t="str">
        <x:v>naive</x:v>
      </x:c>
      <x:c r="F891" s="10" t="n">
        <x:v>6</x:v>
      </x:c>
      <x:c r="G891" s="10" t="n">
        <x:v>46</x:v>
      </x:c>
      <x:c r="H891" s="10" t="n">
        <x:f>ABS(G891-F891)</x:f>
        <x:v>40</x:v>
      </x:c>
      <x:c r="I891" s="10" t="n">
        <x:f>G891-F891</x:f>
        <x:v>40</x:v>
      </x:c>
    </x:row>
    <x:row r="892" ht="20" customHeight="1">
      <x:c r="A892" s="1" t="str">
        <x:v>22423</x:v>
      </x:c>
      <x:c r="B892" s="10" t="n">
        <x:v>1</x:v>
      </x:c>
      <x:c r="C892" s="9" t="d">
        <x:v>2011-10-19T00:00:00.000Z</x:v>
      </x:c>
      <x:c r="D892" s="9" t="d">
        <x:v>2011-10-24T00:00:00.000Z</x:v>
      </x:c>
      <x:c r="E892" s="1" t="str">
        <x:v>naive</x:v>
      </x:c>
      <x:c r="F892" s="10" t="n">
        <x:v>5</x:v>
      </x:c>
      <x:c r="G892" s="10" t="n">
        <x:v>46</x:v>
      </x:c>
      <x:c r="H892" s="10" t="n">
        <x:f>ABS(G892-F892)</x:f>
        <x:v>41</x:v>
      </x:c>
      <x:c r="I892" s="10" t="n">
        <x:f>G892-F892</x:f>
        <x:v>41</x:v>
      </x:c>
    </x:row>
    <x:row r="893" ht="20" customHeight="1">
      <x:c r="A893" s="1" t="str">
        <x:v>22423</x:v>
      </x:c>
      <x:c r="B893" s="10" t="n">
        <x:v>1</x:v>
      </x:c>
      <x:c r="C893" s="9" t="d">
        <x:v>2011-10-19T00:00:00.000Z</x:v>
      </x:c>
      <x:c r="D893" s="9" t="d">
        <x:v>2011-10-25T00:00:00.000Z</x:v>
      </x:c>
      <x:c r="E893" s="1" t="str">
        <x:v>naive</x:v>
      </x:c>
      <x:c r="F893" s="10" t="n">
        <x:v>13</x:v>
      </x:c>
      <x:c r="G893" s="10" t="n">
        <x:v>46</x:v>
      </x:c>
      <x:c r="H893" s="10" t="n">
        <x:f>ABS(G893-F893)</x:f>
        <x:v>33</x:v>
      </x:c>
      <x:c r="I893" s="10" t="n">
        <x:f>G893-F893</x:f>
        <x:v>33</x:v>
      </x:c>
    </x:row>
    <x:row r="894" ht="20" customHeight="1">
      <x:c r="A894" s="1" t="str">
        <x:v>22423</x:v>
      </x:c>
      <x:c r="B894" s="10" t="n">
        <x:v>1</x:v>
      </x:c>
      <x:c r="C894" s="9" t="d">
        <x:v>2011-10-19T00:00:00.000Z</x:v>
      </x:c>
      <x:c r="D894" s="9" t="d">
        <x:v>2011-10-26T00:00:00.000Z</x:v>
      </x:c>
      <x:c r="E894" s="1" t="str">
        <x:v>naive</x:v>
      </x:c>
      <x:c r="F894" s="10" t="n">
        <x:v>18</x:v>
      </x:c>
      <x:c r="G894" s="10" t="n">
        <x:v>46</x:v>
      </x:c>
      <x:c r="H894" s="10" t="n">
        <x:f>ABS(G894-F894)</x:f>
        <x:v>28</x:v>
      </x:c>
      <x:c r="I894" s="10" t="n">
        <x:f>G894-F894</x:f>
        <x:v>28</x:v>
      </x:c>
    </x:row>
    <x:row r="895" ht="20" customHeight="1">
      <x:c r="A895" s="1" t="str">
        <x:v>22423</x:v>
      </x:c>
      <x:c r="B895" s="10" t="n">
        <x:v>1</x:v>
      </x:c>
      <x:c r="C895" s="9" t="d">
        <x:v>2011-10-19T00:00:00.000Z</x:v>
      </x:c>
      <x:c r="D895" s="9" t="d">
        <x:v>2011-10-27T00:00:00.000Z</x:v>
      </x:c>
      <x:c r="E895" s="1" t="str">
        <x:v>naive</x:v>
      </x:c>
      <x:c r="F895" s="10" t="n">
        <x:v>28</x:v>
      </x:c>
      <x:c r="G895" s="10" t="n">
        <x:v>46</x:v>
      </x:c>
      <x:c r="H895" s="10" t="n">
        <x:f>ABS(G895-F895)</x:f>
        <x:v>18</x:v>
      </x:c>
      <x:c r="I895" s="10" t="n">
        <x:f>G895-F895</x:f>
        <x:v>18</x:v>
      </x:c>
    </x:row>
    <x:row r="896" ht="20" customHeight="1">
      <x:c r="A896" s="1" t="str">
        <x:v>22423</x:v>
      </x:c>
      <x:c r="B896" s="10" t="n">
        <x:v>1</x:v>
      </x:c>
      <x:c r="C896" s="9" t="d">
        <x:v>2011-10-19T00:00:00.000Z</x:v>
      </x:c>
      <x:c r="D896" s="9" t="d">
        <x:v>2011-10-28T00:00:00.000Z</x:v>
      </x:c>
      <x:c r="E896" s="1" t="str">
        <x:v>naive</x:v>
      </x:c>
      <x:c r="F896" s="10" t="n">
        <x:v>52</x:v>
      </x:c>
      <x:c r="G896" s="10" t="n">
        <x:v>46</x:v>
      </x:c>
      <x:c r="H896" s="10" t="n">
        <x:f>ABS(G896-F896)</x:f>
        <x:v>6</x:v>
      </x:c>
      <x:c r="I896" s="10" t="n">
        <x:f>G896-F896</x:f>
        <x:v>-6</x:v>
      </x:c>
    </x:row>
    <x:row r="897" ht="20" customHeight="1">
      <x:c r="A897" s="1" t="str">
        <x:v>22423</x:v>
      </x:c>
      <x:c r="B897" s="10" t="n">
        <x:v>1</x:v>
      </x:c>
      <x:c r="C897" s="9" t="d">
        <x:v>2011-10-19T00:00:00.000Z</x:v>
      </x:c>
      <x:c r="D897" s="9" t="d">
        <x:v>2011-10-29T00:00:00.000Z</x:v>
      </x:c>
      <x:c r="E897" s="1" t="str">
        <x:v>naive</x:v>
      </x:c>
      <x:c r="F897" s="10" t="n">
        <x:v>0</x:v>
      </x:c>
      <x:c r="G897" s="10" t="n">
        <x:v>46</x:v>
      </x:c>
      <x:c r="H897" s="10" t="n">
        <x:f>ABS(G897-F897)</x:f>
        <x:v>46</x:v>
      </x:c>
      <x:c r="I897" s="10" t="n">
        <x:f>G897-F897</x:f>
        <x:v>46</x:v>
      </x:c>
    </x:row>
    <x:row r="898" ht="20" customHeight="1">
      <x:c r="A898" s="1" t="str">
        <x:v>22423</x:v>
      </x:c>
      <x:c r="B898" s="10" t="n">
        <x:v>1</x:v>
      </x:c>
      <x:c r="C898" s="9" t="d">
        <x:v>2011-10-19T00:00:00.000Z</x:v>
      </x:c>
      <x:c r="D898" s="9" t="d">
        <x:v>2011-10-30T00:00:00.000Z</x:v>
      </x:c>
      <x:c r="E898" s="1" t="str">
        <x:v>naive</x:v>
      </x:c>
      <x:c r="F898" s="10" t="n">
        <x:v>19</x:v>
      </x:c>
      <x:c r="G898" s="10" t="n">
        <x:v>46</x:v>
      </x:c>
      <x:c r="H898" s="10" t="n">
        <x:f>ABS(G898-F898)</x:f>
        <x:v>27</x:v>
      </x:c>
      <x:c r="I898" s="10" t="n">
        <x:f>G898-F898</x:f>
        <x:v>27</x:v>
      </x:c>
    </x:row>
    <x:row r="899" ht="20" customHeight="1">
      <x:c r="A899" s="1" t="str">
        <x:v>22423</x:v>
      </x:c>
      <x:c r="B899" s="10" t="n">
        <x:v>1</x:v>
      </x:c>
      <x:c r="C899" s="9" t="d">
        <x:v>2011-10-19T00:00:00.000Z</x:v>
      </x:c>
      <x:c r="D899" s="9" t="d">
        <x:v>2011-10-31T00:00:00.000Z</x:v>
      </x:c>
      <x:c r="E899" s="1" t="str">
        <x:v>naive</x:v>
      </x:c>
      <x:c r="F899" s="10" t="n">
        <x:v>52</x:v>
      </x:c>
      <x:c r="G899" s="10" t="n">
        <x:v>46</x:v>
      </x:c>
      <x:c r="H899" s="10" t="n">
        <x:f>ABS(G899-F899)</x:f>
        <x:v>6</x:v>
      </x:c>
      <x:c r="I899" s="10" t="n">
        <x:f>G899-F899</x:f>
        <x:v>-6</x:v>
      </x:c>
    </x:row>
    <x:row r="900" ht="20" customHeight="1">
      <x:c r="A900" s="1" t="str">
        <x:v>22423</x:v>
      </x:c>
      <x:c r="B900" s="10" t="n">
        <x:v>1</x:v>
      </x:c>
      <x:c r="C900" s="9" t="d">
        <x:v>2011-10-19T00:00:00.000Z</x:v>
      </x:c>
      <x:c r="D900" s="9" t="d">
        <x:v>2011-11-01T00:00:00.000Z</x:v>
      </x:c>
      <x:c r="E900" s="1" t="str">
        <x:v>naive</x:v>
      </x:c>
      <x:c r="F900" s="10" t="n">
        <x:v>21</x:v>
      </x:c>
      <x:c r="G900" s="10" t="n">
        <x:v>46</x:v>
      </x:c>
      <x:c r="H900" s="10" t="n">
        <x:f>ABS(G900-F900)</x:f>
        <x:v>25</x:v>
      </x:c>
      <x:c r="I900" s="10" t="n">
        <x:f>G900-F900</x:f>
        <x:v>25</x:v>
      </x:c>
    </x:row>
    <x:row r="901" ht="20" customHeight="1">
      <x:c r="A901" s="1" t="str">
        <x:v>22423</x:v>
      </x:c>
      <x:c r="B901" s="10" t="n">
        <x:v>1</x:v>
      </x:c>
      <x:c r="C901" s="9" t="d">
        <x:v>2011-10-19T00:00:00.000Z</x:v>
      </x:c>
      <x:c r="D901" s="9" t="d">
        <x:v>2011-11-02T00:00:00.000Z</x:v>
      </x:c>
      <x:c r="E901" s="1" t="str">
        <x:v>naive</x:v>
      </x:c>
      <x:c r="F901" s="10" t="n">
        <x:v>5</x:v>
      </x:c>
      <x:c r="G901" s="10" t="n">
        <x:v>46</x:v>
      </x:c>
      <x:c r="H901" s="10" t="n">
        <x:f>ABS(G901-F901)</x:f>
        <x:v>41</x:v>
      </x:c>
      <x:c r="I901" s="10" t="n">
        <x:f>G901-F901</x:f>
        <x:v>41</x:v>
      </x:c>
    </x:row>
    <x:row r="902" ht="20" customHeight="1">
      <x:c r="A902" s="1" t="str">
        <x:v>22423</x:v>
      </x:c>
      <x:c r="B902" s="10" t="n">
        <x:v>1</x:v>
      </x:c>
      <x:c r="C902" s="9" t="d">
        <x:v>2011-10-19T00:00:00.000Z</x:v>
      </x:c>
      <x:c r="D902" s="9" t="d">
        <x:v>2011-10-20T00:00:00.000Z</x:v>
      </x:c>
      <x:c r="E902" s="1" t="str">
        <x:v>seasonal_naive</x:v>
      </x:c>
      <x:c r="F902" s="10" t="n">
        <x:v>109</x:v>
      </x:c>
      <x:c r="G902" s="10" t="n">
        <x:v>57</x:v>
      </x:c>
      <x:c r="H902" s="10" t="n">
        <x:f>ABS(G902-F902)</x:f>
        <x:v>52</x:v>
      </x:c>
      <x:c r="I902" s="10" t="n">
        <x:f>G902-F902</x:f>
        <x:v>-52</x:v>
      </x:c>
    </x:row>
    <x:row r="903" ht="20" customHeight="1">
      <x:c r="A903" s="1" t="str">
        <x:v>22423</x:v>
      </x:c>
      <x:c r="B903" s="10" t="n">
        <x:v>1</x:v>
      </x:c>
      <x:c r="C903" s="9" t="d">
        <x:v>2011-10-19T00:00:00.000Z</x:v>
      </x:c>
      <x:c r="D903" s="9" t="d">
        <x:v>2011-10-21T00:00:00.000Z</x:v>
      </x:c>
      <x:c r="E903" s="1" t="str">
        <x:v>seasonal_naive</x:v>
      </x:c>
      <x:c r="F903" s="10" t="n">
        <x:v>29</x:v>
      </x:c>
      <x:c r="G903" s="10" t="n">
        <x:v>49</x:v>
      </x:c>
      <x:c r="H903" s="10" t="n">
        <x:f>ABS(G903-F903)</x:f>
        <x:v>20</x:v>
      </x:c>
      <x:c r="I903" s="10" t="n">
        <x:f>G903-F903</x:f>
        <x:v>20</x:v>
      </x:c>
    </x:row>
    <x:row r="904" ht="20" customHeight="1">
      <x:c r="A904" s="1" t="str">
        <x:v>22423</x:v>
      </x:c>
      <x:c r="B904" s="10" t="n">
        <x:v>1</x:v>
      </x:c>
      <x:c r="C904" s="9" t="d">
        <x:v>2011-10-19T00:00:00.000Z</x:v>
      </x:c>
      <x:c r="D904" s="9" t="d">
        <x:v>2011-10-22T00:00:00.000Z</x:v>
      </x:c>
      <x:c r="E904" s="1" t="str">
        <x:v>seasonal_naive</x:v>
      </x:c>
      <x:c r="F904" s="10" t="n">
        <x:v>0</x:v>
      </x:c>
      <x:c r="G904" s="10" t="n">
        <x:v>0</x:v>
      </x:c>
      <x:c r="H904" s="10" t="n">
        <x:f>ABS(G904-F904)</x:f>
        <x:v>0</x:v>
      </x:c>
      <x:c r="I904" s="10" t="n">
        <x:f>G904-F904</x:f>
        <x:v>0</x:v>
      </x:c>
    </x:row>
    <x:row r="905" ht="20" customHeight="1">
      <x:c r="A905" s="1" t="str">
        <x:v>22423</x:v>
      </x:c>
      <x:c r="B905" s="10" t="n">
        <x:v>1</x:v>
      </x:c>
      <x:c r="C905" s="9" t="d">
        <x:v>2011-10-19T00:00:00.000Z</x:v>
      </x:c>
      <x:c r="D905" s="9" t="d">
        <x:v>2011-10-23T00:00:00.000Z</x:v>
      </x:c>
      <x:c r="E905" s="1" t="str">
        <x:v>seasonal_naive</x:v>
      </x:c>
      <x:c r="F905" s="10" t="n">
        <x:v>6</x:v>
      </x:c>
      <x:c r="G905" s="10" t="n">
        <x:v>22</x:v>
      </x:c>
      <x:c r="H905" s="10" t="n">
        <x:f>ABS(G905-F905)</x:f>
        <x:v>16</x:v>
      </x:c>
      <x:c r="I905" s="10" t="n">
        <x:f>G905-F905</x:f>
        <x:v>16</x:v>
      </x:c>
    </x:row>
    <x:row r="906" ht="20" customHeight="1">
      <x:c r="A906" s="1" t="str">
        <x:v>22423</x:v>
      </x:c>
      <x:c r="B906" s="10" t="n">
        <x:v>1</x:v>
      </x:c>
      <x:c r="C906" s="9" t="d">
        <x:v>2011-10-19T00:00:00.000Z</x:v>
      </x:c>
      <x:c r="D906" s="9" t="d">
        <x:v>2011-10-24T00:00:00.000Z</x:v>
      </x:c>
      <x:c r="E906" s="1" t="str">
        <x:v>seasonal_naive</x:v>
      </x:c>
      <x:c r="F906" s="10" t="n">
        <x:v>5</x:v>
      </x:c>
      <x:c r="G906" s="10" t="n">
        <x:v>50</x:v>
      </x:c>
      <x:c r="H906" s="10" t="n">
        <x:f>ABS(G906-F906)</x:f>
        <x:v>45</x:v>
      </x:c>
      <x:c r="I906" s="10" t="n">
        <x:f>G906-F906</x:f>
        <x:v>45</x:v>
      </x:c>
    </x:row>
    <x:row r="907" ht="20" customHeight="1">
      <x:c r="A907" s="1" t="str">
        <x:v>22423</x:v>
      </x:c>
      <x:c r="B907" s="10" t="n">
        <x:v>1</x:v>
      </x:c>
      <x:c r="C907" s="9" t="d">
        <x:v>2011-10-19T00:00:00.000Z</x:v>
      </x:c>
      <x:c r="D907" s="9" t="d">
        <x:v>2011-10-25T00:00:00.000Z</x:v>
      </x:c>
      <x:c r="E907" s="1" t="str">
        <x:v>seasonal_naive</x:v>
      </x:c>
      <x:c r="F907" s="10" t="n">
        <x:v>13</x:v>
      </x:c>
      <x:c r="G907" s="10" t="n">
        <x:v>28</x:v>
      </x:c>
      <x:c r="H907" s="10" t="n">
        <x:f>ABS(G907-F907)</x:f>
        <x:v>15</x:v>
      </x:c>
      <x:c r="I907" s="10" t="n">
        <x:f>G907-F907</x:f>
        <x:v>15</x:v>
      </x:c>
    </x:row>
    <x:row r="908" ht="20" customHeight="1">
      <x:c r="A908" s="1" t="str">
        <x:v>22423</x:v>
      </x:c>
      <x:c r="B908" s="10" t="n">
        <x:v>1</x:v>
      </x:c>
      <x:c r="C908" s="9" t="d">
        <x:v>2011-10-19T00:00:00.000Z</x:v>
      </x:c>
      <x:c r="D908" s="9" t="d">
        <x:v>2011-10-26T00:00:00.000Z</x:v>
      </x:c>
      <x:c r="E908" s="1" t="str">
        <x:v>seasonal_naive</x:v>
      </x:c>
      <x:c r="F908" s="10" t="n">
        <x:v>18</x:v>
      </x:c>
      <x:c r="G908" s="10" t="n">
        <x:v>46</x:v>
      </x:c>
      <x:c r="H908" s="10" t="n">
        <x:f>ABS(G908-F908)</x:f>
        <x:v>28</x:v>
      </x:c>
      <x:c r="I908" s="10" t="n">
        <x:f>G908-F908</x:f>
        <x:v>28</x:v>
      </x:c>
    </x:row>
    <x:row r="909" ht="20" customHeight="1">
      <x:c r="A909" s="1" t="str">
        <x:v>22423</x:v>
      </x:c>
      <x:c r="B909" s="10" t="n">
        <x:v>1</x:v>
      </x:c>
      <x:c r="C909" s="9" t="d">
        <x:v>2011-10-19T00:00:00.000Z</x:v>
      </x:c>
      <x:c r="D909" s="9" t="d">
        <x:v>2011-10-27T00:00:00.000Z</x:v>
      </x:c>
      <x:c r="E909" s="1" t="str">
        <x:v>seasonal_naive</x:v>
      </x:c>
      <x:c r="F909" s="10" t="n">
        <x:v>28</x:v>
      </x:c>
      <x:c r="G909" s="10" t="n">
        <x:v>57</x:v>
      </x:c>
      <x:c r="H909" s="10" t="n">
        <x:f>ABS(G909-F909)</x:f>
        <x:v>29</x:v>
      </x:c>
      <x:c r="I909" s="10" t="n">
        <x:f>G909-F909</x:f>
        <x:v>29</x:v>
      </x:c>
    </x:row>
    <x:row r="910" ht="20" customHeight="1">
      <x:c r="A910" s="1" t="str">
        <x:v>22423</x:v>
      </x:c>
      <x:c r="B910" s="10" t="n">
        <x:v>1</x:v>
      </x:c>
      <x:c r="C910" s="9" t="d">
        <x:v>2011-10-19T00:00:00.000Z</x:v>
      </x:c>
      <x:c r="D910" s="9" t="d">
        <x:v>2011-10-28T00:00:00.000Z</x:v>
      </x:c>
      <x:c r="E910" s="1" t="str">
        <x:v>seasonal_naive</x:v>
      </x:c>
      <x:c r="F910" s="10" t="n">
        <x:v>52</x:v>
      </x:c>
      <x:c r="G910" s="10" t="n">
        <x:v>49</x:v>
      </x:c>
      <x:c r="H910" s="10" t="n">
        <x:f>ABS(G910-F910)</x:f>
        <x:v>3</x:v>
      </x:c>
      <x:c r="I910" s="10" t="n">
        <x:f>G910-F910</x:f>
        <x:v>-3</x:v>
      </x:c>
    </x:row>
    <x:row r="911" ht="20" customHeight="1">
      <x:c r="A911" s="1" t="str">
        <x:v>22423</x:v>
      </x:c>
      <x:c r="B911" s="10" t="n">
        <x:v>1</x:v>
      </x:c>
      <x:c r="C911" s="9" t="d">
        <x:v>2011-10-19T00:00:00.000Z</x:v>
      </x:c>
      <x:c r="D911" s="9" t="d">
        <x:v>2011-10-29T00:00:00.000Z</x:v>
      </x:c>
      <x:c r="E911" s="1" t="str">
        <x:v>seasonal_naive</x:v>
      </x:c>
      <x:c r="F911" s="10" t="n">
        <x:v>0</x:v>
      </x:c>
      <x:c r="G911" s="10" t="n">
        <x:v>0</x:v>
      </x:c>
      <x:c r="H911" s="10" t="n">
        <x:f>ABS(G911-F911)</x:f>
        <x:v>0</x:v>
      </x:c>
      <x:c r="I911" s="10" t="n">
        <x:f>G911-F911</x:f>
        <x:v>0</x:v>
      </x:c>
    </x:row>
    <x:row r="912" ht="20" customHeight="1">
      <x:c r="A912" s="1" t="str">
        <x:v>22423</x:v>
      </x:c>
      <x:c r="B912" s="10" t="n">
        <x:v>1</x:v>
      </x:c>
      <x:c r="C912" s="9" t="d">
        <x:v>2011-10-19T00:00:00.000Z</x:v>
      </x:c>
      <x:c r="D912" s="9" t="d">
        <x:v>2011-10-30T00:00:00.000Z</x:v>
      </x:c>
      <x:c r="E912" s="1" t="str">
        <x:v>seasonal_naive</x:v>
      </x:c>
      <x:c r="F912" s="10" t="n">
        <x:v>19</x:v>
      </x:c>
      <x:c r="G912" s="10" t="n">
        <x:v>22</x:v>
      </x:c>
      <x:c r="H912" s="10" t="n">
        <x:f>ABS(G912-F912)</x:f>
        <x:v>3</x:v>
      </x:c>
      <x:c r="I912" s="10" t="n">
        <x:f>G912-F912</x:f>
        <x:v>3</x:v>
      </x:c>
    </x:row>
    <x:row r="913" ht="20" customHeight="1">
      <x:c r="A913" s="1" t="str">
        <x:v>22423</x:v>
      </x:c>
      <x:c r="B913" s="10" t="n">
        <x:v>1</x:v>
      </x:c>
      <x:c r="C913" s="9" t="d">
        <x:v>2011-10-19T00:00:00.000Z</x:v>
      </x:c>
      <x:c r="D913" s="9" t="d">
        <x:v>2011-10-31T00:00:00.000Z</x:v>
      </x:c>
      <x:c r="E913" s="1" t="str">
        <x:v>seasonal_naive</x:v>
      </x:c>
      <x:c r="F913" s="10" t="n">
        <x:v>52</x:v>
      </x:c>
      <x:c r="G913" s="10" t="n">
        <x:v>50</x:v>
      </x:c>
      <x:c r="H913" s="10" t="n">
        <x:f>ABS(G913-F913)</x:f>
        <x:v>2</x:v>
      </x:c>
      <x:c r="I913" s="10" t="n">
        <x:f>G913-F913</x:f>
        <x:v>-2</x:v>
      </x:c>
    </x:row>
    <x:row r="914" ht="20" customHeight="1">
      <x:c r="A914" s="1" t="str">
        <x:v>22423</x:v>
      </x:c>
      <x:c r="B914" s="10" t="n">
        <x:v>1</x:v>
      </x:c>
      <x:c r="C914" s="9" t="d">
        <x:v>2011-10-19T00:00:00.000Z</x:v>
      </x:c>
      <x:c r="D914" s="9" t="d">
        <x:v>2011-11-01T00:00:00.000Z</x:v>
      </x:c>
      <x:c r="E914" s="1" t="str">
        <x:v>seasonal_naive</x:v>
      </x:c>
      <x:c r="F914" s="10" t="n">
        <x:v>21</x:v>
      </x:c>
      <x:c r="G914" s="10" t="n">
        <x:v>28</x:v>
      </x:c>
      <x:c r="H914" s="10" t="n">
        <x:f>ABS(G914-F914)</x:f>
        <x:v>7</x:v>
      </x:c>
      <x:c r="I914" s="10" t="n">
        <x:f>G914-F914</x:f>
        <x:v>7</x:v>
      </x:c>
    </x:row>
    <x:row r="915" ht="20" customHeight="1">
      <x:c r="A915" s="1" t="str">
        <x:v>22423</x:v>
      </x:c>
      <x:c r="B915" s="10" t="n">
        <x:v>1</x:v>
      </x:c>
      <x:c r="C915" s="9" t="d">
        <x:v>2011-10-19T00:00:00.000Z</x:v>
      </x:c>
      <x:c r="D915" s="9" t="d">
        <x:v>2011-11-02T00:00:00.000Z</x:v>
      </x:c>
      <x:c r="E915" s="1" t="str">
        <x:v>seasonal_naive</x:v>
      </x:c>
      <x:c r="F915" s="10" t="n">
        <x:v>5</x:v>
      </x:c>
      <x:c r="G915" s="10" t="n">
        <x:v>46</x:v>
      </x:c>
      <x:c r="H915" s="10" t="n">
        <x:f>ABS(G915-F915)</x:f>
        <x:v>41</x:v>
      </x:c>
      <x:c r="I915" s="10" t="n">
        <x:f>G915-F915</x:f>
        <x:v>41</x:v>
      </x:c>
    </x:row>
    <x:row r="916" ht="20" customHeight="1">
      <x:c r="A916" s="1" t="str">
        <x:v>22423</x:v>
      </x:c>
      <x:c r="B916" s="10" t="n">
        <x:v>1</x:v>
      </x:c>
      <x:c r="C916" s="9" t="d">
        <x:v>2011-10-19T00:00:00.000Z</x:v>
      </x:c>
      <x:c r="D916" s="9" t="d">
        <x:v>2011-10-20T00:00:00.000Z</x:v>
      </x:c>
      <x:c r="E916" s="1" t="str">
        <x:v>ridge</x:v>
      </x:c>
      <x:c r="F916" s="10" t="n">
        <x:v>109</x:v>
      </x:c>
      <x:c r="G916" s="10" t="n">
        <x:v>56.0463320677</x:v>
      </x:c>
      <x:c r="H916" s="10" t="n">
        <x:f>ABS(G916-F916)</x:f>
        <x:v>52.9536679323</x:v>
      </x:c>
      <x:c r="I916" s="10" t="n">
        <x:f>G916-F916</x:f>
        <x:v>-52.9536679323</x:v>
      </x:c>
    </x:row>
    <x:row r="917" ht="20" customHeight="1">
      <x:c r="A917" s="1" t="str">
        <x:v>22423</x:v>
      </x:c>
      <x:c r="B917" s="10" t="n">
        <x:v>1</x:v>
      </x:c>
      <x:c r="C917" s="9" t="d">
        <x:v>2011-10-19T00:00:00.000Z</x:v>
      </x:c>
      <x:c r="D917" s="9" t="d">
        <x:v>2011-10-21T00:00:00.000Z</x:v>
      </x:c>
      <x:c r="E917" s="1" t="str">
        <x:v>ridge</x:v>
      </x:c>
      <x:c r="F917" s="10" t="n">
        <x:v>29</x:v>
      </x:c>
      <x:c r="G917" s="10" t="n">
        <x:v>34.6931184261</x:v>
      </x:c>
      <x:c r="H917" s="10" t="n">
        <x:f>ABS(G917-F917)</x:f>
        <x:v>5.6931184261</x:v>
      </x:c>
      <x:c r="I917" s="10" t="n">
        <x:f>G917-F917</x:f>
        <x:v>5.6931184261</x:v>
      </x:c>
    </x:row>
    <x:row r="918" ht="20" customHeight="1">
      <x:c r="A918" s="1" t="str">
        <x:v>22423</x:v>
      </x:c>
      <x:c r="B918" s="10" t="n">
        <x:v>1</x:v>
      </x:c>
      <x:c r="C918" s="9" t="d">
        <x:v>2011-10-19T00:00:00.000Z</x:v>
      </x:c>
      <x:c r="D918" s="9" t="d">
        <x:v>2011-10-22T00:00:00.000Z</x:v>
      </x:c>
      <x:c r="E918" s="1" t="str">
        <x:v>ridge</x:v>
      </x:c>
      <x:c r="F918" s="10" t="n">
        <x:v>0</x:v>
      </x:c>
      <x:c r="G918" s="10" t="n">
        <x:v>10.3099463514</x:v>
      </x:c>
      <x:c r="H918" s="10" t="n">
        <x:f>ABS(G918-F918)</x:f>
        <x:v>10.3099463514</x:v>
      </x:c>
      <x:c r="I918" s="10" t="n">
        <x:f>G918-F918</x:f>
        <x:v>10.3099463514</x:v>
      </x:c>
    </x:row>
    <x:row r="919" ht="20" customHeight="1">
      <x:c r="A919" s="1" t="str">
        <x:v>22423</x:v>
      </x:c>
      <x:c r="B919" s="10" t="n">
        <x:v>1</x:v>
      </x:c>
      <x:c r="C919" s="9" t="d">
        <x:v>2011-10-19T00:00:00.000Z</x:v>
      </x:c>
      <x:c r="D919" s="9" t="d">
        <x:v>2011-10-23T00:00:00.000Z</x:v>
      </x:c>
      <x:c r="E919" s="1" t="str">
        <x:v>ridge</x:v>
      </x:c>
      <x:c r="F919" s="10" t="n">
        <x:v>6</x:v>
      </x:c>
      <x:c r="G919" s="10" t="n">
        <x:v>12.2460163289</x:v>
      </x:c>
      <x:c r="H919" s="10" t="n">
        <x:f>ABS(G919-F919)</x:f>
        <x:v>6.2460163289</x:v>
      </x:c>
      <x:c r="I919" s="10" t="n">
        <x:f>G919-F919</x:f>
        <x:v>6.2460163289</x:v>
      </x:c>
    </x:row>
    <x:row r="920" ht="20" customHeight="1">
      <x:c r="A920" s="1" t="str">
        <x:v>22423</x:v>
      </x:c>
      <x:c r="B920" s="10" t="n">
        <x:v>1</x:v>
      </x:c>
      <x:c r="C920" s="9" t="d">
        <x:v>2011-10-19T00:00:00.000Z</x:v>
      </x:c>
      <x:c r="D920" s="9" t="d">
        <x:v>2011-10-24T00:00:00.000Z</x:v>
      </x:c>
      <x:c r="E920" s="1" t="str">
        <x:v>ridge</x:v>
      </x:c>
      <x:c r="F920" s="10" t="n">
        <x:v>5</x:v>
      </x:c>
      <x:c r="G920" s="10" t="n">
        <x:v>26.1659908119</x:v>
      </x:c>
      <x:c r="H920" s="10" t="n">
        <x:f>ABS(G920-F920)</x:f>
        <x:v>21.1659908119</x:v>
      </x:c>
      <x:c r="I920" s="10" t="n">
        <x:f>G920-F920</x:f>
        <x:v>21.1659908119</x:v>
      </x:c>
    </x:row>
    <x:row r="921" ht="20" customHeight="1">
      <x:c r="A921" s="1" t="str">
        <x:v>22423</x:v>
      </x:c>
      <x:c r="B921" s="10" t="n">
        <x:v>1</x:v>
      </x:c>
      <x:c r="C921" s="9" t="d">
        <x:v>2011-10-19T00:00:00.000Z</x:v>
      </x:c>
      <x:c r="D921" s="9" t="d">
        <x:v>2011-10-25T00:00:00.000Z</x:v>
      </x:c>
      <x:c r="E921" s="1" t="str">
        <x:v>ridge</x:v>
      </x:c>
      <x:c r="F921" s="10" t="n">
        <x:v>13</x:v>
      </x:c>
      <x:c r="G921" s="10" t="n">
        <x:v>36.7034129795</x:v>
      </x:c>
      <x:c r="H921" s="10" t="n">
        <x:f>ABS(G921-F921)</x:f>
        <x:v>23.7034129795</x:v>
      </x:c>
      <x:c r="I921" s="10" t="n">
        <x:f>G921-F921</x:f>
        <x:v>23.7034129795</x:v>
      </x:c>
    </x:row>
    <x:row r="922" ht="20" customHeight="1">
      <x:c r="A922" s="1" t="str">
        <x:v>22423</x:v>
      </x:c>
      <x:c r="B922" s="10" t="n">
        <x:v>1</x:v>
      </x:c>
      <x:c r="C922" s="9" t="d">
        <x:v>2011-10-19T00:00:00.000Z</x:v>
      </x:c>
      <x:c r="D922" s="9" t="d">
        <x:v>2011-10-26T00:00:00.000Z</x:v>
      </x:c>
      <x:c r="E922" s="1" t="str">
        <x:v>ridge</x:v>
      </x:c>
      <x:c r="F922" s="10" t="n">
        <x:v>18</x:v>
      </x:c>
      <x:c r="G922" s="10" t="n">
        <x:v>50.8136747539</x:v>
      </x:c>
      <x:c r="H922" s="10" t="n">
        <x:f>ABS(G922-F922)</x:f>
        <x:v>32.8136747539</x:v>
      </x:c>
      <x:c r="I922" s="10" t="n">
        <x:f>G922-F922</x:f>
        <x:v>32.8136747539</x:v>
      </x:c>
    </x:row>
    <x:row r="923" ht="20" customHeight="1">
      <x:c r="A923" s="1" t="str">
        <x:v>22423</x:v>
      </x:c>
      <x:c r="B923" s="10" t="n">
        <x:v>1</x:v>
      </x:c>
      <x:c r="C923" s="9" t="d">
        <x:v>2011-10-19T00:00:00.000Z</x:v>
      </x:c>
      <x:c r="D923" s="9" t="d">
        <x:v>2011-10-27T00:00:00.000Z</x:v>
      </x:c>
      <x:c r="E923" s="1" t="str">
        <x:v>ridge</x:v>
      </x:c>
      <x:c r="F923" s="10" t="n">
        <x:v>28</x:v>
      </x:c>
      <x:c r="G923" s="10" t="n">
        <x:v>52.7285189307</x:v>
      </x:c>
      <x:c r="H923" s="10" t="n">
        <x:f>ABS(G923-F923)</x:f>
        <x:v>24.728518930699998</x:v>
      </x:c>
      <x:c r="I923" s="10" t="n">
        <x:f>G923-F923</x:f>
        <x:v>24.728518930699998</x:v>
      </x:c>
    </x:row>
    <x:row r="924" ht="20" customHeight="1">
      <x:c r="A924" s="1" t="str">
        <x:v>22423</x:v>
      </x:c>
      <x:c r="B924" s="10" t="n">
        <x:v>1</x:v>
      </x:c>
      <x:c r="C924" s="9" t="d">
        <x:v>2011-10-19T00:00:00.000Z</x:v>
      </x:c>
      <x:c r="D924" s="9" t="d">
        <x:v>2011-10-28T00:00:00.000Z</x:v>
      </x:c>
      <x:c r="E924" s="1" t="str">
        <x:v>ridge</x:v>
      </x:c>
      <x:c r="F924" s="10" t="n">
        <x:v>52</x:v>
      </x:c>
      <x:c r="G924" s="10" t="n">
        <x:v>36.1397341478</x:v>
      </x:c>
      <x:c r="H924" s="10" t="n">
        <x:f>ABS(G924-F924)</x:f>
        <x:v>15.860265852200001</x:v>
      </x:c>
      <x:c r="I924" s="10" t="n">
        <x:f>G924-F924</x:f>
        <x:v>-15.860265852200001</x:v>
      </x:c>
    </x:row>
    <x:row r="925" ht="20" customHeight="1">
      <x:c r="A925" s="1" t="str">
        <x:v>22423</x:v>
      </x:c>
      <x:c r="B925" s="10" t="n">
        <x:v>1</x:v>
      </x:c>
      <x:c r="C925" s="9" t="d">
        <x:v>2011-10-19T00:00:00.000Z</x:v>
      </x:c>
      <x:c r="D925" s="9" t="d">
        <x:v>2011-10-29T00:00:00.000Z</x:v>
      </x:c>
      <x:c r="E925" s="1" t="str">
        <x:v>ridge</x:v>
      </x:c>
      <x:c r="F925" s="10" t="n">
        <x:v>0</x:v>
      </x:c>
      <x:c r="G925" s="10" t="n">
        <x:v>11.3525125614</x:v>
      </x:c>
      <x:c r="H925" s="10" t="n">
        <x:f>ABS(G925-F925)</x:f>
        <x:v>11.3525125614</x:v>
      </x:c>
      <x:c r="I925" s="10" t="n">
        <x:f>G925-F925</x:f>
        <x:v>11.3525125614</x:v>
      </x:c>
    </x:row>
    <x:row r="926" ht="20" customHeight="1">
      <x:c r="A926" s="1" t="str">
        <x:v>22423</x:v>
      </x:c>
      <x:c r="B926" s="10" t="n">
        <x:v>1</x:v>
      </x:c>
      <x:c r="C926" s="9" t="d">
        <x:v>2011-10-19T00:00:00.000Z</x:v>
      </x:c>
      <x:c r="D926" s="9" t="d">
        <x:v>2011-10-30T00:00:00.000Z</x:v>
      </x:c>
      <x:c r="E926" s="1" t="str">
        <x:v>ridge</x:v>
      </x:c>
      <x:c r="F926" s="10" t="n">
        <x:v>19</x:v>
      </x:c>
      <x:c r="G926" s="10" t="n">
        <x:v>9.8809444048</x:v>
      </x:c>
      <x:c r="H926" s="10" t="n">
        <x:f>ABS(G926-F926)</x:f>
        <x:v>9.1190555952</x:v>
      </x:c>
      <x:c r="I926" s="10" t="n">
        <x:f>G926-F926</x:f>
        <x:v>-9.1190555952</x:v>
      </x:c>
    </x:row>
    <x:row r="927" ht="20" customHeight="1">
      <x:c r="A927" s="1" t="str">
        <x:v>22423</x:v>
      </x:c>
      <x:c r="B927" s="10" t="n">
        <x:v>1</x:v>
      </x:c>
      <x:c r="C927" s="9" t="d">
        <x:v>2011-10-19T00:00:00.000Z</x:v>
      </x:c>
      <x:c r="D927" s="9" t="d">
        <x:v>2011-10-31T00:00:00.000Z</x:v>
      </x:c>
      <x:c r="E927" s="1" t="str">
        <x:v>ridge</x:v>
      </x:c>
      <x:c r="F927" s="10" t="n">
        <x:v>52</x:v>
      </x:c>
      <x:c r="G927" s="10" t="n">
        <x:v>24.2477144627</x:v>
      </x:c>
      <x:c r="H927" s="10" t="n">
        <x:f>ABS(G927-F927)</x:f>
        <x:v>27.7522855373</x:v>
      </x:c>
      <x:c r="I927" s="10" t="n">
        <x:f>G927-F927</x:f>
        <x:v>-27.7522855373</x:v>
      </x:c>
    </x:row>
    <x:row r="928" ht="20" customHeight="1">
      <x:c r="A928" s="1" t="str">
        <x:v>22423</x:v>
      </x:c>
      <x:c r="B928" s="10" t="n">
        <x:v>1</x:v>
      </x:c>
      <x:c r="C928" s="9" t="d">
        <x:v>2011-10-19T00:00:00.000Z</x:v>
      </x:c>
      <x:c r="D928" s="9" t="d">
        <x:v>2011-11-01T00:00:00.000Z</x:v>
      </x:c>
      <x:c r="E928" s="1" t="str">
        <x:v>ridge</x:v>
      </x:c>
      <x:c r="F928" s="10" t="n">
        <x:v>21</x:v>
      </x:c>
      <x:c r="G928" s="10" t="n">
        <x:v>37.2813891548</x:v>
      </x:c>
      <x:c r="H928" s="10" t="n">
        <x:f>ABS(G928-F928)</x:f>
        <x:v>16.281389154800003</x:v>
      </x:c>
      <x:c r="I928" s="10" t="n">
        <x:f>G928-F928</x:f>
        <x:v>16.281389154800003</x:v>
      </x:c>
    </x:row>
    <x:row r="929" ht="20" customHeight="1">
      <x:c r="A929" s="1" t="str">
        <x:v>22423</x:v>
      </x:c>
      <x:c r="B929" s="10" t="n">
        <x:v>1</x:v>
      </x:c>
      <x:c r="C929" s="9" t="d">
        <x:v>2011-10-19T00:00:00.000Z</x:v>
      </x:c>
      <x:c r="D929" s="9" t="d">
        <x:v>2011-11-02T00:00:00.000Z</x:v>
      </x:c>
      <x:c r="E929" s="1" t="str">
        <x:v>ridge</x:v>
      </x:c>
      <x:c r="F929" s="10" t="n">
        <x:v>5</x:v>
      </x:c>
      <x:c r="G929" s="10" t="n">
        <x:v>51.7112383458</x:v>
      </x:c>
      <x:c r="H929" s="10" t="n">
        <x:f>ABS(G929-F929)</x:f>
        <x:v>46.7112383458</x:v>
      </x:c>
      <x:c r="I929" s="10" t="n">
        <x:f>G929-F929</x:f>
        <x:v>46.7112383458</x:v>
      </x:c>
    </x:row>
    <x:row r="930" ht="20" customHeight="1">
      <x:c r="A930" s="1" t="str">
        <x:v>22423</x:v>
      </x:c>
      <x:c r="B930" s="10" t="n">
        <x:v>2</x:v>
      </x:c>
      <x:c r="C930" s="9" t="d">
        <x:v>2011-11-02T00:00:00.000Z</x:v>
      </x:c>
      <x:c r="D930" s="9" t="d">
        <x:v>2011-11-03T00:00:00.000Z</x:v>
      </x:c>
      <x:c r="E930" s="1" t="str">
        <x:v>naive</x:v>
      </x:c>
      <x:c r="F930" s="10" t="n">
        <x:v>65</x:v>
      </x:c>
      <x:c r="G930" s="10" t="n">
        <x:v>5</x:v>
      </x:c>
      <x:c r="H930" s="10" t="n">
        <x:f>ABS(G930-F930)</x:f>
        <x:v>60</x:v>
      </x:c>
      <x:c r="I930" s="10" t="n">
        <x:f>G930-F930</x:f>
        <x:v>-60</x:v>
      </x:c>
    </x:row>
    <x:row r="931" ht="20" customHeight="1">
      <x:c r="A931" s="1" t="str">
        <x:v>22423</x:v>
      </x:c>
      <x:c r="B931" s="10" t="n">
        <x:v>2</x:v>
      </x:c>
      <x:c r="C931" s="9" t="d">
        <x:v>2011-11-02T00:00:00.000Z</x:v>
      </x:c>
      <x:c r="D931" s="9" t="d">
        <x:v>2011-11-04T00:00:00.000Z</x:v>
      </x:c>
      <x:c r="E931" s="1" t="str">
        <x:v>naive</x:v>
      </x:c>
      <x:c r="F931" s="10" t="n">
        <x:v>111</x:v>
      </x:c>
      <x:c r="G931" s="10" t="n">
        <x:v>5</x:v>
      </x:c>
      <x:c r="H931" s="10" t="n">
        <x:f>ABS(G931-F931)</x:f>
        <x:v>106</x:v>
      </x:c>
      <x:c r="I931" s="10" t="n">
        <x:f>G931-F931</x:f>
        <x:v>-106</x:v>
      </x:c>
    </x:row>
    <x:row r="932" ht="20" customHeight="1">
      <x:c r="A932" s="1" t="str">
        <x:v>22423</x:v>
      </x:c>
      <x:c r="B932" s="10" t="n">
        <x:v>2</x:v>
      </x:c>
      <x:c r="C932" s="9" t="d">
        <x:v>2011-11-02T00:00:00.000Z</x:v>
      </x:c>
      <x:c r="D932" s="9" t="d">
        <x:v>2011-11-05T00:00:00.000Z</x:v>
      </x:c>
      <x:c r="E932" s="1" t="str">
        <x:v>naive</x:v>
      </x:c>
      <x:c r="F932" s="10" t="n">
        <x:v>0</x:v>
      </x:c>
      <x:c r="G932" s="10" t="n">
        <x:v>5</x:v>
      </x:c>
      <x:c r="H932" s="10" t="n">
        <x:f>ABS(G932-F932)</x:f>
        <x:v>5</x:v>
      </x:c>
      <x:c r="I932" s="10" t="n">
        <x:f>G932-F932</x:f>
        <x:v>5</x:v>
      </x:c>
    </x:row>
    <x:row r="933" ht="20" customHeight="1">
      <x:c r="A933" s="1" t="str">
        <x:v>22423</x:v>
      </x:c>
      <x:c r="B933" s="10" t="n">
        <x:v>2</x:v>
      </x:c>
      <x:c r="C933" s="9" t="d">
        <x:v>2011-11-02T00:00:00.000Z</x:v>
      </x:c>
      <x:c r="D933" s="9" t="d">
        <x:v>2011-11-06T00:00:00.000Z</x:v>
      </x:c>
      <x:c r="E933" s="1" t="str">
        <x:v>naive</x:v>
      </x:c>
      <x:c r="F933" s="10" t="n">
        <x:v>25</x:v>
      </x:c>
      <x:c r="G933" s="10" t="n">
        <x:v>5</x:v>
      </x:c>
      <x:c r="H933" s="10" t="n">
        <x:f>ABS(G933-F933)</x:f>
        <x:v>20</x:v>
      </x:c>
      <x:c r="I933" s="10" t="n">
        <x:f>G933-F933</x:f>
        <x:v>-20</x:v>
      </x:c>
    </x:row>
    <x:row r="934" ht="20" customHeight="1">
      <x:c r="A934" s="1" t="str">
        <x:v>22423</x:v>
      </x:c>
      <x:c r="B934" s="10" t="n">
        <x:v>2</x:v>
      </x:c>
      <x:c r="C934" s="9" t="d">
        <x:v>2011-11-02T00:00:00.000Z</x:v>
      </x:c>
      <x:c r="D934" s="9" t="d">
        <x:v>2011-11-07T00:00:00.000Z</x:v>
      </x:c>
      <x:c r="E934" s="1" t="str">
        <x:v>naive</x:v>
      </x:c>
      <x:c r="F934" s="10" t="n">
        <x:v>35</x:v>
      </x:c>
      <x:c r="G934" s="10" t="n">
        <x:v>5</x:v>
      </x:c>
      <x:c r="H934" s="10" t="n">
        <x:f>ABS(G934-F934)</x:f>
        <x:v>30</x:v>
      </x:c>
      <x:c r="I934" s="10" t="n">
        <x:f>G934-F934</x:f>
        <x:v>-30</x:v>
      </x:c>
    </x:row>
    <x:row r="935" ht="20" customHeight="1">
      <x:c r="A935" s="1" t="str">
        <x:v>22423</x:v>
      </x:c>
      <x:c r="B935" s="10" t="n">
        <x:v>2</x:v>
      </x:c>
      <x:c r="C935" s="9" t="d">
        <x:v>2011-11-02T00:00:00.000Z</x:v>
      </x:c>
      <x:c r="D935" s="9" t="d">
        <x:v>2011-11-08T00:00:00.000Z</x:v>
      </x:c>
      <x:c r="E935" s="1" t="str">
        <x:v>naive</x:v>
      </x:c>
      <x:c r="F935" s="10" t="n">
        <x:v>11</x:v>
      </x:c>
      <x:c r="G935" s="10" t="n">
        <x:v>5</x:v>
      </x:c>
      <x:c r="H935" s="10" t="n">
        <x:f>ABS(G935-F935)</x:f>
        <x:v>6</x:v>
      </x:c>
      <x:c r="I935" s="10" t="n">
        <x:f>G935-F935</x:f>
        <x:v>-6</x:v>
      </x:c>
    </x:row>
    <x:row r="936" ht="20" customHeight="1">
      <x:c r="A936" s="1" t="str">
        <x:v>22423</x:v>
      </x:c>
      <x:c r="B936" s="10" t="n">
        <x:v>2</x:v>
      </x:c>
      <x:c r="C936" s="9" t="d">
        <x:v>2011-11-02T00:00:00.000Z</x:v>
      </x:c>
      <x:c r="D936" s="9" t="d">
        <x:v>2011-11-09T00:00:00.000Z</x:v>
      </x:c>
      <x:c r="E936" s="1" t="str">
        <x:v>naive</x:v>
      </x:c>
      <x:c r="F936" s="10" t="n">
        <x:v>16</x:v>
      </x:c>
      <x:c r="G936" s="10" t="n">
        <x:v>5</x:v>
      </x:c>
      <x:c r="H936" s="10" t="n">
        <x:f>ABS(G936-F936)</x:f>
        <x:v>11</x:v>
      </x:c>
      <x:c r="I936" s="10" t="n">
        <x:f>G936-F936</x:f>
        <x:v>-11</x:v>
      </x:c>
    </x:row>
    <x:row r="937" ht="20" customHeight="1">
      <x:c r="A937" s="1" t="str">
        <x:v>22423</x:v>
      </x:c>
      <x:c r="B937" s="10" t="n">
        <x:v>2</x:v>
      </x:c>
      <x:c r="C937" s="9" t="d">
        <x:v>2011-11-02T00:00:00.000Z</x:v>
      </x:c>
      <x:c r="D937" s="9" t="d">
        <x:v>2011-11-10T00:00:00.000Z</x:v>
      </x:c>
      <x:c r="E937" s="1" t="str">
        <x:v>naive</x:v>
      </x:c>
      <x:c r="F937" s="10" t="n">
        <x:v>46</x:v>
      </x:c>
      <x:c r="G937" s="10" t="n">
        <x:v>5</x:v>
      </x:c>
      <x:c r="H937" s="10" t="n">
        <x:f>ABS(G937-F937)</x:f>
        <x:v>41</x:v>
      </x:c>
      <x:c r="I937" s="10" t="n">
        <x:f>G937-F937</x:f>
        <x:v>-41</x:v>
      </x:c>
    </x:row>
    <x:row r="938" ht="20" customHeight="1">
      <x:c r="A938" s="1" t="str">
        <x:v>22423</x:v>
      </x:c>
      <x:c r="B938" s="10" t="n">
        <x:v>2</x:v>
      </x:c>
      <x:c r="C938" s="9" t="d">
        <x:v>2011-11-02T00:00:00.000Z</x:v>
      </x:c>
      <x:c r="D938" s="9" t="d">
        <x:v>2011-11-11T00:00:00.000Z</x:v>
      </x:c>
      <x:c r="E938" s="1" t="str">
        <x:v>naive</x:v>
      </x:c>
      <x:c r="F938" s="10" t="n">
        <x:v>32</x:v>
      </x:c>
      <x:c r="G938" s="10" t="n">
        <x:v>5</x:v>
      </x:c>
      <x:c r="H938" s="10" t="n">
        <x:f>ABS(G938-F938)</x:f>
        <x:v>27</x:v>
      </x:c>
      <x:c r="I938" s="10" t="n">
        <x:f>G938-F938</x:f>
        <x:v>-27</x:v>
      </x:c>
    </x:row>
    <x:row r="939" ht="20" customHeight="1">
      <x:c r="A939" s="1" t="str">
        <x:v>22423</x:v>
      </x:c>
      <x:c r="B939" s="10" t="n">
        <x:v>2</x:v>
      </x:c>
      <x:c r="C939" s="9" t="d">
        <x:v>2011-11-02T00:00:00.000Z</x:v>
      </x:c>
      <x:c r="D939" s="9" t="d">
        <x:v>2011-11-12T00:00:00.000Z</x:v>
      </x:c>
      <x:c r="E939" s="1" t="str">
        <x:v>naive</x:v>
      </x:c>
      <x:c r="F939" s="10" t="n">
        <x:v>0</x:v>
      </x:c>
      <x:c r="G939" s="10" t="n">
        <x:v>5</x:v>
      </x:c>
      <x:c r="H939" s="10" t="n">
        <x:f>ABS(G939-F939)</x:f>
        <x:v>5</x:v>
      </x:c>
      <x:c r="I939" s="10" t="n">
        <x:f>G939-F939</x:f>
        <x:v>5</x:v>
      </x:c>
    </x:row>
    <x:row r="940" ht="20" customHeight="1">
      <x:c r="A940" s="1" t="str">
        <x:v>22423</x:v>
      </x:c>
      <x:c r="B940" s="10" t="n">
        <x:v>2</x:v>
      </x:c>
      <x:c r="C940" s="9" t="d">
        <x:v>2011-11-02T00:00:00.000Z</x:v>
      </x:c>
      <x:c r="D940" s="9" t="d">
        <x:v>2011-11-13T00:00:00.000Z</x:v>
      </x:c>
      <x:c r="E940" s="1" t="str">
        <x:v>naive</x:v>
      </x:c>
      <x:c r="F940" s="10" t="n">
        <x:v>29</x:v>
      </x:c>
      <x:c r="G940" s="10" t="n">
        <x:v>5</x:v>
      </x:c>
      <x:c r="H940" s="10" t="n">
        <x:f>ABS(G940-F940)</x:f>
        <x:v>24</x:v>
      </x:c>
      <x:c r="I940" s="10" t="n">
        <x:f>G940-F940</x:f>
        <x:v>-24</x:v>
      </x:c>
    </x:row>
    <x:row r="941" ht="20" customHeight="1">
      <x:c r="A941" s="1" t="str">
        <x:v>22423</x:v>
      </x:c>
      <x:c r="B941" s="10" t="n">
        <x:v>2</x:v>
      </x:c>
      <x:c r="C941" s="9" t="d">
        <x:v>2011-11-02T00:00:00.000Z</x:v>
      </x:c>
      <x:c r="D941" s="9" t="d">
        <x:v>2011-11-14T00:00:00.000Z</x:v>
      </x:c>
      <x:c r="E941" s="1" t="str">
        <x:v>naive</x:v>
      </x:c>
      <x:c r="F941" s="10" t="n">
        <x:v>7</x:v>
      </x:c>
      <x:c r="G941" s="10" t="n">
        <x:v>5</x:v>
      </x:c>
      <x:c r="H941" s="10" t="n">
        <x:f>ABS(G941-F941)</x:f>
        <x:v>2</x:v>
      </x:c>
      <x:c r="I941" s="10" t="n">
        <x:f>G941-F941</x:f>
        <x:v>-2</x:v>
      </x:c>
    </x:row>
    <x:row r="942" ht="20" customHeight="1">
      <x:c r="A942" s="1" t="str">
        <x:v>22423</x:v>
      </x:c>
      <x:c r="B942" s="10" t="n">
        <x:v>2</x:v>
      </x:c>
      <x:c r="C942" s="9" t="d">
        <x:v>2011-11-02T00:00:00.000Z</x:v>
      </x:c>
      <x:c r="D942" s="9" t="d">
        <x:v>2011-11-15T00:00:00.000Z</x:v>
      </x:c>
      <x:c r="E942" s="1" t="str">
        <x:v>naive</x:v>
      </x:c>
      <x:c r="F942" s="10" t="n">
        <x:v>45</x:v>
      </x:c>
      <x:c r="G942" s="10" t="n">
        <x:v>5</x:v>
      </x:c>
      <x:c r="H942" s="10" t="n">
        <x:f>ABS(G942-F942)</x:f>
        <x:v>40</x:v>
      </x:c>
      <x:c r="I942" s="10" t="n">
        <x:f>G942-F942</x:f>
        <x:v>-40</x:v>
      </x:c>
    </x:row>
    <x:row r="943" ht="20" customHeight="1">
      <x:c r="A943" s="1" t="str">
        <x:v>22423</x:v>
      </x:c>
      <x:c r="B943" s="10" t="n">
        <x:v>2</x:v>
      </x:c>
      <x:c r="C943" s="9" t="d">
        <x:v>2011-11-02T00:00:00.000Z</x:v>
      </x:c>
      <x:c r="D943" s="9" t="d">
        <x:v>2011-11-16T00:00:00.000Z</x:v>
      </x:c>
      <x:c r="E943" s="1" t="str">
        <x:v>naive</x:v>
      </x:c>
      <x:c r="F943" s="10" t="n">
        <x:v>15</x:v>
      </x:c>
      <x:c r="G943" s="10" t="n">
        <x:v>5</x:v>
      </x:c>
      <x:c r="H943" s="10" t="n">
        <x:f>ABS(G943-F943)</x:f>
        <x:v>10</x:v>
      </x:c>
      <x:c r="I943" s="10" t="n">
        <x:f>G943-F943</x:f>
        <x:v>-10</x:v>
      </x:c>
    </x:row>
    <x:row r="944" ht="20" customHeight="1">
      <x:c r="A944" s="1" t="str">
        <x:v>22423</x:v>
      </x:c>
      <x:c r="B944" s="10" t="n">
        <x:v>2</x:v>
      </x:c>
      <x:c r="C944" s="9" t="d">
        <x:v>2011-11-02T00:00:00.000Z</x:v>
      </x:c>
      <x:c r="D944" s="9" t="d">
        <x:v>2011-11-03T00:00:00.000Z</x:v>
      </x:c>
      <x:c r="E944" s="1" t="str">
        <x:v>seasonal_naive</x:v>
      </x:c>
      <x:c r="F944" s="10" t="n">
        <x:v>65</x:v>
      </x:c>
      <x:c r="G944" s="10" t="n">
        <x:v>28</x:v>
      </x:c>
      <x:c r="H944" s="10" t="n">
        <x:f>ABS(G944-F944)</x:f>
        <x:v>37</x:v>
      </x:c>
      <x:c r="I944" s="10" t="n">
        <x:f>G944-F944</x:f>
        <x:v>-37</x:v>
      </x:c>
    </x:row>
    <x:row r="945" ht="20" customHeight="1">
      <x:c r="A945" s="1" t="str">
        <x:v>22423</x:v>
      </x:c>
      <x:c r="B945" s="10" t="n">
        <x:v>2</x:v>
      </x:c>
      <x:c r="C945" s="9" t="d">
        <x:v>2011-11-02T00:00:00.000Z</x:v>
      </x:c>
      <x:c r="D945" s="9" t="d">
        <x:v>2011-11-04T00:00:00.000Z</x:v>
      </x:c>
      <x:c r="E945" s="1" t="str">
        <x:v>seasonal_naive</x:v>
      </x:c>
      <x:c r="F945" s="10" t="n">
        <x:v>111</x:v>
      </x:c>
      <x:c r="G945" s="10" t="n">
        <x:v>52</x:v>
      </x:c>
      <x:c r="H945" s="10" t="n">
        <x:f>ABS(G945-F945)</x:f>
        <x:v>59</x:v>
      </x:c>
      <x:c r="I945" s="10" t="n">
        <x:f>G945-F945</x:f>
        <x:v>-59</x:v>
      </x:c>
    </x:row>
    <x:row r="946" ht="20" customHeight="1">
      <x:c r="A946" s="1" t="str">
        <x:v>22423</x:v>
      </x:c>
      <x:c r="B946" s="10" t="n">
        <x:v>2</x:v>
      </x:c>
      <x:c r="C946" s="9" t="d">
        <x:v>2011-11-02T00:00:00.000Z</x:v>
      </x:c>
      <x:c r="D946" s="9" t="d">
        <x:v>2011-11-05T00:00:00.000Z</x:v>
      </x:c>
      <x:c r="E946" s="1" t="str">
        <x:v>seasonal_naive</x:v>
      </x:c>
      <x:c r="F946" s="10" t="n">
        <x:v>0</x:v>
      </x:c>
      <x:c r="G946" s="10" t="n">
        <x:v>0</x:v>
      </x:c>
      <x:c r="H946" s="10" t="n">
        <x:f>ABS(G946-F946)</x:f>
        <x:v>0</x:v>
      </x:c>
      <x:c r="I946" s="10" t="n">
        <x:f>G946-F946</x:f>
        <x:v>0</x:v>
      </x:c>
    </x:row>
    <x:row r="947" ht="20" customHeight="1">
      <x:c r="A947" s="1" t="str">
        <x:v>22423</x:v>
      </x:c>
      <x:c r="B947" s="10" t="n">
        <x:v>2</x:v>
      </x:c>
      <x:c r="C947" s="9" t="d">
        <x:v>2011-11-02T00:00:00.000Z</x:v>
      </x:c>
      <x:c r="D947" s="9" t="d">
        <x:v>2011-11-06T00:00:00.000Z</x:v>
      </x:c>
      <x:c r="E947" s="1" t="str">
        <x:v>seasonal_naive</x:v>
      </x:c>
      <x:c r="F947" s="10" t="n">
        <x:v>25</x:v>
      </x:c>
      <x:c r="G947" s="10" t="n">
        <x:v>19</x:v>
      </x:c>
      <x:c r="H947" s="10" t="n">
        <x:f>ABS(G947-F947)</x:f>
        <x:v>6</x:v>
      </x:c>
      <x:c r="I947" s="10" t="n">
        <x:f>G947-F947</x:f>
        <x:v>-6</x:v>
      </x:c>
    </x:row>
    <x:row r="948" ht="20" customHeight="1">
      <x:c r="A948" s="1" t="str">
        <x:v>22423</x:v>
      </x:c>
      <x:c r="B948" s="10" t="n">
        <x:v>2</x:v>
      </x:c>
      <x:c r="C948" s="9" t="d">
        <x:v>2011-11-02T00:00:00.000Z</x:v>
      </x:c>
      <x:c r="D948" s="9" t="d">
        <x:v>2011-11-07T00:00:00.000Z</x:v>
      </x:c>
      <x:c r="E948" s="1" t="str">
        <x:v>seasonal_naive</x:v>
      </x:c>
      <x:c r="F948" s="10" t="n">
        <x:v>35</x:v>
      </x:c>
      <x:c r="G948" s="10" t="n">
        <x:v>52</x:v>
      </x:c>
      <x:c r="H948" s="10" t="n">
        <x:f>ABS(G948-F948)</x:f>
        <x:v>17</x:v>
      </x:c>
      <x:c r="I948" s="10" t="n">
        <x:f>G948-F948</x:f>
        <x:v>17</x:v>
      </x:c>
    </x:row>
    <x:row r="949" ht="20" customHeight="1">
      <x:c r="A949" s="1" t="str">
        <x:v>22423</x:v>
      </x:c>
      <x:c r="B949" s="10" t="n">
        <x:v>2</x:v>
      </x:c>
      <x:c r="C949" s="9" t="d">
        <x:v>2011-11-02T00:00:00.000Z</x:v>
      </x:c>
      <x:c r="D949" s="9" t="d">
        <x:v>2011-11-08T00:00:00.000Z</x:v>
      </x:c>
      <x:c r="E949" s="1" t="str">
        <x:v>seasonal_naive</x:v>
      </x:c>
      <x:c r="F949" s="10" t="n">
        <x:v>11</x:v>
      </x:c>
      <x:c r="G949" s="10" t="n">
        <x:v>21</x:v>
      </x:c>
      <x:c r="H949" s="10" t="n">
        <x:f>ABS(G949-F949)</x:f>
        <x:v>10</x:v>
      </x:c>
      <x:c r="I949" s="10" t="n">
        <x:f>G949-F949</x:f>
        <x:v>10</x:v>
      </x:c>
    </x:row>
    <x:row r="950" ht="20" customHeight="1">
      <x:c r="A950" s="1" t="str">
        <x:v>22423</x:v>
      </x:c>
      <x:c r="B950" s="10" t="n">
        <x:v>2</x:v>
      </x:c>
      <x:c r="C950" s="9" t="d">
        <x:v>2011-11-02T00:00:00.000Z</x:v>
      </x:c>
      <x:c r="D950" s="9" t="d">
        <x:v>2011-11-09T00:00:00.000Z</x:v>
      </x:c>
      <x:c r="E950" s="1" t="str">
        <x:v>seasonal_naive</x:v>
      </x:c>
      <x:c r="F950" s="10" t="n">
        <x:v>16</x:v>
      </x:c>
      <x:c r="G950" s="10" t="n">
        <x:v>5</x:v>
      </x:c>
      <x:c r="H950" s="10" t="n">
        <x:f>ABS(G950-F950)</x:f>
        <x:v>11</x:v>
      </x:c>
      <x:c r="I950" s="10" t="n">
        <x:f>G950-F950</x:f>
        <x:v>-11</x:v>
      </x:c>
    </x:row>
    <x:row r="951" ht="20" customHeight="1">
      <x:c r="A951" s="1" t="str">
        <x:v>22423</x:v>
      </x:c>
      <x:c r="B951" s="10" t="n">
        <x:v>2</x:v>
      </x:c>
      <x:c r="C951" s="9" t="d">
        <x:v>2011-11-02T00:00:00.000Z</x:v>
      </x:c>
      <x:c r="D951" s="9" t="d">
        <x:v>2011-11-10T00:00:00.000Z</x:v>
      </x:c>
      <x:c r="E951" s="1" t="str">
        <x:v>seasonal_naive</x:v>
      </x:c>
      <x:c r="F951" s="10" t="n">
        <x:v>46</x:v>
      </x:c>
      <x:c r="G951" s="10" t="n">
        <x:v>28</x:v>
      </x:c>
      <x:c r="H951" s="10" t="n">
        <x:f>ABS(G951-F951)</x:f>
        <x:v>18</x:v>
      </x:c>
      <x:c r="I951" s="10" t="n">
        <x:f>G951-F951</x:f>
        <x:v>-18</x:v>
      </x:c>
    </x:row>
    <x:row r="952" ht="20" customHeight="1">
      <x:c r="A952" s="1" t="str">
        <x:v>22423</x:v>
      </x:c>
      <x:c r="B952" s="10" t="n">
        <x:v>2</x:v>
      </x:c>
      <x:c r="C952" s="9" t="d">
        <x:v>2011-11-02T00:00:00.000Z</x:v>
      </x:c>
      <x:c r="D952" s="9" t="d">
        <x:v>2011-11-11T00:00:00.000Z</x:v>
      </x:c>
      <x:c r="E952" s="1" t="str">
        <x:v>seasonal_naive</x:v>
      </x:c>
      <x:c r="F952" s="10" t="n">
        <x:v>32</x:v>
      </x:c>
      <x:c r="G952" s="10" t="n">
        <x:v>52</x:v>
      </x:c>
      <x:c r="H952" s="10" t="n">
        <x:f>ABS(G952-F952)</x:f>
        <x:v>20</x:v>
      </x:c>
      <x:c r="I952" s="10" t="n">
        <x:f>G952-F952</x:f>
        <x:v>20</x:v>
      </x:c>
    </x:row>
    <x:row r="953" ht="20" customHeight="1">
      <x:c r="A953" s="1" t="str">
        <x:v>22423</x:v>
      </x:c>
      <x:c r="B953" s="10" t="n">
        <x:v>2</x:v>
      </x:c>
      <x:c r="C953" s="9" t="d">
        <x:v>2011-11-02T00:00:00.000Z</x:v>
      </x:c>
      <x:c r="D953" s="9" t="d">
        <x:v>2011-11-12T00:00:00.000Z</x:v>
      </x:c>
      <x:c r="E953" s="1" t="str">
        <x:v>seasonal_naive</x:v>
      </x:c>
      <x:c r="F953" s="10" t="n">
        <x:v>0</x:v>
      </x:c>
      <x:c r="G953" s="10" t="n">
        <x:v>0</x:v>
      </x:c>
      <x:c r="H953" s="10" t="n">
        <x:f>ABS(G953-F953)</x:f>
        <x:v>0</x:v>
      </x:c>
      <x:c r="I953" s="10" t="n">
        <x:f>G953-F953</x:f>
        <x:v>0</x:v>
      </x:c>
    </x:row>
    <x:row r="954" ht="20" customHeight="1">
      <x:c r="A954" s="1" t="str">
        <x:v>22423</x:v>
      </x:c>
      <x:c r="B954" s="10" t="n">
        <x:v>2</x:v>
      </x:c>
      <x:c r="C954" s="9" t="d">
        <x:v>2011-11-02T00:00:00.000Z</x:v>
      </x:c>
      <x:c r="D954" s="9" t="d">
        <x:v>2011-11-13T00:00:00.000Z</x:v>
      </x:c>
      <x:c r="E954" s="1" t="str">
        <x:v>seasonal_naive</x:v>
      </x:c>
      <x:c r="F954" s="10" t="n">
        <x:v>29</x:v>
      </x:c>
      <x:c r="G954" s="10" t="n">
        <x:v>19</x:v>
      </x:c>
      <x:c r="H954" s="10" t="n">
        <x:f>ABS(G954-F954)</x:f>
        <x:v>10</x:v>
      </x:c>
      <x:c r="I954" s="10" t="n">
        <x:f>G954-F954</x:f>
        <x:v>-10</x:v>
      </x:c>
    </x:row>
    <x:row r="955" ht="20" customHeight="1">
      <x:c r="A955" s="1" t="str">
        <x:v>22423</x:v>
      </x:c>
      <x:c r="B955" s="10" t="n">
        <x:v>2</x:v>
      </x:c>
      <x:c r="C955" s="9" t="d">
        <x:v>2011-11-02T00:00:00.000Z</x:v>
      </x:c>
      <x:c r="D955" s="9" t="d">
        <x:v>2011-11-14T00:00:00.000Z</x:v>
      </x:c>
      <x:c r="E955" s="1" t="str">
        <x:v>seasonal_naive</x:v>
      </x:c>
      <x:c r="F955" s="10" t="n">
        <x:v>7</x:v>
      </x:c>
      <x:c r="G955" s="10" t="n">
        <x:v>52</x:v>
      </x:c>
      <x:c r="H955" s="10" t="n">
        <x:f>ABS(G955-F955)</x:f>
        <x:v>45</x:v>
      </x:c>
      <x:c r="I955" s="10" t="n">
        <x:f>G955-F955</x:f>
        <x:v>45</x:v>
      </x:c>
    </x:row>
    <x:row r="956" ht="20" customHeight="1">
      <x:c r="A956" s="1" t="str">
        <x:v>22423</x:v>
      </x:c>
      <x:c r="B956" s="10" t="n">
        <x:v>2</x:v>
      </x:c>
      <x:c r="C956" s="9" t="d">
        <x:v>2011-11-02T00:00:00.000Z</x:v>
      </x:c>
      <x:c r="D956" s="9" t="d">
        <x:v>2011-11-15T00:00:00.000Z</x:v>
      </x:c>
      <x:c r="E956" s="1" t="str">
        <x:v>seasonal_naive</x:v>
      </x:c>
      <x:c r="F956" s="10" t="n">
        <x:v>45</x:v>
      </x:c>
      <x:c r="G956" s="10" t="n">
        <x:v>21</x:v>
      </x:c>
      <x:c r="H956" s="10" t="n">
        <x:f>ABS(G956-F956)</x:f>
        <x:v>24</x:v>
      </x:c>
      <x:c r="I956" s="10" t="n">
        <x:f>G956-F956</x:f>
        <x:v>-24</x:v>
      </x:c>
    </x:row>
    <x:row r="957" ht="20" customHeight="1">
      <x:c r="A957" s="1" t="str">
        <x:v>22423</x:v>
      </x:c>
      <x:c r="B957" s="10" t="n">
        <x:v>2</x:v>
      </x:c>
      <x:c r="C957" s="9" t="d">
        <x:v>2011-11-02T00:00:00.000Z</x:v>
      </x:c>
      <x:c r="D957" s="9" t="d">
        <x:v>2011-11-16T00:00:00.000Z</x:v>
      </x:c>
      <x:c r="E957" s="1" t="str">
        <x:v>seasonal_naive</x:v>
      </x:c>
      <x:c r="F957" s="10" t="n">
        <x:v>15</x:v>
      </x:c>
      <x:c r="G957" s="10" t="n">
        <x:v>5</x:v>
      </x:c>
      <x:c r="H957" s="10" t="n">
        <x:f>ABS(G957-F957)</x:f>
        <x:v>10</x:v>
      </x:c>
      <x:c r="I957" s="10" t="n">
        <x:f>G957-F957</x:f>
        <x:v>-10</x:v>
      </x:c>
    </x:row>
    <x:row r="958" ht="20" customHeight="1">
      <x:c r="A958" s="1" t="str">
        <x:v>22423</x:v>
      </x:c>
      <x:c r="B958" s="10" t="n">
        <x:v>2</x:v>
      </x:c>
      <x:c r="C958" s="9" t="d">
        <x:v>2011-11-02T00:00:00.000Z</x:v>
      </x:c>
      <x:c r="D958" s="9" t="d">
        <x:v>2011-11-03T00:00:00.000Z</x:v>
      </x:c>
      <x:c r="E958" s="1" t="str">
        <x:v>ridge</x:v>
      </x:c>
      <x:c r="F958" s="10" t="n">
        <x:v>65</x:v>
      </x:c>
      <x:c r="G958" s="10" t="n">
        <x:v>56.6022791664</x:v>
      </x:c>
      <x:c r="H958" s="10" t="n">
        <x:f>ABS(G958-F958)</x:f>
        <x:v>8.397720833599998</x:v>
      </x:c>
      <x:c r="I958" s="10" t="n">
        <x:f>G958-F958</x:f>
        <x:v>-8.397720833599998</x:v>
      </x:c>
    </x:row>
    <x:row r="959" ht="20" customHeight="1">
      <x:c r="A959" s="1" t="str">
        <x:v>22423</x:v>
      </x:c>
      <x:c r="B959" s="10" t="n">
        <x:v>2</x:v>
      </x:c>
      <x:c r="C959" s="9" t="d">
        <x:v>2011-11-02T00:00:00.000Z</x:v>
      </x:c>
      <x:c r="D959" s="9" t="d">
        <x:v>2011-11-04T00:00:00.000Z</x:v>
      </x:c>
      <x:c r="E959" s="1" t="str">
        <x:v>ridge</x:v>
      </x:c>
      <x:c r="F959" s="10" t="n">
        <x:v>111</x:v>
      </x:c>
      <x:c r="G959" s="10" t="n">
        <x:v>41.5085441549</x:v>
      </x:c>
      <x:c r="H959" s="10" t="n">
        <x:f>ABS(G959-F959)</x:f>
        <x:v>69.4914558451</x:v>
      </x:c>
      <x:c r="I959" s="10" t="n">
        <x:f>G959-F959</x:f>
        <x:v>-69.4914558451</x:v>
      </x:c>
    </x:row>
    <x:row r="960" ht="20" customHeight="1">
      <x:c r="A960" s="1" t="str">
        <x:v>22423</x:v>
      </x:c>
      <x:c r="B960" s="10" t="n">
        <x:v>2</x:v>
      </x:c>
      <x:c r="C960" s="9" t="d">
        <x:v>2011-11-02T00:00:00.000Z</x:v>
      </x:c>
      <x:c r="D960" s="9" t="d">
        <x:v>2011-11-05T00:00:00.000Z</x:v>
      </x:c>
      <x:c r="E960" s="1" t="str">
        <x:v>ridge</x:v>
      </x:c>
      <x:c r="F960" s="10" t="n">
        <x:v>0</x:v>
      </x:c>
      <x:c r="G960" s="10" t="n">
        <x:v>14.6802701075</x:v>
      </x:c>
      <x:c r="H960" s="10" t="n">
        <x:f>ABS(G960-F960)</x:f>
        <x:v>14.6802701075</x:v>
      </x:c>
      <x:c r="I960" s="10" t="n">
        <x:f>G960-F960</x:f>
        <x:v>14.6802701075</x:v>
      </x:c>
    </x:row>
    <x:row r="961" ht="20" customHeight="1">
      <x:c r="A961" s="1" t="str">
        <x:v>22423</x:v>
      </x:c>
      <x:c r="B961" s="10" t="n">
        <x:v>2</x:v>
      </x:c>
      <x:c r="C961" s="9" t="d">
        <x:v>2011-11-02T00:00:00.000Z</x:v>
      </x:c>
      <x:c r="D961" s="9" t="d">
        <x:v>2011-11-06T00:00:00.000Z</x:v>
      </x:c>
      <x:c r="E961" s="1" t="str">
        <x:v>ridge</x:v>
      </x:c>
      <x:c r="F961" s="10" t="n">
        <x:v>25</x:v>
      </x:c>
      <x:c r="G961" s="10" t="n">
        <x:v>13.7095502099</x:v>
      </x:c>
      <x:c r="H961" s="10" t="n">
        <x:f>ABS(G961-F961)</x:f>
        <x:v>11.2904497901</x:v>
      </x:c>
      <x:c r="I961" s="10" t="n">
        <x:f>G961-F961</x:f>
        <x:v>-11.2904497901</x:v>
      </x:c>
    </x:row>
    <x:row r="962" ht="20" customHeight="1">
      <x:c r="A962" s="1" t="str">
        <x:v>22423</x:v>
      </x:c>
      <x:c r="B962" s="10" t="n">
        <x:v>2</x:v>
      </x:c>
      <x:c r="C962" s="9" t="d">
        <x:v>2011-11-02T00:00:00.000Z</x:v>
      </x:c>
      <x:c r="D962" s="9" t="d">
        <x:v>2011-11-07T00:00:00.000Z</x:v>
      </x:c>
      <x:c r="E962" s="1" t="str">
        <x:v>ridge</x:v>
      </x:c>
      <x:c r="F962" s="10" t="n">
        <x:v>35</x:v>
      </x:c>
      <x:c r="G962" s="10" t="n">
        <x:v>27.2894158818</x:v>
      </x:c>
      <x:c r="H962" s="10" t="n">
        <x:f>ABS(G962-F962)</x:f>
        <x:v>7.7105841182</x:v>
      </x:c>
      <x:c r="I962" s="10" t="n">
        <x:f>G962-F962</x:f>
        <x:v>-7.7105841182</x:v>
      </x:c>
    </x:row>
    <x:row r="963" ht="20" customHeight="1">
      <x:c r="A963" s="1" t="str">
        <x:v>22423</x:v>
      </x:c>
      <x:c r="B963" s="10" t="n">
        <x:v>2</x:v>
      </x:c>
      <x:c r="C963" s="9" t="d">
        <x:v>2011-11-02T00:00:00.000Z</x:v>
      </x:c>
      <x:c r="D963" s="9" t="d">
        <x:v>2011-11-08T00:00:00.000Z</x:v>
      </x:c>
      <x:c r="E963" s="1" t="str">
        <x:v>ridge</x:v>
      </x:c>
      <x:c r="F963" s="10" t="n">
        <x:v>11</x:v>
      </x:c>
      <x:c r="G963" s="10" t="n">
        <x:v>36.4363037833</x:v>
      </x:c>
      <x:c r="H963" s="10" t="n">
        <x:f>ABS(G963-F963)</x:f>
        <x:v>25.436303783299998</x:v>
      </x:c>
      <x:c r="I963" s="10" t="n">
        <x:f>G963-F963</x:f>
        <x:v>25.436303783299998</x:v>
      </x:c>
    </x:row>
    <x:row r="964" ht="20" customHeight="1">
      <x:c r="A964" s="1" t="str">
        <x:v>22423</x:v>
      </x:c>
      <x:c r="B964" s="10" t="n">
        <x:v>2</x:v>
      </x:c>
      <x:c r="C964" s="9" t="d">
        <x:v>2011-11-02T00:00:00.000Z</x:v>
      </x:c>
      <x:c r="D964" s="9" t="d">
        <x:v>2011-11-09T00:00:00.000Z</x:v>
      </x:c>
      <x:c r="E964" s="1" t="str">
        <x:v>ridge</x:v>
      </x:c>
      <x:c r="F964" s="10" t="n">
        <x:v>16</x:v>
      </x:c>
      <x:c r="G964" s="10" t="n">
        <x:v>42.6772334592</x:v>
      </x:c>
      <x:c r="H964" s="10" t="n">
        <x:f>ABS(G964-F964)</x:f>
        <x:v>26.677233459200004</x:v>
      </x:c>
      <x:c r="I964" s="10" t="n">
        <x:f>G964-F964</x:f>
        <x:v>26.677233459200004</x:v>
      </x:c>
    </x:row>
    <x:row r="965" ht="20" customHeight="1">
      <x:c r="A965" s="1" t="str">
        <x:v>22423</x:v>
      </x:c>
      <x:c r="B965" s="10" t="n">
        <x:v>2</x:v>
      </x:c>
      <x:c r="C965" s="9" t="d">
        <x:v>2011-11-02T00:00:00.000Z</x:v>
      </x:c>
      <x:c r="D965" s="9" t="d">
        <x:v>2011-11-10T00:00:00.000Z</x:v>
      </x:c>
      <x:c r="E965" s="1" t="str">
        <x:v>ridge</x:v>
      </x:c>
      <x:c r="F965" s="10" t="n">
        <x:v>46</x:v>
      </x:c>
      <x:c r="G965" s="10" t="n">
        <x:v>51.1769929089</x:v>
      </x:c>
      <x:c r="H965" s="10" t="n">
        <x:f>ABS(G965-F965)</x:f>
        <x:v>5.176992908899997</x:v>
      </x:c>
      <x:c r="I965" s="10" t="n">
        <x:f>G965-F965</x:f>
        <x:v>5.176992908899997</x:v>
      </x:c>
    </x:row>
    <x:row r="966" ht="20" customHeight="1">
      <x:c r="A966" s="1" t="str">
        <x:v>22423</x:v>
      </x:c>
      <x:c r="B966" s="10" t="n">
        <x:v>2</x:v>
      </x:c>
      <x:c r="C966" s="9" t="d">
        <x:v>2011-11-02T00:00:00.000Z</x:v>
      </x:c>
      <x:c r="D966" s="9" t="d">
        <x:v>2011-11-11T00:00:00.000Z</x:v>
      </x:c>
      <x:c r="E966" s="1" t="str">
        <x:v>ridge</x:v>
      </x:c>
      <x:c r="F966" s="10" t="n">
        <x:v>32</x:v>
      </x:c>
      <x:c r="G966" s="10" t="n">
        <x:v>41.547011694</x:v>
      </x:c>
      <x:c r="H966" s="10" t="n">
        <x:f>ABS(G966-F966)</x:f>
        <x:v>9.547011693999998</x:v>
      </x:c>
      <x:c r="I966" s="10" t="n">
        <x:f>G966-F966</x:f>
        <x:v>9.547011693999998</x:v>
      </x:c>
    </x:row>
    <x:row r="967" ht="20" customHeight="1">
      <x:c r="A967" s="1" t="str">
        <x:v>22423</x:v>
      </x:c>
      <x:c r="B967" s="10" t="n">
        <x:v>2</x:v>
      </x:c>
      <x:c r="C967" s="9" t="d">
        <x:v>2011-11-02T00:00:00.000Z</x:v>
      </x:c>
      <x:c r="D967" s="9" t="d">
        <x:v>2011-11-12T00:00:00.000Z</x:v>
      </x:c>
      <x:c r="E967" s="1" t="str">
        <x:v>ridge</x:v>
      </x:c>
      <x:c r="F967" s="10" t="n">
        <x:v>0</x:v>
      </x:c>
      <x:c r="G967" s="10" t="n">
        <x:v>16.8421245345</x:v>
      </x:c>
      <x:c r="H967" s="10" t="n">
        <x:f>ABS(G967-F967)</x:f>
        <x:v>16.8421245345</x:v>
      </x:c>
      <x:c r="I967" s="10" t="n">
        <x:f>G967-F967</x:f>
        <x:v>16.8421245345</x:v>
      </x:c>
    </x:row>
    <x:row r="968" ht="20" customHeight="1">
      <x:c r="A968" s="1" t="str">
        <x:v>22423</x:v>
      </x:c>
      <x:c r="B968" s="10" t="n">
        <x:v>2</x:v>
      </x:c>
      <x:c r="C968" s="9" t="d">
        <x:v>2011-11-02T00:00:00.000Z</x:v>
      </x:c>
      <x:c r="D968" s="9" t="d">
        <x:v>2011-11-13T00:00:00.000Z</x:v>
      </x:c>
      <x:c r="E968" s="1" t="str">
        <x:v>ridge</x:v>
      </x:c>
      <x:c r="F968" s="10" t="n">
        <x:v>29</x:v>
      </x:c>
      <x:c r="G968" s="10" t="n">
        <x:v>14.3691094652</x:v>
      </x:c>
      <x:c r="H968" s="10" t="n">
        <x:f>ABS(G968-F968)</x:f>
        <x:v>14.6308905348</x:v>
      </x:c>
      <x:c r="I968" s="10" t="n">
        <x:f>G968-F968</x:f>
        <x:v>-14.6308905348</x:v>
      </x:c>
    </x:row>
    <x:row r="969" ht="20" customHeight="1">
      <x:c r="A969" s="1" t="str">
        <x:v>22423</x:v>
      </x:c>
      <x:c r="B969" s="10" t="n">
        <x:v>2</x:v>
      </x:c>
      <x:c r="C969" s="9" t="d">
        <x:v>2011-11-02T00:00:00.000Z</x:v>
      </x:c>
      <x:c r="D969" s="9" t="d">
        <x:v>2011-11-14T00:00:00.000Z</x:v>
      </x:c>
      <x:c r="E969" s="1" t="str">
        <x:v>ridge</x:v>
      </x:c>
      <x:c r="F969" s="10" t="n">
        <x:v>7</x:v>
      </x:c>
      <x:c r="G969" s="10" t="n">
        <x:v>29.3743062183</x:v>
      </x:c>
      <x:c r="H969" s="10" t="n">
        <x:f>ABS(G969-F969)</x:f>
        <x:v>22.3743062183</x:v>
      </x:c>
      <x:c r="I969" s="10" t="n">
        <x:f>G969-F969</x:f>
        <x:v>22.3743062183</x:v>
      </x:c>
    </x:row>
    <x:row r="970" ht="20" customHeight="1">
      <x:c r="A970" s="1" t="str">
        <x:v>22423</x:v>
      </x:c>
      <x:c r="B970" s="10" t="n">
        <x:v>2</x:v>
      </x:c>
      <x:c r="C970" s="9" t="d">
        <x:v>2011-11-02T00:00:00.000Z</x:v>
      </x:c>
      <x:c r="D970" s="9" t="d">
        <x:v>2011-11-15T00:00:00.000Z</x:v>
      </x:c>
      <x:c r="E970" s="1" t="str">
        <x:v>ridge</x:v>
      </x:c>
      <x:c r="F970" s="10" t="n">
        <x:v>45</x:v>
      </x:c>
      <x:c r="G970" s="10" t="n">
        <x:v>40.3967850885</x:v>
      </x:c>
      <x:c r="H970" s="10" t="n">
        <x:f>ABS(G970-F970)</x:f>
        <x:v>4.603214911499997</x:v>
      </x:c>
      <x:c r="I970" s="10" t="n">
        <x:f>G970-F970</x:f>
        <x:v>-4.603214911499997</x:v>
      </x:c>
    </x:row>
    <x:row r="971" ht="20" customHeight="1">
      <x:c r="A971" s="1" t="str">
        <x:v>22423</x:v>
      </x:c>
      <x:c r="B971" s="10" t="n">
        <x:v>2</x:v>
      </x:c>
      <x:c r="C971" s="9" t="d">
        <x:v>2011-11-02T00:00:00.000Z</x:v>
      </x:c>
      <x:c r="D971" s="9" t="d">
        <x:v>2011-11-16T00:00:00.000Z</x:v>
      </x:c>
      <x:c r="E971" s="1" t="str">
        <x:v>ridge</x:v>
      </x:c>
      <x:c r="F971" s="10" t="n">
        <x:v>15</x:v>
      </x:c>
      <x:c r="G971" s="10" t="n">
        <x:v>47.7318944634</x:v>
      </x:c>
      <x:c r="H971" s="10" t="n">
        <x:f>ABS(G971-F971)</x:f>
        <x:v>32.7318944634</x:v>
      </x:c>
      <x:c r="I971" s="10" t="n">
        <x:f>G971-F971</x:f>
        <x:v>32.7318944634</x:v>
      </x:c>
    </x:row>
    <x:row r="972" ht="20" customHeight="1">
      <x:c r="A972" s="1" t="str">
        <x:v>22423</x:v>
      </x:c>
      <x:c r="B972" s="10" t="n">
        <x:v>3</x:v>
      </x:c>
      <x:c r="C972" s="9" t="d">
        <x:v>2011-11-16T00:00:00.000Z</x:v>
      </x:c>
      <x:c r="D972" s="9" t="d">
        <x:v>2011-11-17T00:00:00.000Z</x:v>
      </x:c>
      <x:c r="E972" s="1" t="str">
        <x:v>naive</x:v>
      </x:c>
      <x:c r="F972" s="10" t="n">
        <x:v>49</x:v>
      </x:c>
      <x:c r="G972" s="10" t="n">
        <x:v>15</x:v>
      </x:c>
      <x:c r="H972" s="10" t="n">
        <x:f>ABS(G972-F972)</x:f>
        <x:v>34</x:v>
      </x:c>
      <x:c r="I972" s="10" t="n">
        <x:f>G972-F972</x:f>
        <x:v>-34</x:v>
      </x:c>
    </x:row>
    <x:row r="973" ht="20" customHeight="1">
      <x:c r="A973" s="1" t="str">
        <x:v>22423</x:v>
      </x:c>
      <x:c r="B973" s="10" t="n">
        <x:v>3</x:v>
      </x:c>
      <x:c r="C973" s="9" t="d">
        <x:v>2011-11-16T00:00:00.000Z</x:v>
      </x:c>
      <x:c r="D973" s="9" t="d">
        <x:v>2011-11-18T00:00:00.000Z</x:v>
      </x:c>
      <x:c r="E973" s="1" t="str">
        <x:v>naive</x:v>
      </x:c>
      <x:c r="F973" s="10" t="n">
        <x:v>110</x:v>
      </x:c>
      <x:c r="G973" s="10" t="n">
        <x:v>15</x:v>
      </x:c>
      <x:c r="H973" s="10" t="n">
        <x:f>ABS(G973-F973)</x:f>
        <x:v>95</x:v>
      </x:c>
      <x:c r="I973" s="10" t="n">
        <x:f>G973-F973</x:f>
        <x:v>-95</x:v>
      </x:c>
    </x:row>
    <x:row r="974" ht="20" customHeight="1">
      <x:c r="A974" s="1" t="str">
        <x:v>22423</x:v>
      </x:c>
      <x:c r="B974" s="10" t="n">
        <x:v>3</x:v>
      </x:c>
      <x:c r="C974" s="9" t="d">
        <x:v>2011-11-16T00:00:00.000Z</x:v>
      </x:c>
      <x:c r="D974" s="9" t="d">
        <x:v>2011-11-19T00:00:00.000Z</x:v>
      </x:c>
      <x:c r="E974" s="1" t="str">
        <x:v>naive</x:v>
      </x:c>
      <x:c r="F974" s="10" t="n">
        <x:v>0</x:v>
      </x:c>
      <x:c r="G974" s="10" t="n">
        <x:v>15</x:v>
      </x:c>
      <x:c r="H974" s="10" t="n">
        <x:f>ABS(G974-F974)</x:f>
        <x:v>15</x:v>
      </x:c>
      <x:c r="I974" s="10" t="n">
        <x:f>G974-F974</x:f>
        <x:v>15</x:v>
      </x:c>
    </x:row>
    <x:row r="975" ht="20" customHeight="1">
      <x:c r="A975" s="1" t="str">
        <x:v>22423</x:v>
      </x:c>
      <x:c r="B975" s="10" t="n">
        <x:v>3</x:v>
      </x:c>
      <x:c r="C975" s="9" t="d">
        <x:v>2011-11-16T00:00:00.000Z</x:v>
      </x:c>
      <x:c r="D975" s="9" t="d">
        <x:v>2011-11-20T00:00:00.000Z</x:v>
      </x:c>
      <x:c r="E975" s="1" t="str">
        <x:v>naive</x:v>
      </x:c>
      <x:c r="F975" s="10" t="n">
        <x:v>8</x:v>
      </x:c>
      <x:c r="G975" s="10" t="n">
        <x:v>15</x:v>
      </x:c>
      <x:c r="H975" s="10" t="n">
        <x:f>ABS(G975-F975)</x:f>
        <x:v>7</x:v>
      </x:c>
      <x:c r="I975" s="10" t="n">
        <x:f>G975-F975</x:f>
        <x:v>7</x:v>
      </x:c>
    </x:row>
    <x:row r="976" ht="20" customHeight="1">
      <x:c r="A976" s="1" t="str">
        <x:v>22423</x:v>
      </x:c>
      <x:c r="B976" s="10" t="n">
        <x:v>3</x:v>
      </x:c>
      <x:c r="C976" s="9" t="d">
        <x:v>2011-11-16T00:00:00.000Z</x:v>
      </x:c>
      <x:c r="D976" s="9" t="d">
        <x:v>2011-11-21T00:00:00.000Z</x:v>
      </x:c>
      <x:c r="E976" s="1" t="str">
        <x:v>naive</x:v>
      </x:c>
      <x:c r="F976" s="10" t="n">
        <x:v>50</x:v>
      </x:c>
      <x:c r="G976" s="10" t="n">
        <x:v>15</x:v>
      </x:c>
      <x:c r="H976" s="10" t="n">
        <x:f>ABS(G976-F976)</x:f>
        <x:v>35</x:v>
      </x:c>
      <x:c r="I976" s="10" t="n">
        <x:f>G976-F976</x:f>
        <x:v>-35</x:v>
      </x:c>
    </x:row>
    <x:row r="977" ht="20" customHeight="1">
      <x:c r="A977" s="1" t="str">
        <x:v>22423</x:v>
      </x:c>
      <x:c r="B977" s="10" t="n">
        <x:v>3</x:v>
      </x:c>
      <x:c r="C977" s="9" t="d">
        <x:v>2011-11-16T00:00:00.000Z</x:v>
      </x:c>
      <x:c r="D977" s="9" t="d">
        <x:v>2011-11-22T00:00:00.000Z</x:v>
      </x:c>
      <x:c r="E977" s="1" t="str">
        <x:v>naive</x:v>
      </x:c>
      <x:c r="F977" s="10" t="n">
        <x:v>29</x:v>
      </x:c>
      <x:c r="G977" s="10" t="n">
        <x:v>15</x:v>
      </x:c>
      <x:c r="H977" s="10" t="n">
        <x:f>ABS(G977-F977)</x:f>
        <x:v>14</x:v>
      </x:c>
      <x:c r="I977" s="10" t="n">
        <x:f>G977-F977</x:f>
        <x:v>-14</x:v>
      </x:c>
    </x:row>
    <x:row r="978" ht="20" customHeight="1">
      <x:c r="A978" s="1" t="str">
        <x:v>22423</x:v>
      </x:c>
      <x:c r="B978" s="10" t="n">
        <x:v>3</x:v>
      </x:c>
      <x:c r="C978" s="9" t="d">
        <x:v>2011-11-16T00:00:00.000Z</x:v>
      </x:c>
      <x:c r="D978" s="9" t="d">
        <x:v>2011-11-23T00:00:00.000Z</x:v>
      </x:c>
      <x:c r="E978" s="1" t="str">
        <x:v>naive</x:v>
      </x:c>
      <x:c r="F978" s="10" t="n">
        <x:v>47</x:v>
      </x:c>
      <x:c r="G978" s="10" t="n">
        <x:v>15</x:v>
      </x:c>
      <x:c r="H978" s="10" t="n">
        <x:f>ABS(G978-F978)</x:f>
        <x:v>32</x:v>
      </x:c>
      <x:c r="I978" s="10" t="n">
        <x:f>G978-F978</x:f>
        <x:v>-32</x:v>
      </x:c>
    </x:row>
    <x:row r="979" ht="20" customHeight="1">
      <x:c r="A979" s="1" t="str">
        <x:v>22423</x:v>
      </x:c>
      <x:c r="B979" s="10" t="n">
        <x:v>3</x:v>
      </x:c>
      <x:c r="C979" s="9" t="d">
        <x:v>2011-11-16T00:00:00.000Z</x:v>
      </x:c>
      <x:c r="D979" s="9" t="d">
        <x:v>2011-11-24T00:00:00.000Z</x:v>
      </x:c>
      <x:c r="E979" s="1" t="str">
        <x:v>naive</x:v>
      </x:c>
      <x:c r="F979" s="10" t="n">
        <x:v>82</x:v>
      </x:c>
      <x:c r="G979" s="10" t="n">
        <x:v>15</x:v>
      </x:c>
      <x:c r="H979" s="10" t="n">
        <x:f>ABS(G979-F979)</x:f>
        <x:v>67</x:v>
      </x:c>
      <x:c r="I979" s="10" t="n">
        <x:f>G979-F979</x:f>
        <x:v>-67</x:v>
      </x:c>
    </x:row>
    <x:row r="980" ht="20" customHeight="1">
      <x:c r="A980" s="1" t="str">
        <x:v>22423</x:v>
      </x:c>
      <x:c r="B980" s="10" t="n">
        <x:v>3</x:v>
      </x:c>
      <x:c r="C980" s="9" t="d">
        <x:v>2011-11-16T00:00:00.000Z</x:v>
      </x:c>
      <x:c r="D980" s="9" t="d">
        <x:v>2011-11-25T00:00:00.000Z</x:v>
      </x:c>
      <x:c r="E980" s="1" t="str">
        <x:v>naive</x:v>
      </x:c>
      <x:c r="F980" s="10" t="n">
        <x:v>23</x:v>
      </x:c>
      <x:c r="G980" s="10" t="n">
        <x:v>15</x:v>
      </x:c>
      <x:c r="H980" s="10" t="n">
        <x:f>ABS(G980-F980)</x:f>
        <x:v>8</x:v>
      </x:c>
      <x:c r="I980" s="10" t="n">
        <x:f>G980-F980</x:f>
        <x:v>-8</x:v>
      </x:c>
    </x:row>
    <x:row r="981" ht="20" customHeight="1">
      <x:c r="A981" s="1" t="str">
        <x:v>22423</x:v>
      </x:c>
      <x:c r="B981" s="10" t="n">
        <x:v>3</x:v>
      </x:c>
      <x:c r="C981" s="9" t="d">
        <x:v>2011-11-16T00:00:00.000Z</x:v>
      </x:c>
      <x:c r="D981" s="9" t="d">
        <x:v>2011-11-26T00:00:00.000Z</x:v>
      </x:c>
      <x:c r="E981" s="1" t="str">
        <x:v>naive</x:v>
      </x:c>
      <x:c r="F981" s="10" t="n">
        <x:v>0</x:v>
      </x:c>
      <x:c r="G981" s="10" t="n">
        <x:v>15</x:v>
      </x:c>
      <x:c r="H981" s="10" t="n">
        <x:f>ABS(G981-F981)</x:f>
        <x:v>15</x:v>
      </x:c>
      <x:c r="I981" s="10" t="n">
        <x:f>G981-F981</x:f>
        <x:v>15</x:v>
      </x:c>
    </x:row>
    <x:row r="982" ht="20" customHeight="1">
      <x:c r="A982" s="1" t="str">
        <x:v>22423</x:v>
      </x:c>
      <x:c r="B982" s="10" t="n">
        <x:v>3</x:v>
      </x:c>
      <x:c r="C982" s="9" t="d">
        <x:v>2011-11-16T00:00:00.000Z</x:v>
      </x:c>
      <x:c r="D982" s="9" t="d">
        <x:v>2011-11-27T00:00:00.000Z</x:v>
      </x:c>
      <x:c r="E982" s="1" t="str">
        <x:v>naive</x:v>
      </x:c>
      <x:c r="F982" s="10" t="n">
        <x:v>29</x:v>
      </x:c>
      <x:c r="G982" s="10" t="n">
        <x:v>15</x:v>
      </x:c>
      <x:c r="H982" s="10" t="n">
        <x:f>ABS(G982-F982)</x:f>
        <x:v>14</x:v>
      </x:c>
      <x:c r="I982" s="10" t="n">
        <x:f>G982-F982</x:f>
        <x:v>-14</x:v>
      </x:c>
    </x:row>
    <x:row r="983" ht="20" customHeight="1">
      <x:c r="A983" s="1" t="str">
        <x:v>22423</x:v>
      </x:c>
      <x:c r="B983" s="10" t="n">
        <x:v>3</x:v>
      </x:c>
      <x:c r="C983" s="9" t="d">
        <x:v>2011-11-16T00:00:00.000Z</x:v>
      </x:c>
      <x:c r="D983" s="9" t="d">
        <x:v>2011-11-28T00:00:00.000Z</x:v>
      </x:c>
      <x:c r="E983" s="1" t="str">
        <x:v>naive</x:v>
      </x:c>
      <x:c r="F983" s="10" t="n">
        <x:v>34</x:v>
      </x:c>
      <x:c r="G983" s="10" t="n">
        <x:v>15</x:v>
      </x:c>
      <x:c r="H983" s="10" t="n">
        <x:f>ABS(G983-F983)</x:f>
        <x:v>19</x:v>
      </x:c>
      <x:c r="I983" s="10" t="n">
        <x:f>G983-F983</x:f>
        <x:v>-19</x:v>
      </x:c>
    </x:row>
    <x:row r="984" ht="20" customHeight="1">
      <x:c r="A984" s="1" t="str">
        <x:v>22423</x:v>
      </x:c>
      <x:c r="B984" s="10" t="n">
        <x:v>3</x:v>
      </x:c>
      <x:c r="C984" s="9" t="d">
        <x:v>2011-11-16T00:00:00.000Z</x:v>
      </x:c>
      <x:c r="D984" s="9" t="d">
        <x:v>2011-11-29T00:00:00.000Z</x:v>
      </x:c>
      <x:c r="E984" s="1" t="str">
        <x:v>naive</x:v>
      </x:c>
      <x:c r="F984" s="10" t="n">
        <x:v>93</x:v>
      </x:c>
      <x:c r="G984" s="10" t="n">
        <x:v>15</x:v>
      </x:c>
      <x:c r="H984" s="10" t="n">
        <x:f>ABS(G984-F984)</x:f>
        <x:v>78</x:v>
      </x:c>
      <x:c r="I984" s="10" t="n">
        <x:f>G984-F984</x:f>
        <x:v>-78</x:v>
      </x:c>
    </x:row>
    <x:row r="985" ht="20" customHeight="1">
      <x:c r="A985" s="1" t="str">
        <x:v>22423</x:v>
      </x:c>
      <x:c r="B985" s="10" t="n">
        <x:v>3</x:v>
      </x:c>
      <x:c r="C985" s="9" t="d">
        <x:v>2011-11-16T00:00:00.000Z</x:v>
      </x:c>
      <x:c r="D985" s="9" t="d">
        <x:v>2011-11-30T00:00:00.000Z</x:v>
      </x:c>
      <x:c r="E985" s="1" t="str">
        <x:v>naive</x:v>
      </x:c>
      <x:c r="F985" s="10" t="n">
        <x:v>35</x:v>
      </x:c>
      <x:c r="G985" s="10" t="n">
        <x:v>15</x:v>
      </x:c>
      <x:c r="H985" s="10" t="n">
        <x:f>ABS(G985-F985)</x:f>
        <x:v>20</x:v>
      </x:c>
      <x:c r="I985" s="10" t="n">
        <x:f>G985-F985</x:f>
        <x:v>-20</x:v>
      </x:c>
    </x:row>
    <x:row r="986" ht="20" customHeight="1">
      <x:c r="A986" s="1" t="str">
        <x:v>22423</x:v>
      </x:c>
      <x:c r="B986" s="10" t="n">
        <x:v>3</x:v>
      </x:c>
      <x:c r="C986" s="9" t="d">
        <x:v>2011-11-16T00:00:00.000Z</x:v>
      </x:c>
      <x:c r="D986" s="9" t="d">
        <x:v>2011-11-17T00:00:00.000Z</x:v>
      </x:c>
      <x:c r="E986" s="1" t="str">
        <x:v>seasonal_naive</x:v>
      </x:c>
      <x:c r="F986" s="10" t="n">
        <x:v>49</x:v>
      </x:c>
      <x:c r="G986" s="10" t="n">
        <x:v>46</x:v>
      </x:c>
      <x:c r="H986" s="10" t="n">
        <x:f>ABS(G986-F986)</x:f>
        <x:v>3</x:v>
      </x:c>
      <x:c r="I986" s="10" t="n">
        <x:f>G986-F986</x:f>
        <x:v>-3</x:v>
      </x:c>
    </x:row>
    <x:row r="987" ht="20" customHeight="1">
      <x:c r="A987" s="1" t="str">
        <x:v>22423</x:v>
      </x:c>
      <x:c r="B987" s="10" t="n">
        <x:v>3</x:v>
      </x:c>
      <x:c r="C987" s="9" t="d">
        <x:v>2011-11-16T00:00:00.000Z</x:v>
      </x:c>
      <x:c r="D987" s="9" t="d">
        <x:v>2011-11-18T00:00:00.000Z</x:v>
      </x:c>
      <x:c r="E987" s="1" t="str">
        <x:v>seasonal_naive</x:v>
      </x:c>
      <x:c r="F987" s="10" t="n">
        <x:v>110</x:v>
      </x:c>
      <x:c r="G987" s="10" t="n">
        <x:v>32</x:v>
      </x:c>
      <x:c r="H987" s="10" t="n">
        <x:f>ABS(G987-F987)</x:f>
        <x:v>78</x:v>
      </x:c>
      <x:c r="I987" s="10" t="n">
        <x:f>G987-F987</x:f>
        <x:v>-78</x:v>
      </x:c>
    </x:row>
    <x:row r="988" ht="20" customHeight="1">
      <x:c r="A988" s="1" t="str">
        <x:v>22423</x:v>
      </x:c>
      <x:c r="B988" s="10" t="n">
        <x:v>3</x:v>
      </x:c>
      <x:c r="C988" s="9" t="d">
        <x:v>2011-11-16T00:00:00.000Z</x:v>
      </x:c>
      <x:c r="D988" s="9" t="d">
        <x:v>2011-11-19T00:00:00.000Z</x:v>
      </x:c>
      <x:c r="E988" s="1" t="str">
        <x:v>seasonal_naive</x:v>
      </x:c>
      <x:c r="F988" s="10" t="n">
        <x:v>0</x:v>
      </x:c>
      <x:c r="G988" s="10" t="n">
        <x:v>0</x:v>
      </x:c>
      <x:c r="H988" s="10" t="n">
        <x:f>ABS(G988-F988)</x:f>
        <x:v>0</x:v>
      </x:c>
      <x:c r="I988" s="10" t="n">
        <x:f>G988-F988</x:f>
        <x:v>0</x:v>
      </x:c>
    </x:row>
    <x:row r="989" ht="20" customHeight="1">
      <x:c r="A989" s="1" t="str">
        <x:v>22423</x:v>
      </x:c>
      <x:c r="B989" s="10" t="n">
        <x:v>3</x:v>
      </x:c>
      <x:c r="C989" s="9" t="d">
        <x:v>2011-11-16T00:00:00.000Z</x:v>
      </x:c>
      <x:c r="D989" s="9" t="d">
        <x:v>2011-11-20T00:00:00.000Z</x:v>
      </x:c>
      <x:c r="E989" s="1" t="str">
        <x:v>seasonal_naive</x:v>
      </x:c>
      <x:c r="F989" s="10" t="n">
        <x:v>8</x:v>
      </x:c>
      <x:c r="G989" s="10" t="n">
        <x:v>29</x:v>
      </x:c>
      <x:c r="H989" s="10" t="n">
        <x:f>ABS(G989-F989)</x:f>
        <x:v>21</x:v>
      </x:c>
      <x:c r="I989" s="10" t="n">
        <x:f>G989-F989</x:f>
        <x:v>21</x:v>
      </x:c>
    </x:row>
    <x:row r="990" ht="20" customHeight="1">
      <x:c r="A990" s="1" t="str">
        <x:v>22423</x:v>
      </x:c>
      <x:c r="B990" s="10" t="n">
        <x:v>3</x:v>
      </x:c>
      <x:c r="C990" s="9" t="d">
        <x:v>2011-11-16T00:00:00.000Z</x:v>
      </x:c>
      <x:c r="D990" s="9" t="d">
        <x:v>2011-11-21T00:00:00.000Z</x:v>
      </x:c>
      <x:c r="E990" s="1" t="str">
        <x:v>seasonal_naive</x:v>
      </x:c>
      <x:c r="F990" s="10" t="n">
        <x:v>50</x:v>
      </x:c>
      <x:c r="G990" s="10" t="n">
        <x:v>7</x:v>
      </x:c>
      <x:c r="H990" s="10" t="n">
        <x:f>ABS(G990-F990)</x:f>
        <x:v>43</x:v>
      </x:c>
      <x:c r="I990" s="10" t="n">
        <x:f>G990-F990</x:f>
        <x:v>-43</x:v>
      </x:c>
    </x:row>
    <x:row r="991" ht="20" customHeight="1">
      <x:c r="A991" s="1" t="str">
        <x:v>22423</x:v>
      </x:c>
      <x:c r="B991" s="10" t="n">
        <x:v>3</x:v>
      </x:c>
      <x:c r="C991" s="9" t="d">
        <x:v>2011-11-16T00:00:00.000Z</x:v>
      </x:c>
      <x:c r="D991" s="9" t="d">
        <x:v>2011-11-22T00:00:00.000Z</x:v>
      </x:c>
      <x:c r="E991" s="1" t="str">
        <x:v>seasonal_naive</x:v>
      </x:c>
      <x:c r="F991" s="10" t="n">
        <x:v>29</x:v>
      </x:c>
      <x:c r="G991" s="10" t="n">
        <x:v>45</x:v>
      </x:c>
      <x:c r="H991" s="10" t="n">
        <x:f>ABS(G991-F991)</x:f>
        <x:v>16</x:v>
      </x:c>
      <x:c r="I991" s="10" t="n">
        <x:f>G991-F991</x:f>
        <x:v>16</x:v>
      </x:c>
    </x:row>
    <x:row r="992" ht="20" customHeight="1">
      <x:c r="A992" s="1" t="str">
        <x:v>22423</x:v>
      </x:c>
      <x:c r="B992" s="10" t="n">
        <x:v>3</x:v>
      </x:c>
      <x:c r="C992" s="9" t="d">
        <x:v>2011-11-16T00:00:00.000Z</x:v>
      </x:c>
      <x:c r="D992" s="9" t="d">
        <x:v>2011-11-23T00:00:00.000Z</x:v>
      </x:c>
      <x:c r="E992" s="1" t="str">
        <x:v>seasonal_naive</x:v>
      </x:c>
      <x:c r="F992" s="10" t="n">
        <x:v>47</x:v>
      </x:c>
      <x:c r="G992" s="10" t="n">
        <x:v>15</x:v>
      </x:c>
      <x:c r="H992" s="10" t="n">
        <x:f>ABS(G992-F992)</x:f>
        <x:v>32</x:v>
      </x:c>
      <x:c r="I992" s="10" t="n">
        <x:f>G992-F992</x:f>
        <x:v>-32</x:v>
      </x:c>
    </x:row>
    <x:row r="993" ht="20" customHeight="1">
      <x:c r="A993" s="1" t="str">
        <x:v>22423</x:v>
      </x:c>
      <x:c r="B993" s="10" t="n">
        <x:v>3</x:v>
      </x:c>
      <x:c r="C993" s="9" t="d">
        <x:v>2011-11-16T00:00:00.000Z</x:v>
      </x:c>
      <x:c r="D993" s="9" t="d">
        <x:v>2011-11-24T00:00:00.000Z</x:v>
      </x:c>
      <x:c r="E993" s="1" t="str">
        <x:v>seasonal_naive</x:v>
      </x:c>
      <x:c r="F993" s="10" t="n">
        <x:v>82</x:v>
      </x:c>
      <x:c r="G993" s="10" t="n">
        <x:v>46</x:v>
      </x:c>
      <x:c r="H993" s="10" t="n">
        <x:f>ABS(G993-F993)</x:f>
        <x:v>36</x:v>
      </x:c>
      <x:c r="I993" s="10" t="n">
        <x:f>G993-F993</x:f>
        <x:v>-36</x:v>
      </x:c>
    </x:row>
    <x:row r="994" ht="20" customHeight="1">
      <x:c r="A994" s="1" t="str">
        <x:v>22423</x:v>
      </x:c>
      <x:c r="B994" s="10" t="n">
        <x:v>3</x:v>
      </x:c>
      <x:c r="C994" s="9" t="d">
        <x:v>2011-11-16T00:00:00.000Z</x:v>
      </x:c>
      <x:c r="D994" s="9" t="d">
        <x:v>2011-11-25T00:00:00.000Z</x:v>
      </x:c>
      <x:c r="E994" s="1" t="str">
        <x:v>seasonal_naive</x:v>
      </x:c>
      <x:c r="F994" s="10" t="n">
        <x:v>23</x:v>
      </x:c>
      <x:c r="G994" s="10" t="n">
        <x:v>32</x:v>
      </x:c>
      <x:c r="H994" s="10" t="n">
        <x:f>ABS(G994-F994)</x:f>
        <x:v>9</x:v>
      </x:c>
      <x:c r="I994" s="10" t="n">
        <x:f>G994-F994</x:f>
        <x:v>9</x:v>
      </x:c>
    </x:row>
    <x:row r="995" ht="20" customHeight="1">
      <x:c r="A995" s="1" t="str">
        <x:v>22423</x:v>
      </x:c>
      <x:c r="B995" s="10" t="n">
        <x:v>3</x:v>
      </x:c>
      <x:c r="C995" s="9" t="d">
        <x:v>2011-11-16T00:00:00.000Z</x:v>
      </x:c>
      <x:c r="D995" s="9" t="d">
        <x:v>2011-11-26T00:00:00.000Z</x:v>
      </x:c>
      <x:c r="E995" s="1" t="str">
        <x:v>seasonal_naive</x:v>
      </x:c>
      <x:c r="F995" s="10" t="n">
        <x:v>0</x:v>
      </x:c>
      <x:c r="G995" s="10" t="n">
        <x:v>0</x:v>
      </x:c>
      <x:c r="H995" s="10" t="n">
        <x:f>ABS(G995-F995)</x:f>
        <x:v>0</x:v>
      </x:c>
      <x:c r="I995" s="10" t="n">
        <x:f>G995-F995</x:f>
        <x:v>0</x:v>
      </x:c>
    </x:row>
    <x:row r="996" ht="20" customHeight="1">
      <x:c r="A996" s="1" t="str">
        <x:v>22423</x:v>
      </x:c>
      <x:c r="B996" s="10" t="n">
        <x:v>3</x:v>
      </x:c>
      <x:c r="C996" s="9" t="d">
        <x:v>2011-11-16T00:00:00.000Z</x:v>
      </x:c>
      <x:c r="D996" s="9" t="d">
        <x:v>2011-11-27T00:00:00.000Z</x:v>
      </x:c>
      <x:c r="E996" s="1" t="str">
        <x:v>seasonal_naive</x:v>
      </x:c>
      <x:c r="F996" s="10" t="n">
        <x:v>29</x:v>
      </x:c>
      <x:c r="G996" s="10" t="n">
        <x:v>29</x:v>
      </x:c>
      <x:c r="H996" s="10" t="n">
        <x:f>ABS(G996-F996)</x:f>
        <x:v>0</x:v>
      </x:c>
      <x:c r="I996" s="10" t="n">
        <x:f>G996-F996</x:f>
        <x:v>0</x:v>
      </x:c>
    </x:row>
    <x:row r="997" ht="20" customHeight="1">
      <x:c r="A997" s="1" t="str">
        <x:v>22423</x:v>
      </x:c>
      <x:c r="B997" s="10" t="n">
        <x:v>3</x:v>
      </x:c>
      <x:c r="C997" s="9" t="d">
        <x:v>2011-11-16T00:00:00.000Z</x:v>
      </x:c>
      <x:c r="D997" s="9" t="d">
        <x:v>2011-11-28T00:00:00.000Z</x:v>
      </x:c>
      <x:c r="E997" s="1" t="str">
        <x:v>seasonal_naive</x:v>
      </x:c>
      <x:c r="F997" s="10" t="n">
        <x:v>34</x:v>
      </x:c>
      <x:c r="G997" s="10" t="n">
        <x:v>7</x:v>
      </x:c>
      <x:c r="H997" s="10" t="n">
        <x:f>ABS(G997-F997)</x:f>
        <x:v>27</x:v>
      </x:c>
      <x:c r="I997" s="10" t="n">
        <x:f>G997-F997</x:f>
        <x:v>-27</x:v>
      </x:c>
    </x:row>
    <x:row r="998" ht="20" customHeight="1">
      <x:c r="A998" s="1" t="str">
        <x:v>22423</x:v>
      </x:c>
      <x:c r="B998" s="10" t="n">
        <x:v>3</x:v>
      </x:c>
      <x:c r="C998" s="9" t="d">
        <x:v>2011-11-16T00:00:00.000Z</x:v>
      </x:c>
      <x:c r="D998" s="9" t="d">
        <x:v>2011-11-29T00:00:00.000Z</x:v>
      </x:c>
      <x:c r="E998" s="1" t="str">
        <x:v>seasonal_naive</x:v>
      </x:c>
      <x:c r="F998" s="10" t="n">
        <x:v>93</x:v>
      </x:c>
      <x:c r="G998" s="10" t="n">
        <x:v>45</x:v>
      </x:c>
      <x:c r="H998" s="10" t="n">
        <x:f>ABS(G998-F998)</x:f>
        <x:v>48</x:v>
      </x:c>
      <x:c r="I998" s="10" t="n">
        <x:f>G998-F998</x:f>
        <x:v>-48</x:v>
      </x:c>
    </x:row>
    <x:row r="999" ht="20" customHeight="1">
      <x:c r="A999" s="1" t="str">
        <x:v>22423</x:v>
      </x:c>
      <x:c r="B999" s="10" t="n">
        <x:v>3</x:v>
      </x:c>
      <x:c r="C999" s="9" t="d">
        <x:v>2011-11-16T00:00:00.000Z</x:v>
      </x:c>
      <x:c r="D999" s="9" t="d">
        <x:v>2011-11-30T00:00:00.000Z</x:v>
      </x:c>
      <x:c r="E999" s="1" t="str">
        <x:v>seasonal_naive</x:v>
      </x:c>
      <x:c r="F999" s="10" t="n">
        <x:v>35</x:v>
      </x:c>
      <x:c r="G999" s="10" t="n">
        <x:v>15</x:v>
      </x:c>
      <x:c r="H999" s="10" t="n">
        <x:f>ABS(G999-F999)</x:f>
        <x:v>20</x:v>
      </x:c>
      <x:c r="I999" s="10" t="n">
        <x:f>G999-F999</x:f>
        <x:v>-20</x:v>
      </x:c>
    </x:row>
    <x:row r="1000" ht="20" customHeight="1">
      <x:c r="A1000" s="1" t="str">
        <x:v>22423</x:v>
      </x:c>
      <x:c r="B1000" s="10" t="n">
        <x:v>3</x:v>
      </x:c>
      <x:c r="C1000" s="9" t="d">
        <x:v>2011-11-16T00:00:00.000Z</x:v>
      </x:c>
      <x:c r="D1000" s="9" t="d">
        <x:v>2011-11-17T00:00:00.000Z</x:v>
      </x:c>
      <x:c r="E1000" s="1" t="str">
        <x:v>ridge</x:v>
      </x:c>
      <x:c r="F1000" s="10" t="n">
        <x:v>49</x:v>
      </x:c>
      <x:c r="G1000" s="10" t="n">
        <x:v>54.2610706295</x:v>
      </x:c>
      <x:c r="H1000" s="10" t="n">
        <x:f>ABS(G1000-F1000)</x:f>
        <x:v>5.261070629499997</x:v>
      </x:c>
      <x:c r="I1000" s="10" t="n">
        <x:f>G1000-F1000</x:f>
        <x:v>5.261070629499997</x:v>
      </x:c>
    </x:row>
    <x:row r="1001" ht="20" customHeight="1">
      <x:c r="A1001" s="1" t="str">
        <x:v>22423</x:v>
      </x:c>
      <x:c r="B1001" s="10" t="n">
        <x:v>3</x:v>
      </x:c>
      <x:c r="C1001" s="9" t="d">
        <x:v>2011-11-16T00:00:00.000Z</x:v>
      </x:c>
      <x:c r="D1001" s="9" t="d">
        <x:v>2011-11-18T00:00:00.000Z</x:v>
      </x:c>
      <x:c r="E1001" s="1" t="str">
        <x:v>ridge</x:v>
      </x:c>
      <x:c r="F1001" s="10" t="n">
        <x:v>110</x:v>
      </x:c>
      <x:c r="G1001" s="10" t="n">
        <x:v>51.6774400459</x:v>
      </x:c>
      <x:c r="H1001" s="10" t="n">
        <x:f>ABS(G1001-F1001)</x:f>
        <x:v>58.3225599541</x:v>
      </x:c>
      <x:c r="I1001" s="10" t="n">
        <x:f>G1001-F1001</x:f>
        <x:v>-58.3225599541</x:v>
      </x:c>
    </x:row>
    <x:row r="1002" ht="20" customHeight="1">
      <x:c r="A1002" s="1" t="str">
        <x:v>22423</x:v>
      </x:c>
      <x:c r="B1002" s="10" t="n">
        <x:v>3</x:v>
      </x:c>
      <x:c r="C1002" s="9" t="d">
        <x:v>2011-11-16T00:00:00.000Z</x:v>
      </x:c>
      <x:c r="D1002" s="9" t="d">
        <x:v>2011-11-19T00:00:00.000Z</x:v>
      </x:c>
      <x:c r="E1002" s="1" t="str">
        <x:v>ridge</x:v>
      </x:c>
      <x:c r="F1002" s="10" t="n">
        <x:v>0</x:v>
      </x:c>
      <x:c r="G1002" s="10" t="n">
        <x:v>16.5418546521</x:v>
      </x:c>
      <x:c r="H1002" s="10" t="n">
        <x:f>ABS(G1002-F1002)</x:f>
        <x:v>16.5418546521</x:v>
      </x:c>
      <x:c r="I1002" s="10" t="n">
        <x:f>G1002-F1002</x:f>
        <x:v>16.5418546521</x:v>
      </x:c>
    </x:row>
    <x:row r="1003" ht="20" customHeight="1">
      <x:c r="A1003" s="1" t="str">
        <x:v>22423</x:v>
      </x:c>
      <x:c r="B1003" s="10" t="n">
        <x:v>3</x:v>
      </x:c>
      <x:c r="C1003" s="9" t="d">
        <x:v>2011-11-16T00:00:00.000Z</x:v>
      </x:c>
      <x:c r="D1003" s="9" t="d">
        <x:v>2011-11-20T00:00:00.000Z</x:v>
      </x:c>
      <x:c r="E1003" s="1" t="str">
        <x:v>ridge</x:v>
      </x:c>
      <x:c r="F1003" s="10" t="n">
        <x:v>8</x:v>
      </x:c>
      <x:c r="G1003" s="10" t="n">
        <x:v>19.6889210816</x:v>
      </x:c>
      <x:c r="H1003" s="10" t="n">
        <x:f>ABS(G1003-F1003)</x:f>
        <x:v>11.6889210816</x:v>
      </x:c>
      <x:c r="I1003" s="10" t="n">
        <x:f>G1003-F1003</x:f>
        <x:v>11.6889210816</x:v>
      </x:c>
    </x:row>
    <x:row r="1004" ht="20" customHeight="1">
      <x:c r="A1004" s="1" t="str">
        <x:v>22423</x:v>
      </x:c>
      <x:c r="B1004" s="10" t="n">
        <x:v>3</x:v>
      </x:c>
      <x:c r="C1004" s="9" t="d">
        <x:v>2011-11-16T00:00:00.000Z</x:v>
      </x:c>
      <x:c r="D1004" s="9" t="d">
        <x:v>2011-11-21T00:00:00.000Z</x:v>
      </x:c>
      <x:c r="E1004" s="1" t="str">
        <x:v>ridge</x:v>
      </x:c>
      <x:c r="F1004" s="10" t="n">
        <x:v>50</x:v>
      </x:c>
      <x:c r="G1004" s="10" t="n">
        <x:v>24.1983686494</x:v>
      </x:c>
      <x:c r="H1004" s="10" t="n">
        <x:f>ABS(G1004-F1004)</x:f>
        <x:v>25.8016313506</x:v>
      </x:c>
      <x:c r="I1004" s="10" t="n">
        <x:f>G1004-F1004</x:f>
        <x:v>-25.8016313506</x:v>
      </x:c>
    </x:row>
    <x:row r="1005" ht="20" customHeight="1">
      <x:c r="A1005" s="1" t="str">
        <x:v>22423</x:v>
      </x:c>
      <x:c r="B1005" s="10" t="n">
        <x:v>3</x:v>
      </x:c>
      <x:c r="C1005" s="9" t="d">
        <x:v>2011-11-16T00:00:00.000Z</x:v>
      </x:c>
      <x:c r="D1005" s="9" t="d">
        <x:v>2011-11-22T00:00:00.000Z</x:v>
      </x:c>
      <x:c r="E1005" s="1" t="str">
        <x:v>ridge</x:v>
      </x:c>
      <x:c r="F1005" s="10" t="n">
        <x:v>29</x:v>
      </x:c>
      <x:c r="G1005" s="10" t="n">
        <x:v>39.6204358391</x:v>
      </x:c>
      <x:c r="H1005" s="10" t="n">
        <x:f>ABS(G1005-F1005)</x:f>
        <x:v>10.620435839099997</x:v>
      </x:c>
      <x:c r="I1005" s="10" t="n">
        <x:f>G1005-F1005</x:f>
        <x:v>10.620435839099997</x:v>
      </x:c>
    </x:row>
    <x:row r="1006" ht="20" customHeight="1">
      <x:c r="A1006" s="1" t="str">
        <x:v>22423</x:v>
      </x:c>
      <x:c r="B1006" s="10" t="n">
        <x:v>3</x:v>
      </x:c>
      <x:c r="C1006" s="9" t="d">
        <x:v>2011-11-16T00:00:00.000Z</x:v>
      </x:c>
      <x:c r="D1006" s="9" t="d">
        <x:v>2011-11-23T00:00:00.000Z</x:v>
      </x:c>
      <x:c r="E1006" s="1" t="str">
        <x:v>ridge</x:v>
      </x:c>
      <x:c r="F1006" s="10" t="n">
        <x:v>47</x:v>
      </x:c>
      <x:c r="G1006" s="10" t="n">
        <x:v>43.4217376469</x:v>
      </x:c>
      <x:c r="H1006" s="10" t="n">
        <x:f>ABS(G1006-F1006)</x:f>
        <x:v>3.5782623531000013</x:v>
      </x:c>
      <x:c r="I1006" s="10" t="n">
        <x:f>G1006-F1006</x:f>
        <x:v>-3.5782623531000013</x:v>
      </x:c>
    </x:row>
    <x:row r="1007" ht="20" customHeight="1">
      <x:c r="A1007" s="1" t="str">
        <x:v>22423</x:v>
      </x:c>
      <x:c r="B1007" s="10" t="n">
        <x:v>3</x:v>
      </x:c>
      <x:c r="C1007" s="9" t="d">
        <x:v>2011-11-16T00:00:00.000Z</x:v>
      </x:c>
      <x:c r="D1007" s="9" t="d">
        <x:v>2011-11-24T00:00:00.000Z</x:v>
      </x:c>
      <x:c r="E1007" s="1" t="str">
        <x:v>ridge</x:v>
      </x:c>
      <x:c r="F1007" s="10" t="n">
        <x:v>82</x:v>
      </x:c>
      <x:c r="G1007" s="10" t="n">
        <x:v>52.9136152053</x:v>
      </x:c>
      <x:c r="H1007" s="10" t="n">
        <x:f>ABS(G1007-F1007)</x:f>
        <x:v>29.086384794700002</x:v>
      </x:c>
      <x:c r="I1007" s="10" t="n">
        <x:f>G1007-F1007</x:f>
        <x:v>-29.086384794700002</x:v>
      </x:c>
    </x:row>
    <x:row r="1008" ht="20" customHeight="1">
      <x:c r="A1008" s="1" t="str">
        <x:v>22423</x:v>
      </x:c>
      <x:c r="B1008" s="10" t="n">
        <x:v>3</x:v>
      </x:c>
      <x:c r="C1008" s="9" t="d">
        <x:v>2011-11-16T00:00:00.000Z</x:v>
      </x:c>
      <x:c r="D1008" s="9" t="d">
        <x:v>2011-11-25T00:00:00.000Z</x:v>
      </x:c>
      <x:c r="E1008" s="1" t="str">
        <x:v>ridge</x:v>
      </x:c>
      <x:c r="F1008" s="10" t="n">
        <x:v>23</x:v>
      </x:c>
      <x:c r="G1008" s="10" t="n">
        <x:v>39.774354824</x:v>
      </x:c>
      <x:c r="H1008" s="10" t="n">
        <x:f>ABS(G1008-F1008)</x:f>
        <x:v>16.774354824</x:v>
      </x:c>
      <x:c r="I1008" s="10" t="n">
        <x:f>G1008-F1008</x:f>
        <x:v>16.774354824</x:v>
      </x:c>
    </x:row>
    <x:row r="1009" ht="20" customHeight="1">
      <x:c r="A1009" s="1" t="str">
        <x:v>22423</x:v>
      </x:c>
      <x:c r="B1009" s="10" t="n">
        <x:v>3</x:v>
      </x:c>
      <x:c r="C1009" s="9" t="d">
        <x:v>2011-11-16T00:00:00.000Z</x:v>
      </x:c>
      <x:c r="D1009" s="9" t="d">
        <x:v>2011-11-26T00:00:00.000Z</x:v>
      </x:c>
      <x:c r="E1009" s="1" t="str">
        <x:v>ridge</x:v>
      </x:c>
      <x:c r="F1009" s="10" t="n">
        <x:v>0</x:v>
      </x:c>
      <x:c r="G1009" s="10" t="n">
        <x:v>16.4208676197</x:v>
      </x:c>
      <x:c r="H1009" s="10" t="n">
        <x:f>ABS(G1009-F1009)</x:f>
        <x:v>16.4208676197</x:v>
      </x:c>
      <x:c r="I1009" s="10" t="n">
        <x:f>G1009-F1009</x:f>
        <x:v>16.4208676197</x:v>
      </x:c>
    </x:row>
    <x:row r="1010" ht="20" customHeight="1">
      <x:c r="A1010" s="1" t="str">
        <x:v>22423</x:v>
      </x:c>
      <x:c r="B1010" s="10" t="n">
        <x:v>3</x:v>
      </x:c>
      <x:c r="C1010" s="9" t="d">
        <x:v>2011-11-16T00:00:00.000Z</x:v>
      </x:c>
      <x:c r="D1010" s="9" t="d">
        <x:v>2011-11-27T00:00:00.000Z</x:v>
      </x:c>
      <x:c r="E1010" s="1" t="str">
        <x:v>ridge</x:v>
      </x:c>
      <x:c r="F1010" s="10" t="n">
        <x:v>29</x:v>
      </x:c>
      <x:c r="G1010" s="10" t="n">
        <x:v>16.2531858764</x:v>
      </x:c>
      <x:c r="H1010" s="10" t="n">
        <x:f>ABS(G1010-F1010)</x:f>
        <x:v>12.7468141236</x:v>
      </x:c>
      <x:c r="I1010" s="10" t="n">
        <x:f>G1010-F1010</x:f>
        <x:v>-12.7468141236</x:v>
      </x:c>
    </x:row>
    <x:row r="1011" ht="20" customHeight="1">
      <x:c r="A1011" s="1" t="str">
        <x:v>22423</x:v>
      </x:c>
      <x:c r="B1011" s="10" t="n">
        <x:v>3</x:v>
      </x:c>
      <x:c r="C1011" s="9" t="d">
        <x:v>2011-11-16T00:00:00.000Z</x:v>
      </x:c>
      <x:c r="D1011" s="9" t="d">
        <x:v>2011-11-28T00:00:00.000Z</x:v>
      </x:c>
      <x:c r="E1011" s="1" t="str">
        <x:v>ridge</x:v>
      </x:c>
      <x:c r="F1011" s="10" t="n">
        <x:v>34</x:v>
      </x:c>
      <x:c r="G1011" s="10" t="n">
        <x:v>20.8558022157</x:v>
      </x:c>
      <x:c r="H1011" s="10" t="n">
        <x:f>ABS(G1011-F1011)</x:f>
        <x:v>13.144197784300001</x:v>
      </x:c>
      <x:c r="I1011" s="10" t="n">
        <x:f>G1011-F1011</x:f>
        <x:v>-13.144197784300001</x:v>
      </x:c>
    </x:row>
    <x:row r="1012" ht="20" customHeight="1">
      <x:c r="A1012" s="1" t="str">
        <x:v>22423</x:v>
      </x:c>
      <x:c r="B1012" s="10" t="n">
        <x:v>3</x:v>
      </x:c>
      <x:c r="C1012" s="9" t="d">
        <x:v>2011-11-16T00:00:00.000Z</x:v>
      </x:c>
      <x:c r="D1012" s="9" t="d">
        <x:v>2011-11-29T00:00:00.000Z</x:v>
      </x:c>
      <x:c r="E1012" s="1" t="str">
        <x:v>ridge</x:v>
      </x:c>
      <x:c r="F1012" s="10" t="n">
        <x:v>93</x:v>
      </x:c>
      <x:c r="G1012" s="10" t="n">
        <x:v>42.708434306</x:v>
      </x:c>
      <x:c r="H1012" s="10" t="n">
        <x:f>ABS(G1012-F1012)</x:f>
        <x:v>50.291565694</x:v>
      </x:c>
      <x:c r="I1012" s="10" t="n">
        <x:f>G1012-F1012</x:f>
        <x:v>-50.291565694</x:v>
      </x:c>
    </x:row>
    <x:row r="1013" ht="20" customHeight="1">
      <x:c r="A1013" s="1" t="str">
        <x:v>22423</x:v>
      </x:c>
      <x:c r="B1013" s="10" t="n">
        <x:v>3</x:v>
      </x:c>
      <x:c r="C1013" s="9" t="d">
        <x:v>2011-11-16T00:00:00.000Z</x:v>
      </x:c>
      <x:c r="D1013" s="9" t="d">
        <x:v>2011-11-30T00:00:00.000Z</x:v>
      </x:c>
      <x:c r="E1013" s="1" t="str">
        <x:v>ridge</x:v>
      </x:c>
      <x:c r="F1013" s="10" t="n">
        <x:v>35</x:v>
      </x:c>
      <x:c r="G1013" s="10" t="n">
        <x:v>47.9363689081</x:v>
      </x:c>
      <x:c r="H1013" s="10" t="n">
        <x:f>ABS(G1013-F1013)</x:f>
        <x:v>12.9363689081</x:v>
      </x:c>
      <x:c r="I1013" s="10" t="n">
        <x:f>G1013-F1013</x:f>
        <x:v>12.9363689081</x:v>
      </x:c>
    </x:row>
    <x:row r="1014" ht="20" customHeight="1">
      <x:c r="A1014" s="1" t="str">
        <x:v>22457</x:v>
      </x:c>
      <x:c r="B1014" s="10" t="n">
        <x:v>1</x:v>
      </x:c>
      <x:c r="C1014" s="9" t="d">
        <x:v>2011-10-19T00:00:00.000Z</x:v>
      </x:c>
      <x:c r="D1014" s="9" t="d">
        <x:v>2011-10-20T00:00:00.000Z</x:v>
      </x:c>
      <x:c r="E1014" s="1" t="str">
        <x:v>naive</x:v>
      </x:c>
      <x:c r="F1014" s="10" t="n">
        <x:v>18</x:v>
      </x:c>
      <x:c r="G1014" s="10" t="n">
        <x:v>79</x:v>
      </x:c>
      <x:c r="H1014" s="10" t="n">
        <x:f>ABS(G1014-F1014)</x:f>
        <x:v>61</x:v>
      </x:c>
      <x:c r="I1014" s="10" t="n">
        <x:f>G1014-F1014</x:f>
        <x:v>61</x:v>
      </x:c>
    </x:row>
    <x:row r="1015" ht="20" customHeight="1">
      <x:c r="A1015" s="1" t="str">
        <x:v>22457</x:v>
      </x:c>
      <x:c r="B1015" s="10" t="n">
        <x:v>1</x:v>
      </x:c>
      <x:c r="C1015" s="9" t="d">
        <x:v>2011-10-19T00:00:00.000Z</x:v>
      </x:c>
      <x:c r="D1015" s="9" t="d">
        <x:v>2011-10-21T00:00:00.000Z</x:v>
      </x:c>
      <x:c r="E1015" s="1" t="str">
        <x:v>naive</x:v>
      </x:c>
      <x:c r="F1015" s="10" t="n">
        <x:v>20</x:v>
      </x:c>
      <x:c r="G1015" s="10" t="n">
        <x:v>79</x:v>
      </x:c>
      <x:c r="H1015" s="10" t="n">
        <x:f>ABS(G1015-F1015)</x:f>
        <x:v>59</x:v>
      </x:c>
      <x:c r="I1015" s="10" t="n">
        <x:f>G1015-F1015</x:f>
        <x:v>59</x:v>
      </x:c>
    </x:row>
    <x:row r="1016" ht="20" customHeight="1">
      <x:c r="A1016" s="1" t="str">
        <x:v>22457</x:v>
      </x:c>
      <x:c r="B1016" s="10" t="n">
        <x:v>1</x:v>
      </x:c>
      <x:c r="C1016" s="9" t="d">
        <x:v>2011-10-19T00:00:00.000Z</x:v>
      </x:c>
      <x:c r="D1016" s="9" t="d">
        <x:v>2011-10-22T00:00:00.000Z</x:v>
      </x:c>
      <x:c r="E1016" s="1" t="str">
        <x:v>naive</x:v>
      </x:c>
      <x:c r="F1016" s="10" t="n">
        <x:v>0</x:v>
      </x:c>
      <x:c r="G1016" s="10" t="n">
        <x:v>79</x:v>
      </x:c>
      <x:c r="H1016" s="10" t="n">
        <x:f>ABS(G1016-F1016)</x:f>
        <x:v>79</x:v>
      </x:c>
      <x:c r="I1016" s="10" t="n">
        <x:f>G1016-F1016</x:f>
        <x:v>79</x:v>
      </x:c>
    </x:row>
    <x:row r="1017" ht="20" customHeight="1">
      <x:c r="A1017" s="1" t="str">
        <x:v>22457</x:v>
      </x:c>
      <x:c r="B1017" s="10" t="n">
        <x:v>1</x:v>
      </x:c>
      <x:c r="C1017" s="9" t="d">
        <x:v>2011-10-19T00:00:00.000Z</x:v>
      </x:c>
      <x:c r="D1017" s="9" t="d">
        <x:v>2011-10-23T00:00:00.000Z</x:v>
      </x:c>
      <x:c r="E1017" s="1" t="str">
        <x:v>naive</x:v>
      </x:c>
      <x:c r="F1017" s="10" t="n">
        <x:v>8</x:v>
      </x:c>
      <x:c r="G1017" s="10" t="n">
        <x:v>79</x:v>
      </x:c>
      <x:c r="H1017" s="10" t="n">
        <x:f>ABS(G1017-F1017)</x:f>
        <x:v>71</x:v>
      </x:c>
      <x:c r="I1017" s="10" t="n">
        <x:f>G1017-F1017</x:f>
        <x:v>71</x:v>
      </x:c>
    </x:row>
    <x:row r="1018" ht="20" customHeight="1">
      <x:c r="A1018" s="1" t="str">
        <x:v>22457</x:v>
      </x:c>
      <x:c r="B1018" s="10" t="n">
        <x:v>1</x:v>
      </x:c>
      <x:c r="C1018" s="9" t="d">
        <x:v>2011-10-19T00:00:00.000Z</x:v>
      </x:c>
      <x:c r="D1018" s="9" t="d">
        <x:v>2011-10-24T00:00:00.000Z</x:v>
      </x:c>
      <x:c r="E1018" s="1" t="str">
        <x:v>naive</x:v>
      </x:c>
      <x:c r="F1018" s="10" t="n">
        <x:v>16</x:v>
      </x:c>
      <x:c r="G1018" s="10" t="n">
        <x:v>79</x:v>
      </x:c>
      <x:c r="H1018" s="10" t="n">
        <x:f>ABS(G1018-F1018)</x:f>
        <x:v>63</x:v>
      </x:c>
      <x:c r="I1018" s="10" t="n">
        <x:f>G1018-F1018</x:f>
        <x:v>63</x:v>
      </x:c>
    </x:row>
    <x:row r="1019" ht="20" customHeight="1">
      <x:c r="A1019" s="1" t="str">
        <x:v>22457</x:v>
      </x:c>
      <x:c r="B1019" s="10" t="n">
        <x:v>1</x:v>
      </x:c>
      <x:c r="C1019" s="9" t="d">
        <x:v>2011-10-19T00:00:00.000Z</x:v>
      </x:c>
      <x:c r="D1019" s="9" t="d">
        <x:v>2011-10-25T00:00:00.000Z</x:v>
      </x:c>
      <x:c r="E1019" s="1" t="str">
        <x:v>naive</x:v>
      </x:c>
      <x:c r="F1019" s="10" t="n">
        <x:v>0</x:v>
      </x:c>
      <x:c r="G1019" s="10" t="n">
        <x:v>79</x:v>
      </x:c>
      <x:c r="H1019" s="10" t="n">
        <x:f>ABS(G1019-F1019)</x:f>
        <x:v>79</x:v>
      </x:c>
      <x:c r="I1019" s="10" t="n">
        <x:f>G1019-F1019</x:f>
        <x:v>79</x:v>
      </x:c>
    </x:row>
    <x:row r="1020" ht="20" customHeight="1">
      <x:c r="A1020" s="1" t="str">
        <x:v>22457</x:v>
      </x:c>
      <x:c r="B1020" s="10" t="n">
        <x:v>1</x:v>
      </x:c>
      <x:c r="C1020" s="9" t="d">
        <x:v>2011-10-19T00:00:00.000Z</x:v>
      </x:c>
      <x:c r="D1020" s="9" t="d">
        <x:v>2011-10-26T00:00:00.000Z</x:v>
      </x:c>
      <x:c r="E1020" s="1" t="str">
        <x:v>naive</x:v>
      </x:c>
      <x:c r="F1020" s="10" t="n">
        <x:v>18</x:v>
      </x:c>
      <x:c r="G1020" s="10" t="n">
        <x:v>79</x:v>
      </x:c>
      <x:c r="H1020" s="10" t="n">
        <x:f>ABS(G1020-F1020)</x:f>
        <x:v>61</x:v>
      </x:c>
      <x:c r="I1020" s="10" t="n">
        <x:f>G1020-F1020</x:f>
        <x:v>61</x:v>
      </x:c>
    </x:row>
    <x:row r="1021" ht="20" customHeight="1">
      <x:c r="A1021" s="1" t="str">
        <x:v>22457</x:v>
      </x:c>
      <x:c r="B1021" s="10" t="n">
        <x:v>1</x:v>
      </x:c>
      <x:c r="C1021" s="9" t="d">
        <x:v>2011-10-19T00:00:00.000Z</x:v>
      </x:c>
      <x:c r="D1021" s="9" t="d">
        <x:v>2011-10-27T00:00:00.000Z</x:v>
      </x:c>
      <x:c r="E1021" s="1" t="str">
        <x:v>naive</x:v>
      </x:c>
      <x:c r="F1021" s="10" t="n">
        <x:v>22</x:v>
      </x:c>
      <x:c r="G1021" s="10" t="n">
        <x:v>79</x:v>
      </x:c>
      <x:c r="H1021" s="10" t="n">
        <x:f>ABS(G1021-F1021)</x:f>
        <x:v>57</x:v>
      </x:c>
      <x:c r="I1021" s="10" t="n">
        <x:f>G1021-F1021</x:f>
        <x:v>57</x:v>
      </x:c>
    </x:row>
    <x:row r="1022" ht="20" customHeight="1">
      <x:c r="A1022" s="1" t="str">
        <x:v>22457</x:v>
      </x:c>
      <x:c r="B1022" s="10" t="n">
        <x:v>1</x:v>
      </x:c>
      <x:c r="C1022" s="9" t="d">
        <x:v>2011-10-19T00:00:00.000Z</x:v>
      </x:c>
      <x:c r="D1022" s="9" t="d">
        <x:v>2011-10-28T00:00:00.000Z</x:v>
      </x:c>
      <x:c r="E1022" s="1" t="str">
        <x:v>naive</x:v>
      </x:c>
      <x:c r="F1022" s="10" t="n">
        <x:v>66</x:v>
      </x:c>
      <x:c r="G1022" s="10" t="n">
        <x:v>79</x:v>
      </x:c>
      <x:c r="H1022" s="10" t="n">
        <x:f>ABS(G1022-F1022)</x:f>
        <x:v>13</x:v>
      </x:c>
      <x:c r="I1022" s="10" t="n">
        <x:f>G1022-F1022</x:f>
        <x:v>13</x:v>
      </x:c>
    </x:row>
    <x:row r="1023" ht="20" customHeight="1">
      <x:c r="A1023" s="1" t="str">
        <x:v>22457</x:v>
      </x:c>
      <x:c r="B1023" s="10" t="n">
        <x:v>1</x:v>
      </x:c>
      <x:c r="C1023" s="9" t="d">
        <x:v>2011-10-19T00:00:00.000Z</x:v>
      </x:c>
      <x:c r="D1023" s="9" t="d">
        <x:v>2011-10-29T00:00:00.000Z</x:v>
      </x:c>
      <x:c r="E1023" s="1" t="str">
        <x:v>naive</x:v>
      </x:c>
      <x:c r="F1023" s="10" t="n">
        <x:v>0</x:v>
      </x:c>
      <x:c r="G1023" s="10" t="n">
        <x:v>79</x:v>
      </x:c>
      <x:c r="H1023" s="10" t="n">
        <x:f>ABS(G1023-F1023)</x:f>
        <x:v>79</x:v>
      </x:c>
      <x:c r="I1023" s="10" t="n">
        <x:f>G1023-F1023</x:f>
        <x:v>79</x:v>
      </x:c>
    </x:row>
    <x:row r="1024" ht="20" customHeight="1">
      <x:c r="A1024" s="1" t="str">
        <x:v>22457</x:v>
      </x:c>
      <x:c r="B1024" s="10" t="n">
        <x:v>1</x:v>
      </x:c>
      <x:c r="C1024" s="9" t="d">
        <x:v>2011-10-19T00:00:00.000Z</x:v>
      </x:c>
      <x:c r="D1024" s="9" t="d">
        <x:v>2011-10-30T00:00:00.000Z</x:v>
      </x:c>
      <x:c r="E1024" s="1" t="str">
        <x:v>naive</x:v>
      </x:c>
      <x:c r="F1024" s="10" t="n">
        <x:v>11</x:v>
      </x:c>
      <x:c r="G1024" s="10" t="n">
        <x:v>79</x:v>
      </x:c>
      <x:c r="H1024" s="10" t="n">
        <x:f>ABS(G1024-F1024)</x:f>
        <x:v>68</x:v>
      </x:c>
      <x:c r="I1024" s="10" t="n">
        <x:f>G1024-F1024</x:f>
        <x:v>68</x:v>
      </x:c>
    </x:row>
    <x:row r="1025" ht="20" customHeight="1">
      <x:c r="A1025" s="1" t="str">
        <x:v>22457</x:v>
      </x:c>
      <x:c r="B1025" s="10" t="n">
        <x:v>1</x:v>
      </x:c>
      <x:c r="C1025" s="9" t="d">
        <x:v>2011-10-19T00:00:00.000Z</x:v>
      </x:c>
      <x:c r="D1025" s="9" t="d">
        <x:v>2011-10-31T00:00:00.000Z</x:v>
      </x:c>
      <x:c r="E1025" s="1" t="str">
        <x:v>naive</x:v>
      </x:c>
      <x:c r="F1025" s="10" t="n">
        <x:v>29</x:v>
      </x:c>
      <x:c r="G1025" s="10" t="n">
        <x:v>79</x:v>
      </x:c>
      <x:c r="H1025" s="10" t="n">
        <x:f>ABS(G1025-F1025)</x:f>
        <x:v>50</x:v>
      </x:c>
      <x:c r="I1025" s="10" t="n">
        <x:f>G1025-F1025</x:f>
        <x:v>50</x:v>
      </x:c>
    </x:row>
    <x:row r="1026" ht="20" customHeight="1">
      <x:c r="A1026" s="1" t="str">
        <x:v>22457</x:v>
      </x:c>
      <x:c r="B1026" s="10" t="n">
        <x:v>1</x:v>
      </x:c>
      <x:c r="C1026" s="9" t="d">
        <x:v>2011-10-19T00:00:00.000Z</x:v>
      </x:c>
      <x:c r="D1026" s="9" t="d">
        <x:v>2011-11-01T00:00:00.000Z</x:v>
      </x:c>
      <x:c r="E1026" s="1" t="str">
        <x:v>naive</x:v>
      </x:c>
      <x:c r="F1026" s="10" t="n">
        <x:v>12</x:v>
      </x:c>
      <x:c r="G1026" s="10" t="n">
        <x:v>79</x:v>
      </x:c>
      <x:c r="H1026" s="10" t="n">
        <x:f>ABS(G1026-F1026)</x:f>
        <x:v>67</x:v>
      </x:c>
      <x:c r="I1026" s="10" t="n">
        <x:f>G1026-F1026</x:f>
        <x:v>67</x:v>
      </x:c>
    </x:row>
    <x:row r="1027" ht="20" customHeight="1">
      <x:c r="A1027" s="1" t="str">
        <x:v>22457</x:v>
      </x:c>
      <x:c r="B1027" s="10" t="n">
        <x:v>1</x:v>
      </x:c>
      <x:c r="C1027" s="9" t="d">
        <x:v>2011-10-19T00:00:00.000Z</x:v>
      </x:c>
      <x:c r="D1027" s="9" t="d">
        <x:v>2011-11-02T00:00:00.000Z</x:v>
      </x:c>
      <x:c r="E1027" s="1" t="str">
        <x:v>naive</x:v>
      </x:c>
      <x:c r="F1027" s="10" t="n">
        <x:v>8</x:v>
      </x:c>
      <x:c r="G1027" s="10" t="n">
        <x:v>79</x:v>
      </x:c>
      <x:c r="H1027" s="10" t="n">
        <x:f>ABS(G1027-F1027)</x:f>
        <x:v>71</x:v>
      </x:c>
      <x:c r="I1027" s="10" t="n">
        <x:f>G1027-F1027</x:f>
        <x:v>71</x:v>
      </x:c>
    </x:row>
    <x:row r="1028" ht="20" customHeight="1">
      <x:c r="A1028" s="1" t="str">
        <x:v>22457</x:v>
      </x:c>
      <x:c r="B1028" s="10" t="n">
        <x:v>1</x:v>
      </x:c>
      <x:c r="C1028" s="9" t="d">
        <x:v>2011-10-19T00:00:00.000Z</x:v>
      </x:c>
      <x:c r="D1028" s="9" t="d">
        <x:v>2011-10-20T00:00:00.000Z</x:v>
      </x:c>
      <x:c r="E1028" s="1" t="str">
        <x:v>seasonal_naive</x:v>
      </x:c>
      <x:c r="F1028" s="10" t="n">
        <x:v>18</x:v>
      </x:c>
      <x:c r="G1028" s="10" t="n">
        <x:v>40</x:v>
      </x:c>
      <x:c r="H1028" s="10" t="n">
        <x:f>ABS(G1028-F1028)</x:f>
        <x:v>22</x:v>
      </x:c>
      <x:c r="I1028" s="10" t="n">
        <x:f>G1028-F1028</x:f>
        <x:v>22</x:v>
      </x:c>
    </x:row>
    <x:row r="1029" ht="20" customHeight="1">
      <x:c r="A1029" s="1" t="str">
        <x:v>22457</x:v>
      </x:c>
      <x:c r="B1029" s="10" t="n">
        <x:v>1</x:v>
      </x:c>
      <x:c r="C1029" s="9" t="d">
        <x:v>2011-10-19T00:00:00.000Z</x:v>
      </x:c>
      <x:c r="D1029" s="9" t="d">
        <x:v>2011-10-21T00:00:00.000Z</x:v>
      </x:c>
      <x:c r="E1029" s="1" t="str">
        <x:v>seasonal_naive</x:v>
      </x:c>
      <x:c r="F1029" s="10" t="n">
        <x:v>20</x:v>
      </x:c>
      <x:c r="G1029" s="10" t="n">
        <x:v>17</x:v>
      </x:c>
      <x:c r="H1029" s="10" t="n">
        <x:f>ABS(G1029-F1029)</x:f>
        <x:v>3</x:v>
      </x:c>
      <x:c r="I1029" s="10" t="n">
        <x:f>G1029-F1029</x:f>
        <x:v>-3</x:v>
      </x:c>
    </x:row>
    <x:row r="1030" ht="20" customHeight="1">
      <x:c r="A1030" s="1" t="str">
        <x:v>22457</x:v>
      </x:c>
      <x:c r="B1030" s="10" t="n">
        <x:v>1</x:v>
      </x:c>
      <x:c r="C1030" s="9" t="d">
        <x:v>2011-10-19T00:00:00.000Z</x:v>
      </x:c>
      <x:c r="D1030" s="9" t="d">
        <x:v>2011-10-22T00:00:00.000Z</x:v>
      </x:c>
      <x:c r="E1030" s="1" t="str">
        <x:v>seasonal_naive</x:v>
      </x:c>
      <x:c r="F1030" s="10" t="n">
        <x:v>0</x:v>
      </x:c>
      <x:c r="G1030" s="10" t="n">
        <x:v>0</x:v>
      </x:c>
      <x:c r="H1030" s="10" t="n">
        <x:f>ABS(G1030-F1030)</x:f>
        <x:v>0</x:v>
      </x:c>
      <x:c r="I1030" s="10" t="n">
        <x:f>G1030-F1030</x:f>
        <x:v>0</x:v>
      </x:c>
    </x:row>
    <x:row r="1031" ht="20" customHeight="1">
      <x:c r="A1031" s="1" t="str">
        <x:v>22457</x:v>
      </x:c>
      <x:c r="B1031" s="10" t="n">
        <x:v>1</x:v>
      </x:c>
      <x:c r="C1031" s="9" t="d">
        <x:v>2011-10-19T00:00:00.000Z</x:v>
      </x:c>
      <x:c r="D1031" s="9" t="d">
        <x:v>2011-10-23T00:00:00.000Z</x:v>
      </x:c>
      <x:c r="E1031" s="1" t="str">
        <x:v>seasonal_naive</x:v>
      </x:c>
      <x:c r="F1031" s="10" t="n">
        <x:v>8</x:v>
      </x:c>
      <x:c r="G1031" s="10" t="n">
        <x:v>24</x:v>
      </x:c>
      <x:c r="H1031" s="10" t="n">
        <x:f>ABS(G1031-F1031)</x:f>
        <x:v>16</x:v>
      </x:c>
      <x:c r="I1031" s="10" t="n">
        <x:f>G1031-F1031</x:f>
        <x:v>16</x:v>
      </x:c>
    </x:row>
    <x:row r="1032" ht="20" customHeight="1">
      <x:c r="A1032" s="1" t="str">
        <x:v>22457</x:v>
      </x:c>
      <x:c r="B1032" s="10" t="n">
        <x:v>1</x:v>
      </x:c>
      <x:c r="C1032" s="9" t="d">
        <x:v>2011-10-19T00:00:00.000Z</x:v>
      </x:c>
      <x:c r="D1032" s="9" t="d">
        <x:v>2011-10-24T00:00:00.000Z</x:v>
      </x:c>
      <x:c r="E1032" s="1" t="str">
        <x:v>seasonal_naive</x:v>
      </x:c>
      <x:c r="F1032" s="10" t="n">
        <x:v>16</x:v>
      </x:c>
      <x:c r="G1032" s="10" t="n">
        <x:v>41</x:v>
      </x:c>
      <x:c r="H1032" s="10" t="n">
        <x:f>ABS(G1032-F1032)</x:f>
        <x:v>25</x:v>
      </x:c>
      <x:c r="I1032" s="10" t="n">
        <x:f>G1032-F1032</x:f>
        <x:v>25</x:v>
      </x:c>
    </x:row>
    <x:row r="1033" ht="20" customHeight="1">
      <x:c r="A1033" s="1" t="str">
        <x:v>22457</x:v>
      </x:c>
      <x:c r="B1033" s="10" t="n">
        <x:v>1</x:v>
      </x:c>
      <x:c r="C1033" s="9" t="d">
        <x:v>2011-10-19T00:00:00.000Z</x:v>
      </x:c>
      <x:c r="D1033" s="9" t="d">
        <x:v>2011-10-25T00:00:00.000Z</x:v>
      </x:c>
      <x:c r="E1033" s="1" t="str">
        <x:v>seasonal_naive</x:v>
      </x:c>
      <x:c r="F1033" s="10" t="n">
        <x:v>0</x:v>
      </x:c>
      <x:c r="G1033" s="10" t="n">
        <x:v>26</x:v>
      </x:c>
      <x:c r="H1033" s="10" t="n">
        <x:f>ABS(G1033-F1033)</x:f>
        <x:v>26</x:v>
      </x:c>
      <x:c r="I1033" s="10" t="n">
        <x:f>G1033-F1033</x:f>
        <x:v>26</x:v>
      </x:c>
    </x:row>
    <x:row r="1034" ht="20" customHeight="1">
      <x:c r="A1034" s="1" t="str">
        <x:v>22457</x:v>
      </x:c>
      <x:c r="B1034" s="10" t="n">
        <x:v>1</x:v>
      </x:c>
      <x:c r="C1034" s="9" t="d">
        <x:v>2011-10-19T00:00:00.000Z</x:v>
      </x:c>
      <x:c r="D1034" s="9" t="d">
        <x:v>2011-10-26T00:00:00.000Z</x:v>
      </x:c>
      <x:c r="E1034" s="1" t="str">
        <x:v>seasonal_naive</x:v>
      </x:c>
      <x:c r="F1034" s="10" t="n">
        <x:v>18</x:v>
      </x:c>
      <x:c r="G1034" s="10" t="n">
        <x:v>79</x:v>
      </x:c>
      <x:c r="H1034" s="10" t="n">
        <x:f>ABS(G1034-F1034)</x:f>
        <x:v>61</x:v>
      </x:c>
      <x:c r="I1034" s="10" t="n">
        <x:f>G1034-F1034</x:f>
        <x:v>61</x:v>
      </x:c>
    </x:row>
    <x:row r="1035" ht="20" customHeight="1">
      <x:c r="A1035" s="1" t="str">
        <x:v>22457</x:v>
      </x:c>
      <x:c r="B1035" s="10" t="n">
        <x:v>1</x:v>
      </x:c>
      <x:c r="C1035" s="9" t="d">
        <x:v>2011-10-19T00:00:00.000Z</x:v>
      </x:c>
      <x:c r="D1035" s="9" t="d">
        <x:v>2011-10-27T00:00:00.000Z</x:v>
      </x:c>
      <x:c r="E1035" s="1" t="str">
        <x:v>seasonal_naive</x:v>
      </x:c>
      <x:c r="F1035" s="10" t="n">
        <x:v>22</x:v>
      </x:c>
      <x:c r="G1035" s="10" t="n">
        <x:v>40</x:v>
      </x:c>
      <x:c r="H1035" s="10" t="n">
        <x:f>ABS(G1035-F1035)</x:f>
        <x:v>18</x:v>
      </x:c>
      <x:c r="I1035" s="10" t="n">
        <x:f>G1035-F1035</x:f>
        <x:v>18</x:v>
      </x:c>
    </x:row>
    <x:row r="1036" ht="20" customHeight="1">
      <x:c r="A1036" s="1" t="str">
        <x:v>22457</x:v>
      </x:c>
      <x:c r="B1036" s="10" t="n">
        <x:v>1</x:v>
      </x:c>
      <x:c r="C1036" s="9" t="d">
        <x:v>2011-10-19T00:00:00.000Z</x:v>
      </x:c>
      <x:c r="D1036" s="9" t="d">
        <x:v>2011-10-28T00:00:00.000Z</x:v>
      </x:c>
      <x:c r="E1036" s="1" t="str">
        <x:v>seasonal_naive</x:v>
      </x:c>
      <x:c r="F1036" s="10" t="n">
        <x:v>66</x:v>
      </x:c>
      <x:c r="G1036" s="10" t="n">
        <x:v>17</x:v>
      </x:c>
      <x:c r="H1036" s="10" t="n">
        <x:f>ABS(G1036-F1036)</x:f>
        <x:v>49</x:v>
      </x:c>
      <x:c r="I1036" s="10" t="n">
        <x:f>G1036-F1036</x:f>
        <x:v>-49</x:v>
      </x:c>
    </x:row>
    <x:row r="1037" ht="20" customHeight="1">
      <x:c r="A1037" s="1" t="str">
        <x:v>22457</x:v>
      </x:c>
      <x:c r="B1037" s="10" t="n">
        <x:v>1</x:v>
      </x:c>
      <x:c r="C1037" s="9" t="d">
        <x:v>2011-10-19T00:00:00.000Z</x:v>
      </x:c>
      <x:c r="D1037" s="9" t="d">
        <x:v>2011-10-29T00:00:00.000Z</x:v>
      </x:c>
      <x:c r="E1037" s="1" t="str">
        <x:v>seasonal_naive</x:v>
      </x:c>
      <x:c r="F1037" s="10" t="n">
        <x:v>0</x:v>
      </x:c>
      <x:c r="G1037" s="10" t="n">
        <x:v>0</x:v>
      </x:c>
      <x:c r="H1037" s="10" t="n">
        <x:f>ABS(G1037-F1037)</x:f>
        <x:v>0</x:v>
      </x:c>
      <x:c r="I1037" s="10" t="n">
        <x:f>G1037-F1037</x:f>
        <x:v>0</x:v>
      </x:c>
    </x:row>
    <x:row r="1038" ht="20" customHeight="1">
      <x:c r="A1038" s="1" t="str">
        <x:v>22457</x:v>
      </x:c>
      <x:c r="B1038" s="10" t="n">
        <x:v>1</x:v>
      </x:c>
      <x:c r="C1038" s="9" t="d">
        <x:v>2011-10-19T00:00:00.000Z</x:v>
      </x:c>
      <x:c r="D1038" s="9" t="d">
        <x:v>2011-10-30T00:00:00.000Z</x:v>
      </x:c>
      <x:c r="E1038" s="1" t="str">
        <x:v>seasonal_naive</x:v>
      </x:c>
      <x:c r="F1038" s="10" t="n">
        <x:v>11</x:v>
      </x:c>
      <x:c r="G1038" s="10" t="n">
        <x:v>24</x:v>
      </x:c>
      <x:c r="H1038" s="10" t="n">
        <x:f>ABS(G1038-F1038)</x:f>
        <x:v>13</x:v>
      </x:c>
      <x:c r="I1038" s="10" t="n">
        <x:f>G1038-F1038</x:f>
        <x:v>13</x:v>
      </x:c>
    </x:row>
    <x:row r="1039" ht="20" customHeight="1">
      <x:c r="A1039" s="1" t="str">
        <x:v>22457</x:v>
      </x:c>
      <x:c r="B1039" s="10" t="n">
        <x:v>1</x:v>
      </x:c>
      <x:c r="C1039" s="9" t="d">
        <x:v>2011-10-19T00:00:00.000Z</x:v>
      </x:c>
      <x:c r="D1039" s="9" t="d">
        <x:v>2011-10-31T00:00:00.000Z</x:v>
      </x:c>
      <x:c r="E1039" s="1" t="str">
        <x:v>seasonal_naive</x:v>
      </x:c>
      <x:c r="F1039" s="10" t="n">
        <x:v>29</x:v>
      </x:c>
      <x:c r="G1039" s="10" t="n">
        <x:v>41</x:v>
      </x:c>
      <x:c r="H1039" s="10" t="n">
        <x:f>ABS(G1039-F1039)</x:f>
        <x:v>12</x:v>
      </x:c>
      <x:c r="I1039" s="10" t="n">
        <x:f>G1039-F1039</x:f>
        <x:v>12</x:v>
      </x:c>
    </x:row>
    <x:row r="1040" ht="20" customHeight="1">
      <x:c r="A1040" s="1" t="str">
        <x:v>22457</x:v>
      </x:c>
      <x:c r="B1040" s="10" t="n">
        <x:v>1</x:v>
      </x:c>
      <x:c r="C1040" s="9" t="d">
        <x:v>2011-10-19T00:00:00.000Z</x:v>
      </x:c>
      <x:c r="D1040" s="9" t="d">
        <x:v>2011-11-01T00:00:00.000Z</x:v>
      </x:c>
      <x:c r="E1040" s="1" t="str">
        <x:v>seasonal_naive</x:v>
      </x:c>
      <x:c r="F1040" s="10" t="n">
        <x:v>12</x:v>
      </x:c>
      <x:c r="G1040" s="10" t="n">
        <x:v>26</x:v>
      </x:c>
      <x:c r="H1040" s="10" t="n">
        <x:f>ABS(G1040-F1040)</x:f>
        <x:v>14</x:v>
      </x:c>
      <x:c r="I1040" s="10" t="n">
        <x:f>G1040-F1040</x:f>
        <x:v>14</x:v>
      </x:c>
    </x:row>
    <x:row r="1041" ht="20" customHeight="1">
      <x:c r="A1041" s="1" t="str">
        <x:v>22457</x:v>
      </x:c>
      <x:c r="B1041" s="10" t="n">
        <x:v>1</x:v>
      </x:c>
      <x:c r="C1041" s="9" t="d">
        <x:v>2011-10-19T00:00:00.000Z</x:v>
      </x:c>
      <x:c r="D1041" s="9" t="d">
        <x:v>2011-11-02T00:00:00.000Z</x:v>
      </x:c>
      <x:c r="E1041" s="1" t="str">
        <x:v>seasonal_naive</x:v>
      </x:c>
      <x:c r="F1041" s="10" t="n">
        <x:v>8</x:v>
      </x:c>
      <x:c r="G1041" s="10" t="n">
        <x:v>79</x:v>
      </x:c>
      <x:c r="H1041" s="10" t="n">
        <x:f>ABS(G1041-F1041)</x:f>
        <x:v>71</x:v>
      </x:c>
      <x:c r="I1041" s="10" t="n">
        <x:f>G1041-F1041</x:f>
        <x:v>71</x:v>
      </x:c>
    </x:row>
    <x:row r="1042" ht="20" customHeight="1">
      <x:c r="A1042" s="1" t="str">
        <x:v>22457</x:v>
      </x:c>
      <x:c r="B1042" s="10" t="n">
        <x:v>1</x:v>
      </x:c>
      <x:c r="C1042" s="9" t="d">
        <x:v>2011-10-19T00:00:00.000Z</x:v>
      </x:c>
      <x:c r="D1042" s="9" t="d">
        <x:v>2011-10-20T00:00:00.000Z</x:v>
      </x:c>
      <x:c r="E1042" s="1" t="str">
        <x:v>ridge</x:v>
      </x:c>
      <x:c r="F1042" s="10" t="n">
        <x:v>18</x:v>
      </x:c>
      <x:c r="G1042" s="10" t="n">
        <x:v>31.6793821337</x:v>
      </x:c>
      <x:c r="H1042" s="10" t="n">
        <x:f>ABS(G1042-F1042)</x:f>
        <x:v>13.679382133699999</x:v>
      </x:c>
      <x:c r="I1042" s="10" t="n">
        <x:f>G1042-F1042</x:f>
        <x:v>13.679382133699999</x:v>
      </x:c>
    </x:row>
    <x:row r="1043" ht="20" customHeight="1">
      <x:c r="A1043" s="1" t="str">
        <x:v>22457</x:v>
      </x:c>
      <x:c r="B1043" s="10" t="n">
        <x:v>1</x:v>
      </x:c>
      <x:c r="C1043" s="9" t="d">
        <x:v>2011-10-19T00:00:00.000Z</x:v>
      </x:c>
      <x:c r="D1043" s="9" t="d">
        <x:v>2011-10-21T00:00:00.000Z</x:v>
      </x:c>
      <x:c r="E1043" s="1" t="str">
        <x:v>ridge</x:v>
      </x:c>
      <x:c r="F1043" s="10" t="n">
        <x:v>20</x:v>
      </x:c>
      <x:c r="G1043" s="10" t="n">
        <x:v>17.3935627206</x:v>
      </x:c>
      <x:c r="H1043" s="10" t="n">
        <x:f>ABS(G1043-F1043)</x:f>
        <x:v>2.6064372794000015</x:v>
      </x:c>
      <x:c r="I1043" s="10" t="n">
        <x:f>G1043-F1043</x:f>
        <x:v>-2.6064372794000015</x:v>
      </x:c>
    </x:row>
    <x:row r="1044" ht="20" customHeight="1">
      <x:c r="A1044" s="1" t="str">
        <x:v>22457</x:v>
      </x:c>
      <x:c r="B1044" s="10" t="n">
        <x:v>1</x:v>
      </x:c>
      <x:c r="C1044" s="9" t="d">
        <x:v>2011-10-19T00:00:00.000Z</x:v>
      </x:c>
      <x:c r="D1044" s="9" t="d">
        <x:v>2011-10-22T00:00:00.000Z</x:v>
      </x:c>
      <x:c r="E1044" s="1" t="str">
        <x:v>ridge</x:v>
      </x:c>
      <x:c r="F1044" s="10" t="n">
        <x:v>0</x:v>
      </x:c>
      <x:c r="G1044" s="10" t="n">
        <x:v>7.9550467081</x:v>
      </x:c>
      <x:c r="H1044" s="10" t="n">
        <x:f>ABS(G1044-F1044)</x:f>
        <x:v>7.9550467081</x:v>
      </x:c>
      <x:c r="I1044" s="10" t="n">
        <x:f>G1044-F1044</x:f>
        <x:v>7.9550467081</x:v>
      </x:c>
    </x:row>
    <x:row r="1045" ht="20" customHeight="1">
      <x:c r="A1045" s="1" t="str">
        <x:v>22457</x:v>
      </x:c>
      <x:c r="B1045" s="10" t="n">
        <x:v>1</x:v>
      </x:c>
      <x:c r="C1045" s="9" t="d">
        <x:v>2011-10-19T00:00:00.000Z</x:v>
      </x:c>
      <x:c r="D1045" s="9" t="d">
        <x:v>2011-10-23T00:00:00.000Z</x:v>
      </x:c>
      <x:c r="E1045" s="1" t="str">
        <x:v>ridge</x:v>
      </x:c>
      <x:c r="F1045" s="10" t="n">
        <x:v>8</x:v>
      </x:c>
      <x:c r="G1045" s="10" t="n">
        <x:v>9.9605363905</x:v>
      </x:c>
      <x:c r="H1045" s="10" t="n">
        <x:f>ABS(G1045-F1045)</x:f>
        <x:v>1.9605363904999997</x:v>
      </x:c>
      <x:c r="I1045" s="10" t="n">
        <x:f>G1045-F1045</x:f>
        <x:v>1.9605363904999997</x:v>
      </x:c>
    </x:row>
    <x:row r="1046" ht="20" customHeight="1">
      <x:c r="A1046" s="1" t="str">
        <x:v>22457</x:v>
      </x:c>
      <x:c r="B1046" s="10" t="n">
        <x:v>1</x:v>
      </x:c>
      <x:c r="C1046" s="9" t="d">
        <x:v>2011-10-19T00:00:00.000Z</x:v>
      </x:c>
      <x:c r="D1046" s="9" t="d">
        <x:v>2011-10-24T00:00:00.000Z</x:v>
      </x:c>
      <x:c r="E1046" s="1" t="str">
        <x:v>ridge</x:v>
      </x:c>
      <x:c r="F1046" s="10" t="n">
        <x:v>16</x:v>
      </x:c>
      <x:c r="G1046" s="10" t="n">
        <x:v>21.2966273784</x:v>
      </x:c>
      <x:c r="H1046" s="10" t="n">
        <x:f>ABS(G1046-F1046)</x:f>
        <x:v>5.2966273784</x:v>
      </x:c>
      <x:c r="I1046" s="10" t="n">
        <x:f>G1046-F1046</x:f>
        <x:v>5.2966273784</x:v>
      </x:c>
    </x:row>
    <x:row r="1047" ht="20" customHeight="1">
      <x:c r="A1047" s="1" t="str">
        <x:v>22457</x:v>
      </x:c>
      <x:c r="B1047" s="10" t="n">
        <x:v>1</x:v>
      </x:c>
      <x:c r="C1047" s="9" t="d">
        <x:v>2011-10-19T00:00:00.000Z</x:v>
      </x:c>
      <x:c r="D1047" s="9" t="d">
        <x:v>2011-10-25T00:00:00.000Z</x:v>
      </x:c>
      <x:c r="E1047" s="1" t="str">
        <x:v>ridge</x:v>
      </x:c>
      <x:c r="F1047" s="10" t="n">
        <x:v>0</x:v>
      </x:c>
      <x:c r="G1047" s="10" t="n">
        <x:v>32.5305689233</x:v>
      </x:c>
      <x:c r="H1047" s="10" t="n">
        <x:f>ABS(G1047-F1047)</x:f>
        <x:v>32.5305689233</x:v>
      </x:c>
      <x:c r="I1047" s="10" t="n">
        <x:f>G1047-F1047</x:f>
        <x:v>32.5305689233</x:v>
      </x:c>
    </x:row>
    <x:row r="1048" ht="20" customHeight="1">
      <x:c r="A1048" s="1" t="str">
        <x:v>22457</x:v>
      </x:c>
      <x:c r="B1048" s="10" t="n">
        <x:v>1</x:v>
      </x:c>
      <x:c r="C1048" s="9" t="d">
        <x:v>2011-10-19T00:00:00.000Z</x:v>
      </x:c>
      <x:c r="D1048" s="9" t="d">
        <x:v>2011-10-26T00:00:00.000Z</x:v>
      </x:c>
      <x:c r="E1048" s="1" t="str">
        <x:v>ridge</x:v>
      </x:c>
      <x:c r="F1048" s="10" t="n">
        <x:v>18</x:v>
      </x:c>
      <x:c r="G1048" s="10" t="n">
        <x:v>35.741701897</x:v>
      </x:c>
      <x:c r="H1048" s="10" t="n">
        <x:f>ABS(G1048-F1048)</x:f>
        <x:v>17.741701897</x:v>
      </x:c>
      <x:c r="I1048" s="10" t="n">
        <x:f>G1048-F1048</x:f>
        <x:v>17.741701897</x:v>
      </x:c>
    </x:row>
    <x:row r="1049" ht="20" customHeight="1">
      <x:c r="A1049" s="1" t="str">
        <x:v>22457</x:v>
      </x:c>
      <x:c r="B1049" s="10" t="n">
        <x:v>1</x:v>
      </x:c>
      <x:c r="C1049" s="9" t="d">
        <x:v>2011-10-19T00:00:00.000Z</x:v>
      </x:c>
      <x:c r="D1049" s="9" t="d">
        <x:v>2011-10-27T00:00:00.000Z</x:v>
      </x:c>
      <x:c r="E1049" s="1" t="str">
        <x:v>ridge</x:v>
      </x:c>
      <x:c r="F1049" s="10" t="n">
        <x:v>22</x:v>
      </x:c>
      <x:c r="G1049" s="10" t="n">
        <x:v>27.7115028042</x:v>
      </x:c>
      <x:c r="H1049" s="10" t="n">
        <x:f>ABS(G1049-F1049)</x:f>
        <x:v>5.7115028041999985</x:v>
      </x:c>
      <x:c r="I1049" s="10" t="n">
        <x:f>G1049-F1049</x:f>
        <x:v>5.7115028041999985</x:v>
      </x:c>
    </x:row>
    <x:row r="1050" ht="20" customHeight="1">
      <x:c r="A1050" s="1" t="str">
        <x:v>22457</x:v>
      </x:c>
      <x:c r="B1050" s="10" t="n">
        <x:v>1</x:v>
      </x:c>
      <x:c r="C1050" s="9" t="d">
        <x:v>2011-10-19T00:00:00.000Z</x:v>
      </x:c>
      <x:c r="D1050" s="9" t="d">
        <x:v>2011-10-28T00:00:00.000Z</x:v>
      </x:c>
      <x:c r="E1050" s="1" t="str">
        <x:v>ridge</x:v>
      </x:c>
      <x:c r="F1050" s="10" t="n">
        <x:v>66</x:v>
      </x:c>
      <x:c r="G1050" s="10" t="n">
        <x:v>14.6248756289</x:v>
      </x:c>
      <x:c r="H1050" s="10" t="n">
        <x:f>ABS(G1050-F1050)</x:f>
        <x:v>51.3751243711</x:v>
      </x:c>
      <x:c r="I1050" s="10" t="n">
        <x:f>G1050-F1050</x:f>
        <x:v>-51.3751243711</x:v>
      </x:c>
    </x:row>
    <x:row r="1051" ht="20" customHeight="1">
      <x:c r="A1051" s="1" t="str">
        <x:v>22457</x:v>
      </x:c>
      <x:c r="B1051" s="10" t="n">
        <x:v>1</x:v>
      </x:c>
      <x:c r="C1051" s="9" t="d">
        <x:v>2011-10-19T00:00:00.000Z</x:v>
      </x:c>
      <x:c r="D1051" s="9" t="d">
        <x:v>2011-10-29T00:00:00.000Z</x:v>
      </x:c>
      <x:c r="E1051" s="1" t="str">
        <x:v>ridge</x:v>
      </x:c>
      <x:c r="F1051" s="10" t="n">
        <x:v>0</x:v>
      </x:c>
      <x:c r="G1051" s="10" t="n">
        <x:v>6.0161306782</x:v>
      </x:c>
      <x:c r="H1051" s="10" t="n">
        <x:f>ABS(G1051-F1051)</x:f>
        <x:v>6.0161306782</x:v>
      </x:c>
      <x:c r="I1051" s="10" t="n">
        <x:f>G1051-F1051</x:f>
        <x:v>6.0161306782</x:v>
      </x:c>
    </x:row>
    <x:row r="1052" ht="20" customHeight="1">
      <x:c r="A1052" s="1" t="str">
        <x:v>22457</x:v>
      </x:c>
      <x:c r="B1052" s="10" t="n">
        <x:v>1</x:v>
      </x:c>
      <x:c r="C1052" s="9" t="d">
        <x:v>2011-10-19T00:00:00.000Z</x:v>
      </x:c>
      <x:c r="D1052" s="9" t="d">
        <x:v>2011-10-30T00:00:00.000Z</x:v>
      </x:c>
      <x:c r="E1052" s="1" t="str">
        <x:v>ridge</x:v>
      </x:c>
      <x:c r="F1052" s="10" t="n">
        <x:v>11</x:v>
      </x:c>
      <x:c r="G1052" s="10" t="n">
        <x:v>9.4199512723</x:v>
      </x:c>
      <x:c r="H1052" s="10" t="n">
        <x:f>ABS(G1052-F1052)</x:f>
        <x:v>1.5800487276999995</x:v>
      </x:c>
      <x:c r="I1052" s="10" t="n">
        <x:f>G1052-F1052</x:f>
        <x:v>-1.5800487276999995</x:v>
      </x:c>
    </x:row>
    <x:row r="1053" ht="20" customHeight="1">
      <x:c r="A1053" s="1" t="str">
        <x:v>22457</x:v>
      </x:c>
      <x:c r="B1053" s="10" t="n">
        <x:v>1</x:v>
      </x:c>
      <x:c r="C1053" s="9" t="d">
        <x:v>2011-10-19T00:00:00.000Z</x:v>
      </x:c>
      <x:c r="D1053" s="9" t="d">
        <x:v>2011-10-31T00:00:00.000Z</x:v>
      </x:c>
      <x:c r="E1053" s="1" t="str">
        <x:v>ridge</x:v>
      </x:c>
      <x:c r="F1053" s="10" t="n">
        <x:v>29</x:v>
      </x:c>
      <x:c r="G1053" s="10" t="n">
        <x:v>20.9914617968</x:v>
      </x:c>
      <x:c r="H1053" s="10" t="n">
        <x:f>ABS(G1053-F1053)</x:f>
        <x:v>8.0085382032</x:v>
      </x:c>
      <x:c r="I1053" s="10" t="n">
        <x:f>G1053-F1053</x:f>
        <x:v>-8.0085382032</x:v>
      </x:c>
    </x:row>
    <x:row r="1054" ht="20" customHeight="1">
      <x:c r="A1054" s="1" t="str">
        <x:v>22457</x:v>
      </x:c>
      <x:c r="B1054" s="10" t="n">
        <x:v>1</x:v>
      </x:c>
      <x:c r="C1054" s="9" t="d">
        <x:v>2011-10-19T00:00:00.000Z</x:v>
      </x:c>
      <x:c r="D1054" s="9" t="d">
        <x:v>2011-11-01T00:00:00.000Z</x:v>
      </x:c>
      <x:c r="E1054" s="1" t="str">
        <x:v>ridge</x:v>
      </x:c>
      <x:c r="F1054" s="10" t="n">
        <x:v>12</x:v>
      </x:c>
      <x:c r="G1054" s="10" t="n">
        <x:v>31.4799594683</x:v>
      </x:c>
      <x:c r="H1054" s="10" t="n">
        <x:f>ABS(G1054-F1054)</x:f>
        <x:v>19.4799594683</x:v>
      </x:c>
      <x:c r="I1054" s="10" t="n">
        <x:f>G1054-F1054</x:f>
        <x:v>19.4799594683</x:v>
      </x:c>
    </x:row>
    <x:row r="1055" ht="20" customHeight="1">
      <x:c r="A1055" s="1" t="str">
        <x:v>22457</x:v>
      </x:c>
      <x:c r="B1055" s="10" t="n">
        <x:v>1</x:v>
      </x:c>
      <x:c r="C1055" s="9" t="d">
        <x:v>2011-10-19T00:00:00.000Z</x:v>
      </x:c>
      <x:c r="D1055" s="9" t="d">
        <x:v>2011-11-02T00:00:00.000Z</x:v>
      </x:c>
      <x:c r="E1055" s="1" t="str">
        <x:v>ridge</x:v>
      </x:c>
      <x:c r="F1055" s="10" t="n">
        <x:v>8</x:v>
      </x:c>
      <x:c r="G1055" s="10" t="n">
        <x:v>36.692619431</x:v>
      </x:c>
      <x:c r="H1055" s="10" t="n">
        <x:f>ABS(G1055-F1055)</x:f>
        <x:v>28.692619430999997</x:v>
      </x:c>
      <x:c r="I1055" s="10" t="n">
        <x:f>G1055-F1055</x:f>
        <x:v>28.692619430999997</x:v>
      </x:c>
    </x:row>
    <x:row r="1056" ht="20" customHeight="1">
      <x:c r="A1056" s="1" t="str">
        <x:v>22457</x:v>
      </x:c>
      <x:c r="B1056" s="10" t="n">
        <x:v>2</x:v>
      </x:c>
      <x:c r="C1056" s="9" t="d">
        <x:v>2011-11-02T00:00:00.000Z</x:v>
      </x:c>
      <x:c r="D1056" s="9" t="d">
        <x:v>2011-11-03T00:00:00.000Z</x:v>
      </x:c>
      <x:c r="E1056" s="1" t="str">
        <x:v>naive</x:v>
      </x:c>
      <x:c r="F1056" s="10" t="n">
        <x:v>29</x:v>
      </x:c>
      <x:c r="G1056" s="10" t="n">
        <x:v>8</x:v>
      </x:c>
      <x:c r="H1056" s="10" t="n">
        <x:f>ABS(G1056-F1056)</x:f>
        <x:v>21</x:v>
      </x:c>
      <x:c r="I1056" s="10" t="n">
        <x:f>G1056-F1056</x:f>
        <x:v>-21</x:v>
      </x:c>
    </x:row>
    <x:row r="1057" ht="20" customHeight="1">
      <x:c r="A1057" s="1" t="str">
        <x:v>22457</x:v>
      </x:c>
      <x:c r="B1057" s="10" t="n">
        <x:v>2</x:v>
      </x:c>
      <x:c r="C1057" s="9" t="d">
        <x:v>2011-11-02T00:00:00.000Z</x:v>
      </x:c>
      <x:c r="D1057" s="9" t="d">
        <x:v>2011-11-04T00:00:00.000Z</x:v>
      </x:c>
      <x:c r="E1057" s="1" t="str">
        <x:v>naive</x:v>
      </x:c>
      <x:c r="F1057" s="10" t="n">
        <x:v>22</x:v>
      </x:c>
      <x:c r="G1057" s="10" t="n">
        <x:v>8</x:v>
      </x:c>
      <x:c r="H1057" s="10" t="n">
        <x:f>ABS(G1057-F1057)</x:f>
        <x:v>14</x:v>
      </x:c>
      <x:c r="I1057" s="10" t="n">
        <x:f>G1057-F1057</x:f>
        <x:v>-14</x:v>
      </x:c>
    </x:row>
    <x:row r="1058" ht="20" customHeight="1">
      <x:c r="A1058" s="1" t="str">
        <x:v>22457</x:v>
      </x:c>
      <x:c r="B1058" s="10" t="n">
        <x:v>2</x:v>
      </x:c>
      <x:c r="C1058" s="9" t="d">
        <x:v>2011-11-02T00:00:00.000Z</x:v>
      </x:c>
      <x:c r="D1058" s="9" t="d">
        <x:v>2011-11-05T00:00:00.000Z</x:v>
      </x:c>
      <x:c r="E1058" s="1" t="str">
        <x:v>naive</x:v>
      </x:c>
      <x:c r="F1058" s="10" t="n">
        <x:v>0</x:v>
      </x:c>
      <x:c r="G1058" s="10" t="n">
        <x:v>8</x:v>
      </x:c>
      <x:c r="H1058" s="10" t="n">
        <x:f>ABS(G1058-F1058)</x:f>
        <x:v>8</x:v>
      </x:c>
      <x:c r="I1058" s="10" t="n">
        <x:f>G1058-F1058</x:f>
        <x:v>8</x:v>
      </x:c>
    </x:row>
    <x:row r="1059" ht="20" customHeight="1">
      <x:c r="A1059" s="1" t="str">
        <x:v>22457</x:v>
      </x:c>
      <x:c r="B1059" s="10" t="n">
        <x:v>2</x:v>
      </x:c>
      <x:c r="C1059" s="9" t="d">
        <x:v>2011-11-02T00:00:00.000Z</x:v>
      </x:c>
      <x:c r="D1059" s="9" t="d">
        <x:v>2011-11-06T00:00:00.000Z</x:v>
      </x:c>
      <x:c r="E1059" s="1" t="str">
        <x:v>naive</x:v>
      </x:c>
      <x:c r="F1059" s="10" t="n">
        <x:v>39</x:v>
      </x:c>
      <x:c r="G1059" s="10" t="n">
        <x:v>8</x:v>
      </x:c>
      <x:c r="H1059" s="10" t="n">
        <x:f>ABS(G1059-F1059)</x:f>
        <x:v>31</x:v>
      </x:c>
      <x:c r="I1059" s="10" t="n">
        <x:f>G1059-F1059</x:f>
        <x:v>-31</x:v>
      </x:c>
    </x:row>
    <x:row r="1060" ht="20" customHeight="1">
      <x:c r="A1060" s="1" t="str">
        <x:v>22457</x:v>
      </x:c>
      <x:c r="B1060" s="10" t="n">
        <x:v>2</x:v>
      </x:c>
      <x:c r="C1060" s="9" t="d">
        <x:v>2011-11-02T00:00:00.000Z</x:v>
      </x:c>
      <x:c r="D1060" s="9" t="d">
        <x:v>2011-11-07T00:00:00.000Z</x:v>
      </x:c>
      <x:c r="E1060" s="1" t="str">
        <x:v>naive</x:v>
      </x:c>
      <x:c r="F1060" s="10" t="n">
        <x:v>20</x:v>
      </x:c>
      <x:c r="G1060" s="10" t="n">
        <x:v>8</x:v>
      </x:c>
      <x:c r="H1060" s="10" t="n">
        <x:f>ABS(G1060-F1060)</x:f>
        <x:v>12</x:v>
      </x:c>
      <x:c r="I1060" s="10" t="n">
        <x:f>G1060-F1060</x:f>
        <x:v>-12</x:v>
      </x:c>
    </x:row>
    <x:row r="1061" ht="20" customHeight="1">
      <x:c r="A1061" s="1" t="str">
        <x:v>22457</x:v>
      </x:c>
      <x:c r="B1061" s="10" t="n">
        <x:v>2</x:v>
      </x:c>
      <x:c r="C1061" s="9" t="d">
        <x:v>2011-11-02T00:00:00.000Z</x:v>
      </x:c>
      <x:c r="D1061" s="9" t="d">
        <x:v>2011-11-08T00:00:00.000Z</x:v>
      </x:c>
      <x:c r="E1061" s="1" t="str">
        <x:v>naive</x:v>
      </x:c>
      <x:c r="F1061" s="10" t="n">
        <x:v>49</x:v>
      </x:c>
      <x:c r="G1061" s="10" t="n">
        <x:v>8</x:v>
      </x:c>
      <x:c r="H1061" s="10" t="n">
        <x:f>ABS(G1061-F1061)</x:f>
        <x:v>41</x:v>
      </x:c>
      <x:c r="I1061" s="10" t="n">
        <x:f>G1061-F1061</x:f>
        <x:v>-41</x:v>
      </x:c>
    </x:row>
    <x:row r="1062" ht="20" customHeight="1">
      <x:c r="A1062" s="1" t="str">
        <x:v>22457</x:v>
      </x:c>
      <x:c r="B1062" s="10" t="n">
        <x:v>2</x:v>
      </x:c>
      <x:c r="C1062" s="9" t="d">
        <x:v>2011-11-02T00:00:00.000Z</x:v>
      </x:c>
      <x:c r="D1062" s="9" t="d">
        <x:v>2011-11-09T00:00:00.000Z</x:v>
      </x:c>
      <x:c r="E1062" s="1" t="str">
        <x:v>naive</x:v>
      </x:c>
      <x:c r="F1062" s="10" t="n">
        <x:v>30</x:v>
      </x:c>
      <x:c r="G1062" s="10" t="n">
        <x:v>8</x:v>
      </x:c>
      <x:c r="H1062" s="10" t="n">
        <x:f>ABS(G1062-F1062)</x:f>
        <x:v>22</x:v>
      </x:c>
      <x:c r="I1062" s="10" t="n">
        <x:f>G1062-F1062</x:f>
        <x:v>-22</x:v>
      </x:c>
    </x:row>
    <x:row r="1063" ht="20" customHeight="1">
      <x:c r="A1063" s="1" t="str">
        <x:v>22457</x:v>
      </x:c>
      <x:c r="B1063" s="10" t="n">
        <x:v>2</x:v>
      </x:c>
      <x:c r="C1063" s="9" t="d">
        <x:v>2011-11-02T00:00:00.000Z</x:v>
      </x:c>
      <x:c r="D1063" s="9" t="d">
        <x:v>2011-11-10T00:00:00.000Z</x:v>
      </x:c>
      <x:c r="E1063" s="1" t="str">
        <x:v>naive</x:v>
      </x:c>
      <x:c r="F1063" s="10" t="n">
        <x:v>81</x:v>
      </x:c>
      <x:c r="G1063" s="10" t="n">
        <x:v>8</x:v>
      </x:c>
      <x:c r="H1063" s="10" t="n">
        <x:f>ABS(G1063-F1063)</x:f>
        <x:v>73</x:v>
      </x:c>
      <x:c r="I1063" s="10" t="n">
        <x:f>G1063-F1063</x:f>
        <x:v>-73</x:v>
      </x:c>
    </x:row>
    <x:row r="1064" ht="20" customHeight="1">
      <x:c r="A1064" s="1" t="str">
        <x:v>22457</x:v>
      </x:c>
      <x:c r="B1064" s="10" t="n">
        <x:v>2</x:v>
      </x:c>
      <x:c r="C1064" s="9" t="d">
        <x:v>2011-11-02T00:00:00.000Z</x:v>
      </x:c>
      <x:c r="D1064" s="9" t="d">
        <x:v>2011-11-11T00:00:00.000Z</x:v>
      </x:c>
      <x:c r="E1064" s="1" t="str">
        <x:v>naive</x:v>
      </x:c>
      <x:c r="F1064" s="10" t="n">
        <x:v>44</x:v>
      </x:c>
      <x:c r="G1064" s="10" t="n">
        <x:v>8</x:v>
      </x:c>
      <x:c r="H1064" s="10" t="n">
        <x:f>ABS(G1064-F1064)</x:f>
        <x:v>36</x:v>
      </x:c>
      <x:c r="I1064" s="10" t="n">
        <x:f>G1064-F1064</x:f>
        <x:v>-36</x:v>
      </x:c>
    </x:row>
    <x:row r="1065" ht="20" customHeight="1">
      <x:c r="A1065" s="1" t="str">
        <x:v>22457</x:v>
      </x:c>
      <x:c r="B1065" s="10" t="n">
        <x:v>2</x:v>
      </x:c>
      <x:c r="C1065" s="9" t="d">
        <x:v>2011-11-02T00:00:00.000Z</x:v>
      </x:c>
      <x:c r="D1065" s="9" t="d">
        <x:v>2011-11-12T00:00:00.000Z</x:v>
      </x:c>
      <x:c r="E1065" s="1" t="str">
        <x:v>naive</x:v>
      </x:c>
      <x:c r="F1065" s="10" t="n">
        <x:v>0</x:v>
      </x:c>
      <x:c r="G1065" s="10" t="n">
        <x:v>8</x:v>
      </x:c>
      <x:c r="H1065" s="10" t="n">
        <x:f>ABS(G1065-F1065)</x:f>
        <x:v>8</x:v>
      </x:c>
      <x:c r="I1065" s="10" t="n">
        <x:f>G1065-F1065</x:f>
        <x:v>8</x:v>
      </x:c>
    </x:row>
    <x:row r="1066" ht="20" customHeight="1">
      <x:c r="A1066" s="1" t="str">
        <x:v>22457</x:v>
      </x:c>
      <x:c r="B1066" s="10" t="n">
        <x:v>2</x:v>
      </x:c>
      <x:c r="C1066" s="9" t="d">
        <x:v>2011-11-02T00:00:00.000Z</x:v>
      </x:c>
      <x:c r="D1066" s="9" t="d">
        <x:v>2011-11-13T00:00:00.000Z</x:v>
      </x:c>
      <x:c r="E1066" s="1" t="str">
        <x:v>naive</x:v>
      </x:c>
      <x:c r="F1066" s="10" t="n">
        <x:v>27</x:v>
      </x:c>
      <x:c r="G1066" s="10" t="n">
        <x:v>8</x:v>
      </x:c>
      <x:c r="H1066" s="10" t="n">
        <x:f>ABS(G1066-F1066)</x:f>
        <x:v>19</x:v>
      </x:c>
      <x:c r="I1066" s="10" t="n">
        <x:f>G1066-F1066</x:f>
        <x:v>-19</x:v>
      </x:c>
    </x:row>
    <x:row r="1067" ht="20" customHeight="1">
      <x:c r="A1067" s="1" t="str">
        <x:v>22457</x:v>
      </x:c>
      <x:c r="B1067" s="10" t="n">
        <x:v>2</x:v>
      </x:c>
      <x:c r="C1067" s="9" t="d">
        <x:v>2011-11-02T00:00:00.000Z</x:v>
      </x:c>
      <x:c r="D1067" s="9" t="d">
        <x:v>2011-11-14T00:00:00.000Z</x:v>
      </x:c>
      <x:c r="E1067" s="1" t="str">
        <x:v>naive</x:v>
      </x:c>
      <x:c r="F1067" s="10" t="n">
        <x:v>25</x:v>
      </x:c>
      <x:c r="G1067" s="10" t="n">
        <x:v>8</x:v>
      </x:c>
      <x:c r="H1067" s="10" t="n">
        <x:f>ABS(G1067-F1067)</x:f>
        <x:v>17</x:v>
      </x:c>
      <x:c r="I1067" s="10" t="n">
        <x:f>G1067-F1067</x:f>
        <x:v>-17</x:v>
      </x:c>
    </x:row>
    <x:row r="1068" ht="20" customHeight="1">
      <x:c r="A1068" s="1" t="str">
        <x:v>22457</x:v>
      </x:c>
      <x:c r="B1068" s="10" t="n">
        <x:v>2</x:v>
      </x:c>
      <x:c r="C1068" s="9" t="d">
        <x:v>2011-11-02T00:00:00.000Z</x:v>
      </x:c>
      <x:c r="D1068" s="9" t="d">
        <x:v>2011-11-15T00:00:00.000Z</x:v>
      </x:c>
      <x:c r="E1068" s="1" t="str">
        <x:v>naive</x:v>
      </x:c>
      <x:c r="F1068" s="10" t="n">
        <x:v>39</x:v>
      </x:c>
      <x:c r="G1068" s="10" t="n">
        <x:v>8</x:v>
      </x:c>
      <x:c r="H1068" s="10" t="n">
        <x:f>ABS(G1068-F1068)</x:f>
        <x:v>31</x:v>
      </x:c>
      <x:c r="I1068" s="10" t="n">
        <x:f>G1068-F1068</x:f>
        <x:v>-31</x:v>
      </x:c>
    </x:row>
    <x:row r="1069" ht="20" customHeight="1">
      <x:c r="A1069" s="1" t="str">
        <x:v>22457</x:v>
      </x:c>
      <x:c r="B1069" s="10" t="n">
        <x:v>2</x:v>
      </x:c>
      <x:c r="C1069" s="9" t="d">
        <x:v>2011-11-02T00:00:00.000Z</x:v>
      </x:c>
      <x:c r="D1069" s="9" t="d">
        <x:v>2011-11-16T00:00:00.000Z</x:v>
      </x:c>
      <x:c r="E1069" s="1" t="str">
        <x:v>naive</x:v>
      </x:c>
      <x:c r="F1069" s="10" t="n">
        <x:v>31</x:v>
      </x:c>
      <x:c r="G1069" s="10" t="n">
        <x:v>8</x:v>
      </x:c>
      <x:c r="H1069" s="10" t="n">
        <x:f>ABS(G1069-F1069)</x:f>
        <x:v>23</x:v>
      </x:c>
      <x:c r="I1069" s="10" t="n">
        <x:f>G1069-F1069</x:f>
        <x:v>-23</x:v>
      </x:c>
    </x:row>
    <x:row r="1070" ht="20" customHeight="1">
      <x:c r="A1070" s="1" t="str">
        <x:v>22457</x:v>
      </x:c>
      <x:c r="B1070" s="10" t="n">
        <x:v>2</x:v>
      </x:c>
      <x:c r="C1070" s="9" t="d">
        <x:v>2011-11-02T00:00:00.000Z</x:v>
      </x:c>
      <x:c r="D1070" s="9" t="d">
        <x:v>2011-11-03T00:00:00.000Z</x:v>
      </x:c>
      <x:c r="E1070" s="1" t="str">
        <x:v>seasonal_naive</x:v>
      </x:c>
      <x:c r="F1070" s="10" t="n">
        <x:v>29</x:v>
      </x:c>
      <x:c r="G1070" s="10" t="n">
        <x:v>22</x:v>
      </x:c>
      <x:c r="H1070" s="10" t="n">
        <x:f>ABS(G1070-F1070)</x:f>
        <x:v>7</x:v>
      </x:c>
      <x:c r="I1070" s="10" t="n">
        <x:f>G1070-F1070</x:f>
        <x:v>-7</x:v>
      </x:c>
    </x:row>
    <x:row r="1071" ht="20" customHeight="1">
      <x:c r="A1071" s="1" t="str">
        <x:v>22457</x:v>
      </x:c>
      <x:c r="B1071" s="10" t="n">
        <x:v>2</x:v>
      </x:c>
      <x:c r="C1071" s="9" t="d">
        <x:v>2011-11-02T00:00:00.000Z</x:v>
      </x:c>
      <x:c r="D1071" s="9" t="d">
        <x:v>2011-11-04T00:00:00.000Z</x:v>
      </x:c>
      <x:c r="E1071" s="1" t="str">
        <x:v>seasonal_naive</x:v>
      </x:c>
      <x:c r="F1071" s="10" t="n">
        <x:v>22</x:v>
      </x:c>
      <x:c r="G1071" s="10" t="n">
        <x:v>66</x:v>
      </x:c>
      <x:c r="H1071" s="10" t="n">
        <x:f>ABS(G1071-F1071)</x:f>
        <x:v>44</x:v>
      </x:c>
      <x:c r="I1071" s="10" t="n">
        <x:f>G1071-F1071</x:f>
        <x:v>44</x:v>
      </x:c>
    </x:row>
    <x:row r="1072" ht="20" customHeight="1">
      <x:c r="A1072" s="1" t="str">
        <x:v>22457</x:v>
      </x:c>
      <x:c r="B1072" s="10" t="n">
        <x:v>2</x:v>
      </x:c>
      <x:c r="C1072" s="9" t="d">
        <x:v>2011-11-02T00:00:00.000Z</x:v>
      </x:c>
      <x:c r="D1072" s="9" t="d">
        <x:v>2011-11-05T00:00:00.000Z</x:v>
      </x:c>
      <x:c r="E1072" s="1" t="str">
        <x:v>seasonal_naive</x:v>
      </x:c>
      <x:c r="F1072" s="10" t="n">
        <x:v>0</x:v>
      </x:c>
      <x:c r="G1072" s="10" t="n">
        <x:v>0</x:v>
      </x:c>
      <x:c r="H1072" s="10" t="n">
        <x:f>ABS(G1072-F1072)</x:f>
        <x:v>0</x:v>
      </x:c>
      <x:c r="I1072" s="10" t="n">
        <x:f>G1072-F1072</x:f>
        <x:v>0</x:v>
      </x:c>
    </x:row>
    <x:row r="1073" ht="20" customHeight="1">
      <x:c r="A1073" s="1" t="str">
        <x:v>22457</x:v>
      </x:c>
      <x:c r="B1073" s="10" t="n">
        <x:v>2</x:v>
      </x:c>
      <x:c r="C1073" s="9" t="d">
        <x:v>2011-11-02T00:00:00.000Z</x:v>
      </x:c>
      <x:c r="D1073" s="9" t="d">
        <x:v>2011-11-06T00:00:00.000Z</x:v>
      </x:c>
      <x:c r="E1073" s="1" t="str">
        <x:v>seasonal_naive</x:v>
      </x:c>
      <x:c r="F1073" s="10" t="n">
        <x:v>39</x:v>
      </x:c>
      <x:c r="G1073" s="10" t="n">
        <x:v>11</x:v>
      </x:c>
      <x:c r="H1073" s="10" t="n">
        <x:f>ABS(G1073-F1073)</x:f>
        <x:v>28</x:v>
      </x:c>
      <x:c r="I1073" s="10" t="n">
        <x:f>G1073-F1073</x:f>
        <x:v>-28</x:v>
      </x:c>
    </x:row>
    <x:row r="1074" ht="20" customHeight="1">
      <x:c r="A1074" s="1" t="str">
        <x:v>22457</x:v>
      </x:c>
      <x:c r="B1074" s="10" t="n">
        <x:v>2</x:v>
      </x:c>
      <x:c r="C1074" s="9" t="d">
        <x:v>2011-11-02T00:00:00.000Z</x:v>
      </x:c>
      <x:c r="D1074" s="9" t="d">
        <x:v>2011-11-07T00:00:00.000Z</x:v>
      </x:c>
      <x:c r="E1074" s="1" t="str">
        <x:v>seasonal_naive</x:v>
      </x:c>
      <x:c r="F1074" s="10" t="n">
        <x:v>20</x:v>
      </x:c>
      <x:c r="G1074" s="10" t="n">
        <x:v>29</x:v>
      </x:c>
      <x:c r="H1074" s="10" t="n">
        <x:f>ABS(G1074-F1074)</x:f>
        <x:v>9</x:v>
      </x:c>
      <x:c r="I1074" s="10" t="n">
        <x:f>G1074-F1074</x:f>
        <x:v>9</x:v>
      </x:c>
    </x:row>
    <x:row r="1075" ht="20" customHeight="1">
      <x:c r="A1075" s="1" t="str">
        <x:v>22457</x:v>
      </x:c>
      <x:c r="B1075" s="10" t="n">
        <x:v>2</x:v>
      </x:c>
      <x:c r="C1075" s="9" t="d">
        <x:v>2011-11-02T00:00:00.000Z</x:v>
      </x:c>
      <x:c r="D1075" s="9" t="d">
        <x:v>2011-11-08T00:00:00.000Z</x:v>
      </x:c>
      <x:c r="E1075" s="1" t="str">
        <x:v>seasonal_naive</x:v>
      </x:c>
      <x:c r="F1075" s="10" t="n">
        <x:v>49</x:v>
      </x:c>
      <x:c r="G1075" s="10" t="n">
        <x:v>12</x:v>
      </x:c>
      <x:c r="H1075" s="10" t="n">
        <x:f>ABS(G1075-F1075)</x:f>
        <x:v>37</x:v>
      </x:c>
      <x:c r="I1075" s="10" t="n">
        <x:f>G1075-F1075</x:f>
        <x:v>-37</x:v>
      </x:c>
    </x:row>
    <x:row r="1076" ht="20" customHeight="1">
      <x:c r="A1076" s="1" t="str">
        <x:v>22457</x:v>
      </x:c>
      <x:c r="B1076" s="10" t="n">
        <x:v>2</x:v>
      </x:c>
      <x:c r="C1076" s="9" t="d">
        <x:v>2011-11-02T00:00:00.000Z</x:v>
      </x:c>
      <x:c r="D1076" s="9" t="d">
        <x:v>2011-11-09T00:00:00.000Z</x:v>
      </x:c>
      <x:c r="E1076" s="1" t="str">
        <x:v>seasonal_naive</x:v>
      </x:c>
      <x:c r="F1076" s="10" t="n">
        <x:v>30</x:v>
      </x:c>
      <x:c r="G1076" s="10" t="n">
        <x:v>8</x:v>
      </x:c>
      <x:c r="H1076" s="10" t="n">
        <x:f>ABS(G1076-F1076)</x:f>
        <x:v>22</x:v>
      </x:c>
      <x:c r="I1076" s="10" t="n">
        <x:f>G1076-F1076</x:f>
        <x:v>-22</x:v>
      </x:c>
    </x:row>
    <x:row r="1077" ht="20" customHeight="1">
      <x:c r="A1077" s="1" t="str">
        <x:v>22457</x:v>
      </x:c>
      <x:c r="B1077" s="10" t="n">
        <x:v>2</x:v>
      </x:c>
      <x:c r="C1077" s="9" t="d">
        <x:v>2011-11-02T00:00:00.000Z</x:v>
      </x:c>
      <x:c r="D1077" s="9" t="d">
        <x:v>2011-11-10T00:00:00.000Z</x:v>
      </x:c>
      <x:c r="E1077" s="1" t="str">
        <x:v>seasonal_naive</x:v>
      </x:c>
      <x:c r="F1077" s="10" t="n">
        <x:v>81</x:v>
      </x:c>
      <x:c r="G1077" s="10" t="n">
        <x:v>22</x:v>
      </x:c>
      <x:c r="H1077" s="10" t="n">
        <x:f>ABS(G1077-F1077)</x:f>
        <x:v>59</x:v>
      </x:c>
      <x:c r="I1077" s="10" t="n">
        <x:f>G1077-F1077</x:f>
        <x:v>-59</x:v>
      </x:c>
    </x:row>
    <x:row r="1078" ht="20" customHeight="1">
      <x:c r="A1078" s="1" t="str">
        <x:v>22457</x:v>
      </x:c>
      <x:c r="B1078" s="10" t="n">
        <x:v>2</x:v>
      </x:c>
      <x:c r="C1078" s="9" t="d">
        <x:v>2011-11-02T00:00:00.000Z</x:v>
      </x:c>
      <x:c r="D1078" s="9" t="d">
        <x:v>2011-11-11T00:00:00.000Z</x:v>
      </x:c>
      <x:c r="E1078" s="1" t="str">
        <x:v>seasonal_naive</x:v>
      </x:c>
      <x:c r="F1078" s="10" t="n">
        <x:v>44</x:v>
      </x:c>
      <x:c r="G1078" s="10" t="n">
        <x:v>66</x:v>
      </x:c>
      <x:c r="H1078" s="10" t="n">
        <x:f>ABS(G1078-F1078)</x:f>
        <x:v>22</x:v>
      </x:c>
      <x:c r="I1078" s="10" t="n">
        <x:f>G1078-F1078</x:f>
        <x:v>22</x:v>
      </x:c>
    </x:row>
    <x:row r="1079" ht="20" customHeight="1">
      <x:c r="A1079" s="1" t="str">
        <x:v>22457</x:v>
      </x:c>
      <x:c r="B1079" s="10" t="n">
        <x:v>2</x:v>
      </x:c>
      <x:c r="C1079" s="9" t="d">
        <x:v>2011-11-02T00:00:00.000Z</x:v>
      </x:c>
      <x:c r="D1079" s="9" t="d">
        <x:v>2011-11-12T00:00:00.000Z</x:v>
      </x:c>
      <x:c r="E1079" s="1" t="str">
        <x:v>seasonal_naive</x:v>
      </x:c>
      <x:c r="F1079" s="10" t="n">
        <x:v>0</x:v>
      </x:c>
      <x:c r="G1079" s="10" t="n">
        <x:v>0</x:v>
      </x:c>
      <x:c r="H1079" s="10" t="n">
        <x:f>ABS(G1079-F1079)</x:f>
        <x:v>0</x:v>
      </x:c>
      <x:c r="I1079" s="10" t="n">
        <x:f>G1079-F1079</x:f>
        <x:v>0</x:v>
      </x:c>
    </x:row>
    <x:row r="1080" ht="20" customHeight="1">
      <x:c r="A1080" s="1" t="str">
        <x:v>22457</x:v>
      </x:c>
      <x:c r="B1080" s="10" t="n">
        <x:v>2</x:v>
      </x:c>
      <x:c r="C1080" s="9" t="d">
        <x:v>2011-11-02T00:00:00.000Z</x:v>
      </x:c>
      <x:c r="D1080" s="9" t="d">
        <x:v>2011-11-13T00:00:00.000Z</x:v>
      </x:c>
      <x:c r="E1080" s="1" t="str">
        <x:v>seasonal_naive</x:v>
      </x:c>
      <x:c r="F1080" s="10" t="n">
        <x:v>27</x:v>
      </x:c>
      <x:c r="G1080" s="10" t="n">
        <x:v>11</x:v>
      </x:c>
      <x:c r="H1080" s="10" t="n">
        <x:f>ABS(G1080-F1080)</x:f>
        <x:v>16</x:v>
      </x:c>
      <x:c r="I1080" s="10" t="n">
        <x:f>G1080-F1080</x:f>
        <x:v>-16</x:v>
      </x:c>
    </x:row>
    <x:row r="1081" ht="20" customHeight="1">
      <x:c r="A1081" s="1" t="str">
        <x:v>22457</x:v>
      </x:c>
      <x:c r="B1081" s="10" t="n">
        <x:v>2</x:v>
      </x:c>
      <x:c r="C1081" s="9" t="d">
        <x:v>2011-11-02T00:00:00.000Z</x:v>
      </x:c>
      <x:c r="D1081" s="9" t="d">
        <x:v>2011-11-14T00:00:00.000Z</x:v>
      </x:c>
      <x:c r="E1081" s="1" t="str">
        <x:v>seasonal_naive</x:v>
      </x:c>
      <x:c r="F1081" s="10" t="n">
        <x:v>25</x:v>
      </x:c>
      <x:c r="G1081" s="10" t="n">
        <x:v>29</x:v>
      </x:c>
      <x:c r="H1081" s="10" t="n">
        <x:f>ABS(G1081-F1081)</x:f>
        <x:v>4</x:v>
      </x:c>
      <x:c r="I1081" s="10" t="n">
        <x:f>G1081-F1081</x:f>
        <x:v>4</x:v>
      </x:c>
    </x:row>
    <x:row r="1082" ht="20" customHeight="1">
      <x:c r="A1082" s="1" t="str">
        <x:v>22457</x:v>
      </x:c>
      <x:c r="B1082" s="10" t="n">
        <x:v>2</x:v>
      </x:c>
      <x:c r="C1082" s="9" t="d">
        <x:v>2011-11-02T00:00:00.000Z</x:v>
      </x:c>
      <x:c r="D1082" s="9" t="d">
        <x:v>2011-11-15T00:00:00.000Z</x:v>
      </x:c>
      <x:c r="E1082" s="1" t="str">
        <x:v>seasonal_naive</x:v>
      </x:c>
      <x:c r="F1082" s="10" t="n">
        <x:v>39</x:v>
      </x:c>
      <x:c r="G1082" s="10" t="n">
        <x:v>12</x:v>
      </x:c>
      <x:c r="H1082" s="10" t="n">
        <x:f>ABS(G1082-F1082)</x:f>
        <x:v>27</x:v>
      </x:c>
      <x:c r="I1082" s="10" t="n">
        <x:f>G1082-F1082</x:f>
        <x:v>-27</x:v>
      </x:c>
    </x:row>
    <x:row r="1083" ht="20" customHeight="1">
      <x:c r="A1083" s="1" t="str">
        <x:v>22457</x:v>
      </x:c>
      <x:c r="B1083" s="10" t="n">
        <x:v>2</x:v>
      </x:c>
      <x:c r="C1083" s="9" t="d">
        <x:v>2011-11-02T00:00:00.000Z</x:v>
      </x:c>
      <x:c r="D1083" s="9" t="d">
        <x:v>2011-11-16T00:00:00.000Z</x:v>
      </x:c>
      <x:c r="E1083" s="1" t="str">
        <x:v>seasonal_naive</x:v>
      </x:c>
      <x:c r="F1083" s="10" t="n">
        <x:v>31</x:v>
      </x:c>
      <x:c r="G1083" s="10" t="n">
        <x:v>8</x:v>
      </x:c>
      <x:c r="H1083" s="10" t="n">
        <x:f>ABS(G1083-F1083)</x:f>
        <x:v>23</x:v>
      </x:c>
      <x:c r="I1083" s="10" t="n">
        <x:f>G1083-F1083</x:f>
        <x:v>-23</x:v>
      </x:c>
    </x:row>
    <x:row r="1084" ht="20" customHeight="1">
      <x:c r="A1084" s="1" t="str">
        <x:v>22457</x:v>
      </x:c>
      <x:c r="B1084" s="10" t="n">
        <x:v>2</x:v>
      </x:c>
      <x:c r="C1084" s="9" t="d">
        <x:v>2011-11-02T00:00:00.000Z</x:v>
      </x:c>
      <x:c r="D1084" s="9" t="d">
        <x:v>2011-11-03T00:00:00.000Z</x:v>
      </x:c>
      <x:c r="E1084" s="1" t="str">
        <x:v>ridge</x:v>
      </x:c>
      <x:c r="F1084" s="10" t="n">
        <x:v>29</x:v>
      </x:c>
      <x:c r="G1084" s="10" t="n">
        <x:v>26.383769811</x:v>
      </x:c>
      <x:c r="H1084" s="10" t="n">
        <x:f>ABS(G1084-F1084)</x:f>
        <x:v>2.6162301889999995</x:v>
      </x:c>
      <x:c r="I1084" s="10" t="n">
        <x:f>G1084-F1084</x:f>
        <x:v>-2.6162301889999995</x:v>
      </x:c>
    </x:row>
    <x:row r="1085" ht="20" customHeight="1">
      <x:c r="A1085" s="1" t="str">
        <x:v>22457</x:v>
      </x:c>
      <x:c r="B1085" s="10" t="n">
        <x:v>2</x:v>
      </x:c>
      <x:c r="C1085" s="9" t="d">
        <x:v>2011-11-02T00:00:00.000Z</x:v>
      </x:c>
      <x:c r="D1085" s="9" t="d">
        <x:v>2011-11-04T00:00:00.000Z</x:v>
      </x:c>
      <x:c r="E1085" s="1" t="str">
        <x:v>ridge</x:v>
      </x:c>
      <x:c r="F1085" s="10" t="n">
        <x:v>22</x:v>
      </x:c>
      <x:c r="G1085" s="10" t="n">
        <x:v>15.3872441075</x:v>
      </x:c>
      <x:c r="H1085" s="10" t="n">
        <x:f>ABS(G1085-F1085)</x:f>
        <x:v>6.612755892499999</x:v>
      </x:c>
      <x:c r="I1085" s="10" t="n">
        <x:f>G1085-F1085</x:f>
        <x:v>-6.612755892499999</x:v>
      </x:c>
    </x:row>
    <x:row r="1086" ht="20" customHeight="1">
      <x:c r="A1086" s="1" t="str">
        <x:v>22457</x:v>
      </x:c>
      <x:c r="B1086" s="10" t="n">
        <x:v>2</x:v>
      </x:c>
      <x:c r="C1086" s="9" t="d">
        <x:v>2011-11-02T00:00:00.000Z</x:v>
      </x:c>
      <x:c r="D1086" s="9" t="d">
        <x:v>2011-11-05T00:00:00.000Z</x:v>
      </x:c>
      <x:c r="E1086" s="1" t="str">
        <x:v>ridge</x:v>
      </x:c>
      <x:c r="F1086" s="10" t="n">
        <x:v>0</x:v>
      </x:c>
      <x:c r="G1086" s="10" t="n">
        <x:v>7.4656173912</x:v>
      </x:c>
      <x:c r="H1086" s="10" t="n">
        <x:f>ABS(G1086-F1086)</x:f>
        <x:v>7.4656173912</x:v>
      </x:c>
      <x:c r="I1086" s="10" t="n">
        <x:f>G1086-F1086</x:f>
        <x:v>7.4656173912</x:v>
      </x:c>
    </x:row>
    <x:row r="1087" ht="20" customHeight="1">
      <x:c r="A1087" s="1" t="str">
        <x:v>22457</x:v>
      </x:c>
      <x:c r="B1087" s="10" t="n">
        <x:v>2</x:v>
      </x:c>
      <x:c r="C1087" s="9" t="d">
        <x:v>2011-11-02T00:00:00.000Z</x:v>
      </x:c>
      <x:c r="D1087" s="9" t="d">
        <x:v>2011-11-06T00:00:00.000Z</x:v>
      </x:c>
      <x:c r="E1087" s="1" t="str">
        <x:v>ridge</x:v>
      </x:c>
      <x:c r="F1087" s="10" t="n">
        <x:v>39</x:v>
      </x:c>
      <x:c r="G1087" s="10" t="n">
        <x:v>9.8659607947</x:v>
      </x:c>
      <x:c r="H1087" s="10" t="n">
        <x:f>ABS(G1087-F1087)</x:f>
        <x:v>29.1340392053</x:v>
      </x:c>
      <x:c r="I1087" s="10" t="n">
        <x:f>G1087-F1087</x:f>
        <x:v>-29.1340392053</x:v>
      </x:c>
    </x:row>
    <x:row r="1088" ht="20" customHeight="1">
      <x:c r="A1088" s="1" t="str">
        <x:v>22457</x:v>
      </x:c>
      <x:c r="B1088" s="10" t="n">
        <x:v>2</x:v>
      </x:c>
      <x:c r="C1088" s="9" t="d">
        <x:v>2011-11-02T00:00:00.000Z</x:v>
      </x:c>
      <x:c r="D1088" s="9" t="d">
        <x:v>2011-11-07T00:00:00.000Z</x:v>
      </x:c>
      <x:c r="E1088" s="1" t="str">
        <x:v>ridge</x:v>
      </x:c>
      <x:c r="F1088" s="10" t="n">
        <x:v>20</x:v>
      </x:c>
      <x:c r="G1088" s="10" t="n">
        <x:v>20.2686180452</x:v>
      </x:c>
      <x:c r="H1088" s="10" t="n">
        <x:f>ABS(G1088-F1088)</x:f>
        <x:v>0.2686180452000002</x:v>
      </x:c>
      <x:c r="I1088" s="10" t="n">
        <x:f>G1088-F1088</x:f>
        <x:v>0.2686180452000002</x:v>
      </x:c>
    </x:row>
    <x:row r="1089" ht="20" customHeight="1">
      <x:c r="A1089" s="1" t="str">
        <x:v>22457</x:v>
      </x:c>
      <x:c r="B1089" s="10" t="n">
        <x:v>2</x:v>
      </x:c>
      <x:c r="C1089" s="9" t="d">
        <x:v>2011-11-02T00:00:00.000Z</x:v>
      </x:c>
      <x:c r="D1089" s="9" t="d">
        <x:v>2011-11-08T00:00:00.000Z</x:v>
      </x:c>
      <x:c r="E1089" s="1" t="str">
        <x:v>ridge</x:v>
      </x:c>
      <x:c r="F1089" s="10" t="n">
        <x:v>49</x:v>
      </x:c>
      <x:c r="G1089" s="10" t="n">
        <x:v>30.6847445062</x:v>
      </x:c>
      <x:c r="H1089" s="10" t="n">
        <x:f>ABS(G1089-F1089)</x:f>
        <x:v>18.3152554938</x:v>
      </x:c>
      <x:c r="I1089" s="10" t="n">
        <x:f>G1089-F1089</x:f>
        <x:v>-18.3152554938</x:v>
      </x:c>
    </x:row>
    <x:row r="1090" ht="20" customHeight="1">
      <x:c r="A1090" s="1" t="str">
        <x:v>22457</x:v>
      </x:c>
      <x:c r="B1090" s="10" t="n">
        <x:v>2</x:v>
      </x:c>
      <x:c r="C1090" s="9" t="d">
        <x:v>2011-11-02T00:00:00.000Z</x:v>
      </x:c>
      <x:c r="D1090" s="9" t="d">
        <x:v>2011-11-09T00:00:00.000Z</x:v>
      </x:c>
      <x:c r="E1090" s="1" t="str">
        <x:v>ridge</x:v>
      </x:c>
      <x:c r="F1090" s="10" t="n">
        <x:v>30</x:v>
      </x:c>
      <x:c r="G1090" s="10" t="n">
        <x:v>34.5901576383</x:v>
      </x:c>
      <x:c r="H1090" s="10" t="n">
        <x:f>ABS(G1090-F1090)</x:f>
        <x:v>4.590157638299999</x:v>
      </x:c>
      <x:c r="I1090" s="10" t="n">
        <x:f>G1090-F1090</x:f>
        <x:v>4.590157638299999</x:v>
      </x:c>
    </x:row>
    <x:row r="1091" ht="20" customHeight="1">
      <x:c r="A1091" s="1" t="str">
        <x:v>22457</x:v>
      </x:c>
      <x:c r="B1091" s="10" t="n">
        <x:v>2</x:v>
      </x:c>
      <x:c r="C1091" s="9" t="d">
        <x:v>2011-11-02T00:00:00.000Z</x:v>
      </x:c>
      <x:c r="D1091" s="9" t="d">
        <x:v>2011-11-10T00:00:00.000Z</x:v>
      </x:c>
      <x:c r="E1091" s="1" t="str">
        <x:v>ridge</x:v>
      </x:c>
      <x:c r="F1091" s="10" t="n">
        <x:v>81</x:v>
      </x:c>
      <x:c r="G1091" s="10" t="n">
        <x:v>28.1864286398</x:v>
      </x:c>
      <x:c r="H1091" s="10" t="n">
        <x:f>ABS(G1091-F1091)</x:f>
        <x:v>52.8135713602</x:v>
      </x:c>
      <x:c r="I1091" s="10" t="n">
        <x:f>G1091-F1091</x:f>
        <x:v>-52.8135713602</x:v>
      </x:c>
    </x:row>
    <x:row r="1092" ht="20" customHeight="1">
      <x:c r="A1092" s="1" t="str">
        <x:v>22457</x:v>
      </x:c>
      <x:c r="B1092" s="10" t="n">
        <x:v>2</x:v>
      </x:c>
      <x:c r="C1092" s="9" t="d">
        <x:v>2011-11-02T00:00:00.000Z</x:v>
      </x:c>
      <x:c r="D1092" s="9" t="d">
        <x:v>2011-11-11T00:00:00.000Z</x:v>
      </x:c>
      <x:c r="E1092" s="1" t="str">
        <x:v>ridge</x:v>
      </x:c>
      <x:c r="F1092" s="10" t="n">
        <x:v>44</x:v>
      </x:c>
      <x:c r="G1092" s="10" t="n">
        <x:v>18.3012843984</x:v>
      </x:c>
      <x:c r="H1092" s="10" t="n">
        <x:f>ABS(G1092-F1092)</x:f>
        <x:v>25.6987156016</x:v>
      </x:c>
      <x:c r="I1092" s="10" t="n">
        <x:f>G1092-F1092</x:f>
        <x:v>-25.6987156016</x:v>
      </x:c>
    </x:row>
    <x:row r="1093" ht="20" customHeight="1">
      <x:c r="A1093" s="1" t="str">
        <x:v>22457</x:v>
      </x:c>
      <x:c r="B1093" s="10" t="n">
        <x:v>2</x:v>
      </x:c>
      <x:c r="C1093" s="9" t="d">
        <x:v>2011-11-02T00:00:00.000Z</x:v>
      </x:c>
      <x:c r="D1093" s="9" t="d">
        <x:v>2011-11-12T00:00:00.000Z</x:v>
      </x:c>
      <x:c r="E1093" s="1" t="str">
        <x:v>ridge</x:v>
      </x:c>
      <x:c r="F1093" s="10" t="n">
        <x:v>0</x:v>
      </x:c>
      <x:c r="G1093" s="10" t="n">
        <x:v>8.3849541972</x:v>
      </x:c>
      <x:c r="H1093" s="10" t="n">
        <x:f>ABS(G1093-F1093)</x:f>
        <x:v>8.3849541972</x:v>
      </x:c>
      <x:c r="I1093" s="10" t="n">
        <x:f>G1093-F1093</x:f>
        <x:v>8.3849541972</x:v>
      </x:c>
    </x:row>
    <x:row r="1094" ht="20" customHeight="1">
      <x:c r="A1094" s="1" t="str">
        <x:v>22457</x:v>
      </x:c>
      <x:c r="B1094" s="10" t="n">
        <x:v>2</x:v>
      </x:c>
      <x:c r="C1094" s="9" t="d">
        <x:v>2011-11-02T00:00:00.000Z</x:v>
      </x:c>
      <x:c r="D1094" s="9" t="d">
        <x:v>2011-11-13T00:00:00.000Z</x:v>
      </x:c>
      <x:c r="E1094" s="1" t="str">
        <x:v>ridge</x:v>
      </x:c>
      <x:c r="F1094" s="10" t="n">
        <x:v>27</x:v>
      </x:c>
      <x:c r="G1094" s="10" t="n">
        <x:v>10.8097987061</x:v>
      </x:c>
      <x:c r="H1094" s="10" t="n">
        <x:f>ABS(G1094-F1094)</x:f>
        <x:v>16.1902012939</x:v>
      </x:c>
      <x:c r="I1094" s="10" t="n">
        <x:f>G1094-F1094</x:f>
        <x:v>-16.1902012939</x:v>
      </x:c>
    </x:row>
    <x:row r="1095" ht="20" customHeight="1">
      <x:c r="A1095" s="1" t="str">
        <x:v>22457</x:v>
      </x:c>
      <x:c r="B1095" s="10" t="n">
        <x:v>2</x:v>
      </x:c>
      <x:c r="C1095" s="9" t="d">
        <x:v>2011-11-02T00:00:00.000Z</x:v>
      </x:c>
      <x:c r="D1095" s="9" t="d">
        <x:v>2011-11-14T00:00:00.000Z</x:v>
      </x:c>
      <x:c r="E1095" s="1" t="str">
        <x:v>ridge</x:v>
      </x:c>
      <x:c r="F1095" s="10" t="n">
        <x:v>25</x:v>
      </x:c>
      <x:c r="G1095" s="10" t="n">
        <x:v>22.068528754</x:v>
      </x:c>
      <x:c r="H1095" s="10" t="n">
        <x:f>ABS(G1095-F1095)</x:f>
        <x:v>2.931471246000001</x:v>
      </x:c>
      <x:c r="I1095" s="10" t="n">
        <x:f>G1095-F1095</x:f>
        <x:v>-2.931471246000001</x:v>
      </x:c>
    </x:row>
    <x:row r="1096" ht="20" customHeight="1">
      <x:c r="A1096" s="1" t="str">
        <x:v>22457</x:v>
      </x:c>
      <x:c r="B1096" s="10" t="n">
        <x:v>2</x:v>
      </x:c>
      <x:c r="C1096" s="9" t="d">
        <x:v>2011-11-02T00:00:00.000Z</x:v>
      </x:c>
      <x:c r="D1096" s="9" t="d">
        <x:v>2011-11-15T00:00:00.000Z</x:v>
      </x:c>
      <x:c r="E1096" s="1" t="str">
        <x:v>ridge</x:v>
      </x:c>
      <x:c r="F1096" s="10" t="n">
        <x:v>39</x:v>
      </x:c>
      <x:c r="G1096" s="10" t="n">
        <x:v>32.5092592702</x:v>
      </x:c>
      <x:c r="H1096" s="10" t="n">
        <x:f>ABS(G1096-F1096)</x:f>
        <x:v>6.490740729800002</x:v>
      </x:c>
      <x:c r="I1096" s="10" t="n">
        <x:f>G1096-F1096</x:f>
        <x:v>-6.490740729800002</x:v>
      </x:c>
    </x:row>
    <x:row r="1097" ht="20" customHeight="1">
      <x:c r="A1097" s="1" t="str">
        <x:v>22457</x:v>
      </x:c>
      <x:c r="B1097" s="10" t="n">
        <x:v>2</x:v>
      </x:c>
      <x:c r="C1097" s="9" t="d">
        <x:v>2011-11-02T00:00:00.000Z</x:v>
      </x:c>
      <x:c r="D1097" s="9" t="d">
        <x:v>2011-11-16T00:00:00.000Z</x:v>
      </x:c>
      <x:c r="E1097" s="1" t="str">
        <x:v>ridge</x:v>
      </x:c>
      <x:c r="F1097" s="10" t="n">
        <x:v>31</x:v>
      </x:c>
      <x:c r="G1097" s="10" t="n">
        <x:v>35.2707985994</x:v>
      </x:c>
      <x:c r="H1097" s="10" t="n">
        <x:f>ABS(G1097-F1097)</x:f>
        <x:v>4.270798599400003</x:v>
      </x:c>
      <x:c r="I1097" s="10" t="n">
        <x:f>G1097-F1097</x:f>
        <x:v>4.270798599400003</x:v>
      </x:c>
    </x:row>
    <x:row r="1098" ht="20" customHeight="1">
      <x:c r="A1098" s="1" t="str">
        <x:v>22457</x:v>
      </x:c>
      <x:c r="B1098" s="10" t="n">
        <x:v>3</x:v>
      </x:c>
      <x:c r="C1098" s="9" t="d">
        <x:v>2011-11-16T00:00:00.000Z</x:v>
      </x:c>
      <x:c r="D1098" s="9" t="d">
        <x:v>2011-11-17T00:00:00.000Z</x:v>
      </x:c>
      <x:c r="E1098" s="1" t="str">
        <x:v>naive</x:v>
      </x:c>
      <x:c r="F1098" s="10" t="n">
        <x:v>22</x:v>
      </x:c>
      <x:c r="G1098" s="10" t="n">
        <x:v>31</x:v>
      </x:c>
      <x:c r="H1098" s="10" t="n">
        <x:f>ABS(G1098-F1098)</x:f>
        <x:v>9</x:v>
      </x:c>
      <x:c r="I1098" s="10" t="n">
        <x:f>G1098-F1098</x:f>
        <x:v>9</x:v>
      </x:c>
    </x:row>
    <x:row r="1099" ht="20" customHeight="1">
      <x:c r="A1099" s="1" t="str">
        <x:v>22457</x:v>
      </x:c>
      <x:c r="B1099" s="10" t="n">
        <x:v>3</x:v>
      </x:c>
      <x:c r="C1099" s="9" t="d">
        <x:v>2011-11-16T00:00:00.000Z</x:v>
      </x:c>
      <x:c r="D1099" s="9" t="d">
        <x:v>2011-11-18T00:00:00.000Z</x:v>
      </x:c>
      <x:c r="E1099" s="1" t="str">
        <x:v>naive</x:v>
      </x:c>
      <x:c r="F1099" s="10" t="n">
        <x:v>39</x:v>
      </x:c>
      <x:c r="G1099" s="10" t="n">
        <x:v>31</x:v>
      </x:c>
      <x:c r="H1099" s="10" t="n">
        <x:f>ABS(G1099-F1099)</x:f>
        <x:v>8</x:v>
      </x:c>
      <x:c r="I1099" s="10" t="n">
        <x:f>G1099-F1099</x:f>
        <x:v>-8</x:v>
      </x:c>
    </x:row>
    <x:row r="1100" ht="20" customHeight="1">
      <x:c r="A1100" s="1" t="str">
        <x:v>22457</x:v>
      </x:c>
      <x:c r="B1100" s="10" t="n">
        <x:v>3</x:v>
      </x:c>
      <x:c r="C1100" s="9" t="d">
        <x:v>2011-11-16T00:00:00.000Z</x:v>
      </x:c>
      <x:c r="D1100" s="9" t="d">
        <x:v>2011-11-19T00:00:00.000Z</x:v>
      </x:c>
      <x:c r="E1100" s="1" t="str">
        <x:v>naive</x:v>
      </x:c>
      <x:c r="F1100" s="10" t="n">
        <x:v>0</x:v>
      </x:c>
      <x:c r="G1100" s="10" t="n">
        <x:v>31</x:v>
      </x:c>
      <x:c r="H1100" s="10" t="n">
        <x:f>ABS(G1100-F1100)</x:f>
        <x:v>31</x:v>
      </x:c>
      <x:c r="I1100" s="10" t="n">
        <x:f>G1100-F1100</x:f>
        <x:v>31</x:v>
      </x:c>
    </x:row>
    <x:row r="1101" ht="20" customHeight="1">
      <x:c r="A1101" s="1" t="str">
        <x:v>22457</x:v>
      </x:c>
      <x:c r="B1101" s="10" t="n">
        <x:v>3</x:v>
      </x:c>
      <x:c r="C1101" s="9" t="d">
        <x:v>2011-11-16T00:00:00.000Z</x:v>
      </x:c>
      <x:c r="D1101" s="9" t="d">
        <x:v>2011-11-20T00:00:00.000Z</x:v>
      </x:c>
      <x:c r="E1101" s="1" t="str">
        <x:v>naive</x:v>
      </x:c>
      <x:c r="F1101" s="10" t="n">
        <x:v>5</x:v>
      </x:c>
      <x:c r="G1101" s="10" t="n">
        <x:v>31</x:v>
      </x:c>
      <x:c r="H1101" s="10" t="n">
        <x:f>ABS(G1101-F1101)</x:f>
        <x:v>26</x:v>
      </x:c>
      <x:c r="I1101" s="10" t="n">
        <x:f>G1101-F1101</x:f>
        <x:v>26</x:v>
      </x:c>
    </x:row>
    <x:row r="1102" ht="20" customHeight="1">
      <x:c r="A1102" s="1" t="str">
        <x:v>22457</x:v>
      </x:c>
      <x:c r="B1102" s="10" t="n">
        <x:v>3</x:v>
      </x:c>
      <x:c r="C1102" s="9" t="d">
        <x:v>2011-11-16T00:00:00.000Z</x:v>
      </x:c>
      <x:c r="D1102" s="9" t="d">
        <x:v>2011-11-21T00:00:00.000Z</x:v>
      </x:c>
      <x:c r="E1102" s="1" t="str">
        <x:v>naive</x:v>
      </x:c>
      <x:c r="F1102" s="10" t="n">
        <x:v>6</x:v>
      </x:c>
      <x:c r="G1102" s="10" t="n">
        <x:v>31</x:v>
      </x:c>
      <x:c r="H1102" s="10" t="n">
        <x:f>ABS(G1102-F1102)</x:f>
        <x:v>25</x:v>
      </x:c>
      <x:c r="I1102" s="10" t="n">
        <x:f>G1102-F1102</x:f>
        <x:v>25</x:v>
      </x:c>
    </x:row>
    <x:row r="1103" ht="20" customHeight="1">
      <x:c r="A1103" s="1" t="str">
        <x:v>22457</x:v>
      </x:c>
      <x:c r="B1103" s="10" t="n">
        <x:v>3</x:v>
      </x:c>
      <x:c r="C1103" s="9" t="d">
        <x:v>2011-11-16T00:00:00.000Z</x:v>
      </x:c>
      <x:c r="D1103" s="9" t="d">
        <x:v>2011-11-22T00:00:00.000Z</x:v>
      </x:c>
      <x:c r="E1103" s="1" t="str">
        <x:v>naive</x:v>
      </x:c>
      <x:c r="F1103" s="10" t="n">
        <x:v>15</x:v>
      </x:c>
      <x:c r="G1103" s="10" t="n">
        <x:v>31</x:v>
      </x:c>
      <x:c r="H1103" s="10" t="n">
        <x:f>ABS(G1103-F1103)</x:f>
        <x:v>16</x:v>
      </x:c>
      <x:c r="I1103" s="10" t="n">
        <x:f>G1103-F1103</x:f>
        <x:v>16</x:v>
      </x:c>
    </x:row>
    <x:row r="1104" ht="20" customHeight="1">
      <x:c r="A1104" s="1" t="str">
        <x:v>22457</x:v>
      </x:c>
      <x:c r="B1104" s="10" t="n">
        <x:v>3</x:v>
      </x:c>
      <x:c r="C1104" s="9" t="d">
        <x:v>2011-11-16T00:00:00.000Z</x:v>
      </x:c>
      <x:c r="D1104" s="9" t="d">
        <x:v>2011-11-23T00:00:00.000Z</x:v>
      </x:c>
      <x:c r="E1104" s="1" t="str">
        <x:v>naive</x:v>
      </x:c>
      <x:c r="F1104" s="10" t="n">
        <x:v>23</x:v>
      </x:c>
      <x:c r="G1104" s="10" t="n">
        <x:v>31</x:v>
      </x:c>
      <x:c r="H1104" s="10" t="n">
        <x:f>ABS(G1104-F1104)</x:f>
        <x:v>8</x:v>
      </x:c>
      <x:c r="I1104" s="10" t="n">
        <x:f>G1104-F1104</x:f>
        <x:v>8</x:v>
      </x:c>
    </x:row>
    <x:row r="1105" ht="20" customHeight="1">
      <x:c r="A1105" s="1" t="str">
        <x:v>22457</x:v>
      </x:c>
      <x:c r="B1105" s="10" t="n">
        <x:v>3</x:v>
      </x:c>
      <x:c r="C1105" s="9" t="d">
        <x:v>2011-11-16T00:00:00.000Z</x:v>
      </x:c>
      <x:c r="D1105" s="9" t="d">
        <x:v>2011-11-24T00:00:00.000Z</x:v>
      </x:c>
      <x:c r="E1105" s="1" t="str">
        <x:v>naive</x:v>
      </x:c>
      <x:c r="F1105" s="10" t="n">
        <x:v>53</x:v>
      </x:c>
      <x:c r="G1105" s="10" t="n">
        <x:v>31</x:v>
      </x:c>
      <x:c r="H1105" s="10" t="n">
        <x:f>ABS(G1105-F1105)</x:f>
        <x:v>22</x:v>
      </x:c>
      <x:c r="I1105" s="10" t="n">
        <x:f>G1105-F1105</x:f>
        <x:v>-22</x:v>
      </x:c>
    </x:row>
    <x:row r="1106" ht="20" customHeight="1">
      <x:c r="A1106" s="1" t="str">
        <x:v>22457</x:v>
      </x:c>
      <x:c r="B1106" s="10" t="n">
        <x:v>3</x:v>
      </x:c>
      <x:c r="C1106" s="9" t="d">
        <x:v>2011-11-16T00:00:00.000Z</x:v>
      </x:c>
      <x:c r="D1106" s="9" t="d">
        <x:v>2011-11-25T00:00:00.000Z</x:v>
      </x:c>
      <x:c r="E1106" s="1" t="str">
        <x:v>naive</x:v>
      </x:c>
      <x:c r="F1106" s="10" t="n">
        <x:v>83</x:v>
      </x:c>
      <x:c r="G1106" s="10" t="n">
        <x:v>31</x:v>
      </x:c>
      <x:c r="H1106" s="10" t="n">
        <x:f>ABS(G1106-F1106)</x:f>
        <x:v>52</x:v>
      </x:c>
      <x:c r="I1106" s="10" t="n">
        <x:f>G1106-F1106</x:f>
        <x:v>-52</x:v>
      </x:c>
    </x:row>
    <x:row r="1107" ht="20" customHeight="1">
      <x:c r="A1107" s="1" t="str">
        <x:v>22457</x:v>
      </x:c>
      <x:c r="B1107" s="10" t="n">
        <x:v>3</x:v>
      </x:c>
      <x:c r="C1107" s="9" t="d">
        <x:v>2011-11-16T00:00:00.000Z</x:v>
      </x:c>
      <x:c r="D1107" s="9" t="d">
        <x:v>2011-11-26T00:00:00.000Z</x:v>
      </x:c>
      <x:c r="E1107" s="1" t="str">
        <x:v>naive</x:v>
      </x:c>
      <x:c r="F1107" s="10" t="n">
        <x:v>0</x:v>
      </x:c>
      <x:c r="G1107" s="10" t="n">
        <x:v>31</x:v>
      </x:c>
      <x:c r="H1107" s="10" t="n">
        <x:f>ABS(G1107-F1107)</x:f>
        <x:v>31</x:v>
      </x:c>
      <x:c r="I1107" s="10" t="n">
        <x:f>G1107-F1107</x:f>
        <x:v>31</x:v>
      </x:c>
    </x:row>
    <x:row r="1108" ht="20" customHeight="1">
      <x:c r="A1108" s="1" t="str">
        <x:v>22457</x:v>
      </x:c>
      <x:c r="B1108" s="10" t="n">
        <x:v>3</x:v>
      </x:c>
      <x:c r="C1108" s="9" t="d">
        <x:v>2011-11-16T00:00:00.000Z</x:v>
      </x:c>
      <x:c r="D1108" s="9" t="d">
        <x:v>2011-11-27T00:00:00.000Z</x:v>
      </x:c>
      <x:c r="E1108" s="1" t="str">
        <x:v>naive</x:v>
      </x:c>
      <x:c r="F1108" s="10" t="n">
        <x:v>14</x:v>
      </x:c>
      <x:c r="G1108" s="10" t="n">
        <x:v>31</x:v>
      </x:c>
      <x:c r="H1108" s="10" t="n">
        <x:f>ABS(G1108-F1108)</x:f>
        <x:v>17</x:v>
      </x:c>
      <x:c r="I1108" s="10" t="n">
        <x:f>G1108-F1108</x:f>
        <x:v>17</x:v>
      </x:c>
    </x:row>
    <x:row r="1109" ht="20" customHeight="1">
      <x:c r="A1109" s="1" t="str">
        <x:v>22457</x:v>
      </x:c>
      <x:c r="B1109" s="10" t="n">
        <x:v>3</x:v>
      </x:c>
      <x:c r="C1109" s="9" t="d">
        <x:v>2011-11-16T00:00:00.000Z</x:v>
      </x:c>
      <x:c r="D1109" s="9" t="d">
        <x:v>2011-11-28T00:00:00.000Z</x:v>
      </x:c>
      <x:c r="E1109" s="1" t="str">
        <x:v>naive</x:v>
      </x:c>
      <x:c r="F1109" s="10" t="n">
        <x:v>19</x:v>
      </x:c>
      <x:c r="G1109" s="10" t="n">
        <x:v>31</x:v>
      </x:c>
      <x:c r="H1109" s="10" t="n">
        <x:f>ABS(G1109-F1109)</x:f>
        <x:v>12</x:v>
      </x:c>
      <x:c r="I1109" s="10" t="n">
        <x:f>G1109-F1109</x:f>
        <x:v>12</x:v>
      </x:c>
    </x:row>
    <x:row r="1110" ht="20" customHeight="1">
      <x:c r="A1110" s="1" t="str">
        <x:v>22457</x:v>
      </x:c>
      <x:c r="B1110" s="10" t="n">
        <x:v>3</x:v>
      </x:c>
      <x:c r="C1110" s="9" t="d">
        <x:v>2011-11-16T00:00:00.000Z</x:v>
      </x:c>
      <x:c r="D1110" s="9" t="d">
        <x:v>2011-11-29T00:00:00.000Z</x:v>
      </x:c>
      <x:c r="E1110" s="1" t="str">
        <x:v>naive</x:v>
      </x:c>
      <x:c r="F1110" s="10" t="n">
        <x:v>39</x:v>
      </x:c>
      <x:c r="G1110" s="10" t="n">
        <x:v>31</x:v>
      </x:c>
      <x:c r="H1110" s="10" t="n">
        <x:f>ABS(G1110-F1110)</x:f>
        <x:v>8</x:v>
      </x:c>
      <x:c r="I1110" s="10" t="n">
        <x:f>G1110-F1110</x:f>
        <x:v>-8</x:v>
      </x:c>
    </x:row>
    <x:row r="1111" ht="20" customHeight="1">
      <x:c r="A1111" s="1" t="str">
        <x:v>22457</x:v>
      </x:c>
      <x:c r="B1111" s="10" t="n">
        <x:v>3</x:v>
      </x:c>
      <x:c r="C1111" s="9" t="d">
        <x:v>2011-11-16T00:00:00.000Z</x:v>
      </x:c>
      <x:c r="D1111" s="9" t="d">
        <x:v>2011-11-30T00:00:00.000Z</x:v>
      </x:c>
      <x:c r="E1111" s="1" t="str">
        <x:v>naive</x:v>
      </x:c>
      <x:c r="F1111" s="10" t="n">
        <x:v>30</x:v>
      </x:c>
      <x:c r="G1111" s="10" t="n">
        <x:v>31</x:v>
      </x:c>
      <x:c r="H1111" s="10" t="n">
        <x:f>ABS(G1111-F1111)</x:f>
        <x:v>1</x:v>
      </x:c>
      <x:c r="I1111" s="10" t="n">
        <x:f>G1111-F1111</x:f>
        <x:v>1</x:v>
      </x:c>
    </x:row>
    <x:row r="1112" ht="20" customHeight="1">
      <x:c r="A1112" s="1" t="str">
        <x:v>22457</x:v>
      </x:c>
      <x:c r="B1112" s="10" t="n">
        <x:v>3</x:v>
      </x:c>
      <x:c r="C1112" s="9" t="d">
        <x:v>2011-11-16T00:00:00.000Z</x:v>
      </x:c>
      <x:c r="D1112" s="9" t="d">
        <x:v>2011-11-17T00:00:00.000Z</x:v>
      </x:c>
      <x:c r="E1112" s="1" t="str">
        <x:v>seasonal_naive</x:v>
      </x:c>
      <x:c r="F1112" s="10" t="n">
        <x:v>22</x:v>
      </x:c>
      <x:c r="G1112" s="10" t="n">
        <x:v>81</x:v>
      </x:c>
      <x:c r="H1112" s="10" t="n">
        <x:f>ABS(G1112-F1112)</x:f>
        <x:v>59</x:v>
      </x:c>
      <x:c r="I1112" s="10" t="n">
        <x:f>G1112-F1112</x:f>
        <x:v>59</x:v>
      </x:c>
    </x:row>
    <x:row r="1113" ht="20" customHeight="1">
      <x:c r="A1113" s="1" t="str">
        <x:v>22457</x:v>
      </x:c>
      <x:c r="B1113" s="10" t="n">
        <x:v>3</x:v>
      </x:c>
      <x:c r="C1113" s="9" t="d">
        <x:v>2011-11-16T00:00:00.000Z</x:v>
      </x:c>
      <x:c r="D1113" s="9" t="d">
        <x:v>2011-11-18T00:00:00.000Z</x:v>
      </x:c>
      <x:c r="E1113" s="1" t="str">
        <x:v>seasonal_naive</x:v>
      </x:c>
      <x:c r="F1113" s="10" t="n">
        <x:v>39</x:v>
      </x:c>
      <x:c r="G1113" s="10" t="n">
        <x:v>44</x:v>
      </x:c>
      <x:c r="H1113" s="10" t="n">
        <x:f>ABS(G1113-F1113)</x:f>
        <x:v>5</x:v>
      </x:c>
      <x:c r="I1113" s="10" t="n">
        <x:f>G1113-F1113</x:f>
        <x:v>5</x:v>
      </x:c>
    </x:row>
    <x:row r="1114" ht="20" customHeight="1">
      <x:c r="A1114" s="1" t="str">
        <x:v>22457</x:v>
      </x:c>
      <x:c r="B1114" s="10" t="n">
        <x:v>3</x:v>
      </x:c>
      <x:c r="C1114" s="9" t="d">
        <x:v>2011-11-16T00:00:00.000Z</x:v>
      </x:c>
      <x:c r="D1114" s="9" t="d">
        <x:v>2011-11-19T00:00:00.000Z</x:v>
      </x:c>
      <x:c r="E1114" s="1" t="str">
        <x:v>seasonal_naive</x:v>
      </x:c>
      <x:c r="F1114" s="10" t="n">
        <x:v>0</x:v>
      </x:c>
      <x:c r="G1114" s="10" t="n">
        <x:v>0</x:v>
      </x:c>
      <x:c r="H1114" s="10" t="n">
        <x:f>ABS(G1114-F1114)</x:f>
        <x:v>0</x:v>
      </x:c>
      <x:c r="I1114" s="10" t="n">
        <x:f>G1114-F1114</x:f>
        <x:v>0</x:v>
      </x:c>
    </x:row>
    <x:row r="1115" ht="20" customHeight="1">
      <x:c r="A1115" s="1" t="str">
        <x:v>22457</x:v>
      </x:c>
      <x:c r="B1115" s="10" t="n">
        <x:v>3</x:v>
      </x:c>
      <x:c r="C1115" s="9" t="d">
        <x:v>2011-11-16T00:00:00.000Z</x:v>
      </x:c>
      <x:c r="D1115" s="9" t="d">
        <x:v>2011-11-20T00:00:00.000Z</x:v>
      </x:c>
      <x:c r="E1115" s="1" t="str">
        <x:v>seasonal_naive</x:v>
      </x:c>
      <x:c r="F1115" s="10" t="n">
        <x:v>5</x:v>
      </x:c>
      <x:c r="G1115" s="10" t="n">
        <x:v>27</x:v>
      </x:c>
      <x:c r="H1115" s="10" t="n">
        <x:f>ABS(G1115-F1115)</x:f>
        <x:v>22</x:v>
      </x:c>
      <x:c r="I1115" s="10" t="n">
        <x:f>G1115-F1115</x:f>
        <x:v>22</x:v>
      </x:c>
    </x:row>
    <x:row r="1116" ht="20" customHeight="1">
      <x:c r="A1116" s="1" t="str">
        <x:v>22457</x:v>
      </x:c>
      <x:c r="B1116" s="10" t="n">
        <x:v>3</x:v>
      </x:c>
      <x:c r="C1116" s="9" t="d">
        <x:v>2011-11-16T00:00:00.000Z</x:v>
      </x:c>
      <x:c r="D1116" s="9" t="d">
        <x:v>2011-11-21T00:00:00.000Z</x:v>
      </x:c>
      <x:c r="E1116" s="1" t="str">
        <x:v>seasonal_naive</x:v>
      </x:c>
      <x:c r="F1116" s="10" t="n">
        <x:v>6</x:v>
      </x:c>
      <x:c r="G1116" s="10" t="n">
        <x:v>25</x:v>
      </x:c>
      <x:c r="H1116" s="10" t="n">
        <x:f>ABS(G1116-F1116)</x:f>
        <x:v>19</x:v>
      </x:c>
      <x:c r="I1116" s="10" t="n">
        <x:f>G1116-F1116</x:f>
        <x:v>19</x:v>
      </x:c>
    </x:row>
    <x:row r="1117" ht="20" customHeight="1">
      <x:c r="A1117" s="1" t="str">
        <x:v>22457</x:v>
      </x:c>
      <x:c r="B1117" s="10" t="n">
        <x:v>3</x:v>
      </x:c>
      <x:c r="C1117" s="9" t="d">
        <x:v>2011-11-16T00:00:00.000Z</x:v>
      </x:c>
      <x:c r="D1117" s="9" t="d">
        <x:v>2011-11-22T00:00:00.000Z</x:v>
      </x:c>
      <x:c r="E1117" s="1" t="str">
        <x:v>seasonal_naive</x:v>
      </x:c>
      <x:c r="F1117" s="10" t="n">
        <x:v>15</x:v>
      </x:c>
      <x:c r="G1117" s="10" t="n">
        <x:v>39</x:v>
      </x:c>
      <x:c r="H1117" s="10" t="n">
        <x:f>ABS(G1117-F1117)</x:f>
        <x:v>24</x:v>
      </x:c>
      <x:c r="I1117" s="10" t="n">
        <x:f>G1117-F1117</x:f>
        <x:v>24</x:v>
      </x:c>
    </x:row>
    <x:row r="1118" ht="20" customHeight="1">
      <x:c r="A1118" s="1" t="str">
        <x:v>22457</x:v>
      </x:c>
      <x:c r="B1118" s="10" t="n">
        <x:v>3</x:v>
      </x:c>
      <x:c r="C1118" s="9" t="d">
        <x:v>2011-11-16T00:00:00.000Z</x:v>
      </x:c>
      <x:c r="D1118" s="9" t="d">
        <x:v>2011-11-23T00:00:00.000Z</x:v>
      </x:c>
      <x:c r="E1118" s="1" t="str">
        <x:v>seasonal_naive</x:v>
      </x:c>
      <x:c r="F1118" s="10" t="n">
        <x:v>23</x:v>
      </x:c>
      <x:c r="G1118" s="10" t="n">
        <x:v>31</x:v>
      </x:c>
      <x:c r="H1118" s="10" t="n">
        <x:f>ABS(G1118-F1118)</x:f>
        <x:v>8</x:v>
      </x:c>
      <x:c r="I1118" s="10" t="n">
        <x:f>G1118-F1118</x:f>
        <x:v>8</x:v>
      </x:c>
    </x:row>
    <x:row r="1119" ht="20" customHeight="1">
      <x:c r="A1119" s="1" t="str">
        <x:v>22457</x:v>
      </x:c>
      <x:c r="B1119" s="10" t="n">
        <x:v>3</x:v>
      </x:c>
      <x:c r="C1119" s="9" t="d">
        <x:v>2011-11-16T00:00:00.000Z</x:v>
      </x:c>
      <x:c r="D1119" s="9" t="d">
        <x:v>2011-11-24T00:00:00.000Z</x:v>
      </x:c>
      <x:c r="E1119" s="1" t="str">
        <x:v>seasonal_naive</x:v>
      </x:c>
      <x:c r="F1119" s="10" t="n">
        <x:v>53</x:v>
      </x:c>
      <x:c r="G1119" s="10" t="n">
        <x:v>81</x:v>
      </x:c>
      <x:c r="H1119" s="10" t="n">
        <x:f>ABS(G1119-F1119)</x:f>
        <x:v>28</x:v>
      </x:c>
      <x:c r="I1119" s="10" t="n">
        <x:f>G1119-F1119</x:f>
        <x:v>28</x:v>
      </x:c>
    </x:row>
    <x:row r="1120" ht="20" customHeight="1">
      <x:c r="A1120" s="1" t="str">
        <x:v>22457</x:v>
      </x:c>
      <x:c r="B1120" s="10" t="n">
        <x:v>3</x:v>
      </x:c>
      <x:c r="C1120" s="9" t="d">
        <x:v>2011-11-16T00:00:00.000Z</x:v>
      </x:c>
      <x:c r="D1120" s="9" t="d">
        <x:v>2011-11-25T00:00:00.000Z</x:v>
      </x:c>
      <x:c r="E1120" s="1" t="str">
        <x:v>seasonal_naive</x:v>
      </x:c>
      <x:c r="F1120" s="10" t="n">
        <x:v>83</x:v>
      </x:c>
      <x:c r="G1120" s="10" t="n">
        <x:v>44</x:v>
      </x:c>
      <x:c r="H1120" s="10" t="n">
        <x:f>ABS(G1120-F1120)</x:f>
        <x:v>39</x:v>
      </x:c>
      <x:c r="I1120" s="10" t="n">
        <x:f>G1120-F1120</x:f>
        <x:v>-39</x:v>
      </x:c>
    </x:row>
    <x:row r="1121" ht="20" customHeight="1">
      <x:c r="A1121" s="1" t="str">
        <x:v>22457</x:v>
      </x:c>
      <x:c r="B1121" s="10" t="n">
        <x:v>3</x:v>
      </x:c>
      <x:c r="C1121" s="9" t="d">
        <x:v>2011-11-16T00:00:00.000Z</x:v>
      </x:c>
      <x:c r="D1121" s="9" t="d">
        <x:v>2011-11-26T00:00:00.000Z</x:v>
      </x:c>
      <x:c r="E1121" s="1" t="str">
        <x:v>seasonal_naive</x:v>
      </x:c>
      <x:c r="F1121" s="10" t="n">
        <x:v>0</x:v>
      </x:c>
      <x:c r="G1121" s="10" t="n">
        <x:v>0</x:v>
      </x:c>
      <x:c r="H1121" s="10" t="n">
        <x:f>ABS(G1121-F1121)</x:f>
        <x:v>0</x:v>
      </x:c>
      <x:c r="I1121" s="10" t="n">
        <x:f>G1121-F1121</x:f>
        <x:v>0</x:v>
      </x:c>
    </x:row>
    <x:row r="1122" ht="20" customHeight="1">
      <x:c r="A1122" s="1" t="str">
        <x:v>22457</x:v>
      </x:c>
      <x:c r="B1122" s="10" t="n">
        <x:v>3</x:v>
      </x:c>
      <x:c r="C1122" s="9" t="d">
        <x:v>2011-11-16T00:00:00.000Z</x:v>
      </x:c>
      <x:c r="D1122" s="9" t="d">
        <x:v>2011-11-27T00:00:00.000Z</x:v>
      </x:c>
      <x:c r="E1122" s="1" t="str">
        <x:v>seasonal_naive</x:v>
      </x:c>
      <x:c r="F1122" s="10" t="n">
        <x:v>14</x:v>
      </x:c>
      <x:c r="G1122" s="10" t="n">
        <x:v>27</x:v>
      </x:c>
      <x:c r="H1122" s="10" t="n">
        <x:f>ABS(G1122-F1122)</x:f>
        <x:v>13</x:v>
      </x:c>
      <x:c r="I1122" s="10" t="n">
        <x:f>G1122-F1122</x:f>
        <x:v>13</x:v>
      </x:c>
    </x:row>
    <x:row r="1123" ht="20" customHeight="1">
      <x:c r="A1123" s="1" t="str">
        <x:v>22457</x:v>
      </x:c>
      <x:c r="B1123" s="10" t="n">
        <x:v>3</x:v>
      </x:c>
      <x:c r="C1123" s="9" t="d">
        <x:v>2011-11-16T00:00:00.000Z</x:v>
      </x:c>
      <x:c r="D1123" s="9" t="d">
        <x:v>2011-11-28T00:00:00.000Z</x:v>
      </x:c>
      <x:c r="E1123" s="1" t="str">
        <x:v>seasonal_naive</x:v>
      </x:c>
      <x:c r="F1123" s="10" t="n">
        <x:v>19</x:v>
      </x:c>
      <x:c r="G1123" s="10" t="n">
        <x:v>25</x:v>
      </x:c>
      <x:c r="H1123" s="10" t="n">
        <x:f>ABS(G1123-F1123)</x:f>
        <x:v>6</x:v>
      </x:c>
      <x:c r="I1123" s="10" t="n">
        <x:f>G1123-F1123</x:f>
        <x:v>6</x:v>
      </x:c>
    </x:row>
    <x:row r="1124" ht="20" customHeight="1">
      <x:c r="A1124" s="1" t="str">
        <x:v>22457</x:v>
      </x:c>
      <x:c r="B1124" s="10" t="n">
        <x:v>3</x:v>
      </x:c>
      <x:c r="C1124" s="9" t="d">
        <x:v>2011-11-16T00:00:00.000Z</x:v>
      </x:c>
      <x:c r="D1124" s="9" t="d">
        <x:v>2011-11-29T00:00:00.000Z</x:v>
      </x:c>
      <x:c r="E1124" s="1" t="str">
        <x:v>seasonal_naive</x:v>
      </x:c>
      <x:c r="F1124" s="10" t="n">
        <x:v>39</x:v>
      </x:c>
      <x:c r="G1124" s="10" t="n">
        <x:v>39</x:v>
      </x:c>
      <x:c r="H1124" s="10" t="n">
        <x:f>ABS(G1124-F1124)</x:f>
        <x:v>0</x:v>
      </x:c>
      <x:c r="I1124" s="10" t="n">
        <x:f>G1124-F1124</x:f>
        <x:v>0</x:v>
      </x:c>
    </x:row>
    <x:row r="1125" ht="20" customHeight="1">
      <x:c r="A1125" s="1" t="str">
        <x:v>22457</x:v>
      </x:c>
      <x:c r="B1125" s="10" t="n">
        <x:v>3</x:v>
      </x:c>
      <x:c r="C1125" s="9" t="d">
        <x:v>2011-11-16T00:00:00.000Z</x:v>
      </x:c>
      <x:c r="D1125" s="9" t="d">
        <x:v>2011-11-30T00:00:00.000Z</x:v>
      </x:c>
      <x:c r="E1125" s="1" t="str">
        <x:v>seasonal_naive</x:v>
      </x:c>
      <x:c r="F1125" s="10" t="n">
        <x:v>30</x:v>
      </x:c>
      <x:c r="G1125" s="10" t="n">
        <x:v>31</x:v>
      </x:c>
      <x:c r="H1125" s="10" t="n">
        <x:f>ABS(G1125-F1125)</x:f>
        <x:v>1</x:v>
      </x:c>
      <x:c r="I1125" s="10" t="n">
        <x:f>G1125-F1125</x:f>
        <x:v>1</x:v>
      </x:c>
    </x:row>
    <x:row r="1126" ht="20" customHeight="1">
      <x:c r="A1126" s="1" t="str">
        <x:v>22457</x:v>
      </x:c>
      <x:c r="B1126" s="10" t="n">
        <x:v>3</x:v>
      </x:c>
      <x:c r="C1126" s="9" t="d">
        <x:v>2011-11-16T00:00:00.000Z</x:v>
      </x:c>
      <x:c r="D1126" s="9" t="d">
        <x:v>2011-11-17T00:00:00.000Z</x:v>
      </x:c>
      <x:c r="E1126" s="1" t="str">
        <x:v>ridge</x:v>
      </x:c>
      <x:c r="F1126" s="10" t="n">
        <x:v>22</x:v>
      </x:c>
      <x:c r="G1126" s="10" t="n">
        <x:v>29.4187289431</x:v>
      </x:c>
      <x:c r="H1126" s="10" t="n">
        <x:f>ABS(G1126-F1126)</x:f>
        <x:v>7.4187289431</x:v>
      </x:c>
      <x:c r="I1126" s="10" t="n">
        <x:f>G1126-F1126</x:f>
        <x:v>7.4187289431</x:v>
      </x:c>
    </x:row>
    <x:row r="1127" ht="20" customHeight="1">
      <x:c r="A1127" s="1" t="str">
        <x:v>22457</x:v>
      </x:c>
      <x:c r="B1127" s="10" t="n">
        <x:v>3</x:v>
      </x:c>
      <x:c r="C1127" s="9" t="d">
        <x:v>2011-11-16T00:00:00.000Z</x:v>
      </x:c>
      <x:c r="D1127" s="9" t="d">
        <x:v>2011-11-18T00:00:00.000Z</x:v>
      </x:c>
      <x:c r="E1127" s="1" t="str">
        <x:v>ridge</x:v>
      </x:c>
      <x:c r="F1127" s="10" t="n">
        <x:v>39</x:v>
      </x:c>
      <x:c r="G1127" s="10" t="n">
        <x:v>16.7565802761</x:v>
      </x:c>
      <x:c r="H1127" s="10" t="n">
        <x:f>ABS(G1127-F1127)</x:f>
        <x:v>22.2434197239</x:v>
      </x:c>
      <x:c r="I1127" s="10" t="n">
        <x:f>G1127-F1127</x:f>
        <x:v>-22.2434197239</x:v>
      </x:c>
    </x:row>
    <x:row r="1128" ht="20" customHeight="1">
      <x:c r="A1128" s="1" t="str">
        <x:v>22457</x:v>
      </x:c>
      <x:c r="B1128" s="10" t="n">
        <x:v>3</x:v>
      </x:c>
      <x:c r="C1128" s="9" t="d">
        <x:v>2011-11-16T00:00:00.000Z</x:v>
      </x:c>
      <x:c r="D1128" s="9" t="d">
        <x:v>2011-11-19T00:00:00.000Z</x:v>
      </x:c>
      <x:c r="E1128" s="1" t="str">
        <x:v>ridge</x:v>
      </x:c>
      <x:c r="F1128" s="10" t="n">
        <x:v>0</x:v>
      </x:c>
      <x:c r="G1128" s="10" t="n">
        <x:v>8.1029767343</x:v>
      </x:c>
      <x:c r="H1128" s="10" t="n">
        <x:f>ABS(G1128-F1128)</x:f>
        <x:v>8.1029767343</x:v>
      </x:c>
      <x:c r="I1128" s="10" t="n">
        <x:f>G1128-F1128</x:f>
        <x:v>8.1029767343</x:v>
      </x:c>
    </x:row>
    <x:row r="1129" ht="20" customHeight="1">
      <x:c r="A1129" s="1" t="str">
        <x:v>22457</x:v>
      </x:c>
      <x:c r="B1129" s="10" t="n">
        <x:v>3</x:v>
      </x:c>
      <x:c r="C1129" s="9" t="d">
        <x:v>2011-11-16T00:00:00.000Z</x:v>
      </x:c>
      <x:c r="D1129" s="9" t="d">
        <x:v>2011-11-20T00:00:00.000Z</x:v>
      </x:c>
      <x:c r="E1129" s="1" t="str">
        <x:v>ridge</x:v>
      </x:c>
      <x:c r="F1129" s="10" t="n">
        <x:v>5</x:v>
      </x:c>
      <x:c r="G1129" s="10" t="n">
        <x:v>11.3950998943</x:v>
      </x:c>
      <x:c r="H1129" s="10" t="n">
        <x:f>ABS(G1129-F1129)</x:f>
        <x:v>6.3950998942999995</x:v>
      </x:c>
      <x:c r="I1129" s="10" t="n">
        <x:f>G1129-F1129</x:f>
        <x:v>6.3950998942999995</x:v>
      </x:c>
    </x:row>
    <x:row r="1130" ht="20" customHeight="1">
      <x:c r="A1130" s="1" t="str">
        <x:v>22457</x:v>
      </x:c>
      <x:c r="B1130" s="10" t="n">
        <x:v>3</x:v>
      </x:c>
      <x:c r="C1130" s="9" t="d">
        <x:v>2011-11-16T00:00:00.000Z</x:v>
      </x:c>
      <x:c r="D1130" s="9" t="d">
        <x:v>2011-11-21T00:00:00.000Z</x:v>
      </x:c>
      <x:c r="E1130" s="1" t="str">
        <x:v>ridge</x:v>
      </x:c>
      <x:c r="F1130" s="10" t="n">
        <x:v>6</x:v>
      </x:c>
      <x:c r="G1130" s="10" t="n">
        <x:v>20.7930167321</x:v>
      </x:c>
      <x:c r="H1130" s="10" t="n">
        <x:f>ABS(G1130-F1130)</x:f>
        <x:v>14.7930167321</x:v>
      </x:c>
      <x:c r="I1130" s="10" t="n">
        <x:f>G1130-F1130</x:f>
        <x:v>14.7930167321</x:v>
      </x:c>
    </x:row>
    <x:row r="1131" ht="20" customHeight="1">
      <x:c r="A1131" s="1" t="str">
        <x:v>22457</x:v>
      </x:c>
      <x:c r="B1131" s="10" t="n">
        <x:v>3</x:v>
      </x:c>
      <x:c r="C1131" s="9" t="d">
        <x:v>2011-11-16T00:00:00.000Z</x:v>
      </x:c>
      <x:c r="D1131" s="9" t="d">
        <x:v>2011-11-22T00:00:00.000Z</x:v>
      </x:c>
      <x:c r="E1131" s="1" t="str">
        <x:v>ridge</x:v>
      </x:c>
      <x:c r="F1131" s="10" t="n">
        <x:v>15</x:v>
      </x:c>
      <x:c r="G1131" s="10" t="n">
        <x:v>32.4569942539</x:v>
      </x:c>
      <x:c r="H1131" s="10" t="n">
        <x:f>ABS(G1131-F1131)</x:f>
        <x:v>17.4569942539</x:v>
      </x:c>
      <x:c r="I1131" s="10" t="n">
        <x:f>G1131-F1131</x:f>
        <x:v>17.4569942539</x:v>
      </x:c>
    </x:row>
    <x:row r="1132" ht="20" customHeight="1">
      <x:c r="A1132" s="1" t="str">
        <x:v>22457</x:v>
      </x:c>
      <x:c r="B1132" s="10" t="n">
        <x:v>3</x:v>
      </x:c>
      <x:c r="C1132" s="9" t="d">
        <x:v>2011-11-16T00:00:00.000Z</x:v>
      </x:c>
      <x:c r="D1132" s="9" t="d">
        <x:v>2011-11-23T00:00:00.000Z</x:v>
      </x:c>
      <x:c r="E1132" s="1" t="str">
        <x:v>ridge</x:v>
      </x:c>
      <x:c r="F1132" s="10" t="n">
        <x:v>23</x:v>
      </x:c>
      <x:c r="G1132" s="10" t="n">
        <x:v>34.4502213388</x:v>
      </x:c>
      <x:c r="H1132" s="10" t="n">
        <x:f>ABS(G1132-F1132)</x:f>
        <x:v>11.450221338799999</x:v>
      </x:c>
      <x:c r="I1132" s="10" t="n">
        <x:f>G1132-F1132</x:f>
        <x:v>11.450221338799999</x:v>
      </x:c>
    </x:row>
    <x:row r="1133" ht="20" customHeight="1">
      <x:c r="A1133" s="1" t="str">
        <x:v>22457</x:v>
      </x:c>
      <x:c r="B1133" s="10" t="n">
        <x:v>3</x:v>
      </x:c>
      <x:c r="C1133" s="9" t="d">
        <x:v>2011-11-16T00:00:00.000Z</x:v>
      </x:c>
      <x:c r="D1133" s="9" t="d">
        <x:v>2011-11-24T00:00:00.000Z</x:v>
      </x:c>
      <x:c r="E1133" s="1" t="str">
        <x:v>ridge</x:v>
      </x:c>
      <x:c r="F1133" s="10" t="n">
        <x:v>53</x:v>
      </x:c>
      <x:c r="G1133" s="10" t="n">
        <x:v>29.3109680475</x:v>
      </x:c>
      <x:c r="H1133" s="10" t="n">
        <x:f>ABS(G1133-F1133)</x:f>
        <x:v>23.6890319525</x:v>
      </x:c>
      <x:c r="I1133" s="10" t="n">
        <x:f>G1133-F1133</x:f>
        <x:v>-23.6890319525</x:v>
      </x:c>
    </x:row>
    <x:row r="1134" ht="20" customHeight="1">
      <x:c r="A1134" s="1" t="str">
        <x:v>22457</x:v>
      </x:c>
      <x:c r="B1134" s="10" t="n">
        <x:v>3</x:v>
      </x:c>
      <x:c r="C1134" s="9" t="d">
        <x:v>2011-11-16T00:00:00.000Z</x:v>
      </x:c>
      <x:c r="D1134" s="9" t="d">
        <x:v>2011-11-25T00:00:00.000Z</x:v>
      </x:c>
      <x:c r="E1134" s="1" t="str">
        <x:v>ridge</x:v>
      </x:c>
      <x:c r="F1134" s="10" t="n">
        <x:v>83</x:v>
      </x:c>
      <x:c r="G1134" s="10" t="n">
        <x:v>16.1529492958</x:v>
      </x:c>
      <x:c r="H1134" s="10" t="n">
        <x:f>ABS(G1134-F1134)</x:f>
        <x:v>66.8470507042</x:v>
      </x:c>
      <x:c r="I1134" s="10" t="n">
        <x:f>G1134-F1134</x:f>
        <x:v>-66.8470507042</x:v>
      </x:c>
    </x:row>
    <x:row r="1135" ht="20" customHeight="1">
      <x:c r="A1135" s="1" t="str">
        <x:v>22457</x:v>
      </x:c>
      <x:c r="B1135" s="10" t="n">
        <x:v>3</x:v>
      </x:c>
      <x:c r="C1135" s="9" t="d">
        <x:v>2011-11-16T00:00:00.000Z</x:v>
      </x:c>
      <x:c r="D1135" s="9" t="d">
        <x:v>2011-11-26T00:00:00.000Z</x:v>
      </x:c>
      <x:c r="E1135" s="1" t="str">
        <x:v>ridge</x:v>
      </x:c>
      <x:c r="F1135" s="10" t="n">
        <x:v>0</x:v>
      </x:c>
      <x:c r="G1135" s="10" t="n">
        <x:v>7.3185407242</x:v>
      </x:c>
      <x:c r="H1135" s="10" t="n">
        <x:f>ABS(G1135-F1135)</x:f>
        <x:v>7.3185407242</x:v>
      </x:c>
      <x:c r="I1135" s="10" t="n">
        <x:f>G1135-F1135</x:f>
        <x:v>7.3185407242</x:v>
      </x:c>
    </x:row>
    <x:row r="1136" ht="20" customHeight="1">
      <x:c r="A1136" s="1" t="str">
        <x:v>22457</x:v>
      </x:c>
      <x:c r="B1136" s="10" t="n">
        <x:v>3</x:v>
      </x:c>
      <x:c r="C1136" s="9" t="d">
        <x:v>2011-11-16T00:00:00.000Z</x:v>
      </x:c>
      <x:c r="D1136" s="9" t="d">
        <x:v>2011-11-27T00:00:00.000Z</x:v>
      </x:c>
      <x:c r="E1136" s="1" t="str">
        <x:v>ridge</x:v>
      </x:c>
      <x:c r="F1136" s="10" t="n">
        <x:v>14</x:v>
      </x:c>
      <x:c r="G1136" s="10" t="n">
        <x:v>10.2825253428</x:v>
      </x:c>
      <x:c r="H1136" s="10" t="n">
        <x:f>ABS(G1136-F1136)</x:f>
        <x:v>3.7174746572000004</x:v>
      </x:c>
      <x:c r="I1136" s="10" t="n">
        <x:f>G1136-F1136</x:f>
        <x:v>-3.7174746572000004</x:v>
      </x:c>
    </x:row>
    <x:row r="1137" ht="20" customHeight="1">
      <x:c r="A1137" s="1" t="str">
        <x:v>22457</x:v>
      </x:c>
      <x:c r="B1137" s="10" t="n">
        <x:v>3</x:v>
      </x:c>
      <x:c r="C1137" s="9" t="d">
        <x:v>2011-11-16T00:00:00.000Z</x:v>
      </x:c>
      <x:c r="D1137" s="9" t="d">
        <x:v>2011-11-28T00:00:00.000Z</x:v>
      </x:c>
      <x:c r="E1137" s="1" t="str">
        <x:v>ridge</x:v>
      </x:c>
      <x:c r="F1137" s="10" t="n">
        <x:v>19</x:v>
      </x:c>
      <x:c r="G1137" s="10" t="n">
        <x:v>20.5456979489</x:v>
      </x:c>
      <x:c r="H1137" s="10" t="n">
        <x:f>ABS(G1137-F1137)</x:f>
        <x:v>1.5456979488999991</x:v>
      </x:c>
      <x:c r="I1137" s="10" t="n">
        <x:f>G1137-F1137</x:f>
        <x:v>1.5456979488999991</x:v>
      </x:c>
    </x:row>
    <x:row r="1138" ht="20" customHeight="1">
      <x:c r="A1138" s="1" t="str">
        <x:v>22457</x:v>
      </x:c>
      <x:c r="B1138" s="10" t="n">
        <x:v>3</x:v>
      </x:c>
      <x:c r="C1138" s="9" t="d">
        <x:v>2011-11-16T00:00:00.000Z</x:v>
      </x:c>
      <x:c r="D1138" s="9" t="d">
        <x:v>2011-11-29T00:00:00.000Z</x:v>
      </x:c>
      <x:c r="E1138" s="1" t="str">
        <x:v>ridge</x:v>
      </x:c>
      <x:c r="F1138" s="10" t="n">
        <x:v>39</x:v>
      </x:c>
      <x:c r="G1138" s="10" t="n">
        <x:v>31.9549251968</x:v>
      </x:c>
      <x:c r="H1138" s="10" t="n">
        <x:f>ABS(G1138-F1138)</x:f>
        <x:v>7.045074803199999</x:v>
      </x:c>
      <x:c r="I1138" s="10" t="n">
        <x:f>G1138-F1138</x:f>
        <x:v>-7.045074803199999</x:v>
      </x:c>
    </x:row>
    <x:row r="1139" ht="20" customHeight="1">
      <x:c r="A1139" s="1" t="str">
        <x:v>22457</x:v>
      </x:c>
      <x:c r="B1139" s="10" t="n">
        <x:v>3</x:v>
      </x:c>
      <x:c r="C1139" s="9" t="d">
        <x:v>2011-11-16T00:00:00.000Z</x:v>
      </x:c>
      <x:c r="D1139" s="9" t="d">
        <x:v>2011-11-30T00:00:00.000Z</x:v>
      </x:c>
      <x:c r="E1139" s="1" t="str">
        <x:v>ridge</x:v>
      </x:c>
      <x:c r="F1139" s="10" t="n">
        <x:v>30</x:v>
      </x:c>
      <x:c r="G1139" s="10" t="n">
        <x:v>34.5271773512</x:v>
      </x:c>
      <x:c r="H1139" s="10" t="n">
        <x:f>ABS(G1139-F1139)</x:f>
        <x:v>4.527177351200002</x:v>
      </x:c>
      <x:c r="I1139" s="10" t="n">
        <x:f>G1139-F1139</x:f>
        <x:v>4.527177351200002</x:v>
      </x:c>
    </x:row>
    <x:row r="1140" ht="20" customHeight="1">
      <x:c r="A1140" s="1" t="str">
        <x:v>22469</x:v>
      </x:c>
      <x:c r="B1140" s="10" t="n">
        <x:v>1</x:v>
      </x:c>
      <x:c r="C1140" s="9" t="d">
        <x:v>2011-10-19T00:00:00.000Z</x:v>
      </x:c>
      <x:c r="D1140" s="9" t="d">
        <x:v>2011-10-20T00:00:00.000Z</x:v>
      </x:c>
      <x:c r="E1140" s="1" t="str">
        <x:v>naive</x:v>
      </x:c>
      <x:c r="F1140" s="10" t="n">
        <x:v>65</x:v>
      </x:c>
      <x:c r="G1140" s="10" t="n">
        <x:v>17</x:v>
      </x:c>
      <x:c r="H1140" s="10" t="n">
        <x:f>ABS(G1140-F1140)</x:f>
        <x:v>48</x:v>
      </x:c>
      <x:c r="I1140" s="10" t="n">
        <x:f>G1140-F1140</x:f>
        <x:v>-48</x:v>
      </x:c>
    </x:row>
    <x:row r="1141" ht="20" customHeight="1">
      <x:c r="A1141" s="1" t="str">
        <x:v>22469</x:v>
      </x:c>
      <x:c r="B1141" s="10" t="n">
        <x:v>1</x:v>
      </x:c>
      <x:c r="C1141" s="9" t="d">
        <x:v>2011-10-19T00:00:00.000Z</x:v>
      </x:c>
      <x:c r="D1141" s="9" t="d">
        <x:v>2011-10-21T00:00:00.000Z</x:v>
      </x:c>
      <x:c r="E1141" s="1" t="str">
        <x:v>naive</x:v>
      </x:c>
      <x:c r="F1141" s="10" t="n">
        <x:v>162</x:v>
      </x:c>
      <x:c r="G1141" s="10" t="n">
        <x:v>17</x:v>
      </x:c>
      <x:c r="H1141" s="10" t="n">
        <x:f>ABS(G1141-F1141)</x:f>
        <x:v>145</x:v>
      </x:c>
      <x:c r="I1141" s="10" t="n">
        <x:f>G1141-F1141</x:f>
        <x:v>-145</x:v>
      </x:c>
    </x:row>
    <x:row r="1142" ht="20" customHeight="1">
      <x:c r="A1142" s="1" t="str">
        <x:v>22469</x:v>
      </x:c>
      <x:c r="B1142" s="10" t="n">
        <x:v>1</x:v>
      </x:c>
      <x:c r="C1142" s="9" t="d">
        <x:v>2011-10-19T00:00:00.000Z</x:v>
      </x:c>
      <x:c r="D1142" s="9" t="d">
        <x:v>2011-10-22T00:00:00.000Z</x:v>
      </x:c>
      <x:c r="E1142" s="1" t="str">
        <x:v>naive</x:v>
      </x:c>
      <x:c r="F1142" s="10" t="n">
        <x:v>0</x:v>
      </x:c>
      <x:c r="G1142" s="10" t="n">
        <x:v>17</x:v>
      </x:c>
      <x:c r="H1142" s="10" t="n">
        <x:f>ABS(G1142-F1142)</x:f>
        <x:v>17</x:v>
      </x:c>
      <x:c r="I1142" s="10" t="n">
        <x:f>G1142-F1142</x:f>
        <x:v>17</x:v>
      </x:c>
    </x:row>
    <x:row r="1143" ht="20" customHeight="1">
      <x:c r="A1143" s="1" t="str">
        <x:v>22469</x:v>
      </x:c>
      <x:c r="B1143" s="10" t="n">
        <x:v>1</x:v>
      </x:c>
      <x:c r="C1143" s="9" t="d">
        <x:v>2011-10-19T00:00:00.000Z</x:v>
      </x:c>
      <x:c r="D1143" s="9" t="d">
        <x:v>2011-10-23T00:00:00.000Z</x:v>
      </x:c>
      <x:c r="E1143" s="1" t="str">
        <x:v>naive</x:v>
      </x:c>
      <x:c r="F1143" s="10" t="n">
        <x:v>17</x:v>
      </x:c>
      <x:c r="G1143" s="10" t="n">
        <x:v>17</x:v>
      </x:c>
      <x:c r="H1143" s="10" t="n">
        <x:f>ABS(G1143-F1143)</x:f>
        <x:v>0</x:v>
      </x:c>
      <x:c r="I1143" s="10" t="n">
        <x:f>G1143-F1143</x:f>
        <x:v>0</x:v>
      </x:c>
    </x:row>
    <x:row r="1144" ht="20" customHeight="1">
      <x:c r="A1144" s="1" t="str">
        <x:v>22469</x:v>
      </x:c>
      <x:c r="B1144" s="10" t="n">
        <x:v>1</x:v>
      </x:c>
      <x:c r="C1144" s="9" t="d">
        <x:v>2011-10-19T00:00:00.000Z</x:v>
      </x:c>
      <x:c r="D1144" s="9" t="d">
        <x:v>2011-10-24T00:00:00.000Z</x:v>
      </x:c>
      <x:c r="E1144" s="1" t="str">
        <x:v>naive</x:v>
      </x:c>
      <x:c r="F1144" s="10" t="n">
        <x:v>72</x:v>
      </x:c>
      <x:c r="G1144" s="10" t="n">
        <x:v>17</x:v>
      </x:c>
      <x:c r="H1144" s="10" t="n">
        <x:f>ABS(G1144-F1144)</x:f>
        <x:v>55</x:v>
      </x:c>
      <x:c r="I1144" s="10" t="n">
        <x:f>G1144-F1144</x:f>
        <x:v>-55</x:v>
      </x:c>
    </x:row>
    <x:row r="1145" ht="20" customHeight="1">
      <x:c r="A1145" s="1" t="str">
        <x:v>22469</x:v>
      </x:c>
      <x:c r="B1145" s="10" t="n">
        <x:v>1</x:v>
      </x:c>
      <x:c r="C1145" s="9" t="d">
        <x:v>2011-10-19T00:00:00.000Z</x:v>
      </x:c>
      <x:c r="D1145" s="9" t="d">
        <x:v>2011-10-25T00:00:00.000Z</x:v>
      </x:c>
      <x:c r="E1145" s="1" t="str">
        <x:v>naive</x:v>
      </x:c>
      <x:c r="F1145" s="10" t="n">
        <x:v>17</x:v>
      </x:c>
      <x:c r="G1145" s="10" t="n">
        <x:v>17</x:v>
      </x:c>
      <x:c r="H1145" s="10" t="n">
        <x:f>ABS(G1145-F1145)</x:f>
        <x:v>0</x:v>
      </x:c>
      <x:c r="I1145" s="10" t="n">
        <x:f>G1145-F1145</x:f>
        <x:v>0</x:v>
      </x:c>
    </x:row>
    <x:row r="1146" ht="20" customHeight="1">
      <x:c r="A1146" s="1" t="str">
        <x:v>22469</x:v>
      </x:c>
      <x:c r="B1146" s="10" t="n">
        <x:v>1</x:v>
      </x:c>
      <x:c r="C1146" s="9" t="d">
        <x:v>2011-10-19T00:00:00.000Z</x:v>
      </x:c>
      <x:c r="D1146" s="9" t="d">
        <x:v>2011-10-26T00:00:00.000Z</x:v>
      </x:c>
      <x:c r="E1146" s="1" t="str">
        <x:v>naive</x:v>
      </x:c>
      <x:c r="F1146" s="10" t="n">
        <x:v>61</x:v>
      </x:c>
      <x:c r="G1146" s="10" t="n">
        <x:v>17</x:v>
      </x:c>
      <x:c r="H1146" s="10" t="n">
        <x:f>ABS(G1146-F1146)</x:f>
        <x:v>44</x:v>
      </x:c>
      <x:c r="I1146" s="10" t="n">
        <x:f>G1146-F1146</x:f>
        <x:v>-44</x:v>
      </x:c>
    </x:row>
    <x:row r="1147" ht="20" customHeight="1">
      <x:c r="A1147" s="1" t="str">
        <x:v>22469</x:v>
      </x:c>
      <x:c r="B1147" s="10" t="n">
        <x:v>1</x:v>
      </x:c>
      <x:c r="C1147" s="9" t="d">
        <x:v>2011-10-19T00:00:00.000Z</x:v>
      </x:c>
      <x:c r="D1147" s="9" t="d">
        <x:v>2011-10-27T00:00:00.000Z</x:v>
      </x:c>
      <x:c r="E1147" s="1" t="str">
        <x:v>naive</x:v>
      </x:c>
      <x:c r="F1147" s="10" t="n">
        <x:v>59</x:v>
      </x:c>
      <x:c r="G1147" s="10" t="n">
        <x:v>17</x:v>
      </x:c>
      <x:c r="H1147" s="10" t="n">
        <x:f>ABS(G1147-F1147)</x:f>
        <x:v>42</x:v>
      </x:c>
      <x:c r="I1147" s="10" t="n">
        <x:f>G1147-F1147</x:f>
        <x:v>-42</x:v>
      </x:c>
    </x:row>
    <x:row r="1148" ht="20" customHeight="1">
      <x:c r="A1148" s="1" t="str">
        <x:v>22469</x:v>
      </x:c>
      <x:c r="B1148" s="10" t="n">
        <x:v>1</x:v>
      </x:c>
      <x:c r="C1148" s="9" t="d">
        <x:v>2011-10-19T00:00:00.000Z</x:v>
      </x:c>
      <x:c r="D1148" s="9" t="d">
        <x:v>2011-10-28T00:00:00.000Z</x:v>
      </x:c>
      <x:c r="E1148" s="1" t="str">
        <x:v>naive</x:v>
      </x:c>
      <x:c r="F1148" s="10" t="n">
        <x:v>28</x:v>
      </x:c>
      <x:c r="G1148" s="10" t="n">
        <x:v>17</x:v>
      </x:c>
      <x:c r="H1148" s="10" t="n">
        <x:f>ABS(G1148-F1148)</x:f>
        <x:v>11</x:v>
      </x:c>
      <x:c r="I1148" s="10" t="n">
        <x:f>G1148-F1148</x:f>
        <x:v>-11</x:v>
      </x:c>
    </x:row>
    <x:row r="1149" ht="20" customHeight="1">
      <x:c r="A1149" s="1" t="str">
        <x:v>22469</x:v>
      </x:c>
      <x:c r="B1149" s="10" t="n">
        <x:v>1</x:v>
      </x:c>
      <x:c r="C1149" s="9" t="d">
        <x:v>2011-10-19T00:00:00.000Z</x:v>
      </x:c>
      <x:c r="D1149" s="9" t="d">
        <x:v>2011-10-29T00:00:00.000Z</x:v>
      </x:c>
      <x:c r="E1149" s="1" t="str">
        <x:v>naive</x:v>
      </x:c>
      <x:c r="F1149" s="10" t="n">
        <x:v>0</x:v>
      </x:c>
      <x:c r="G1149" s="10" t="n">
        <x:v>17</x:v>
      </x:c>
      <x:c r="H1149" s="10" t="n">
        <x:f>ABS(G1149-F1149)</x:f>
        <x:v>17</x:v>
      </x:c>
      <x:c r="I1149" s="10" t="n">
        <x:f>G1149-F1149</x:f>
        <x:v>17</x:v>
      </x:c>
    </x:row>
    <x:row r="1150" ht="20" customHeight="1">
      <x:c r="A1150" s="1" t="str">
        <x:v>22469</x:v>
      </x:c>
      <x:c r="B1150" s="10" t="n">
        <x:v>1</x:v>
      </x:c>
      <x:c r="C1150" s="9" t="d">
        <x:v>2011-10-19T00:00:00.000Z</x:v>
      </x:c>
      <x:c r="D1150" s="9" t="d">
        <x:v>2011-10-30T00:00:00.000Z</x:v>
      </x:c>
      <x:c r="E1150" s="1" t="str">
        <x:v>naive</x:v>
      </x:c>
      <x:c r="F1150" s="10" t="n">
        <x:v>146</x:v>
      </x:c>
      <x:c r="G1150" s="10" t="n">
        <x:v>17</x:v>
      </x:c>
      <x:c r="H1150" s="10" t="n">
        <x:f>ABS(G1150-F1150)</x:f>
        <x:v>129</x:v>
      </x:c>
      <x:c r="I1150" s="10" t="n">
        <x:f>G1150-F1150</x:f>
        <x:v>-129</x:v>
      </x:c>
    </x:row>
    <x:row r="1151" ht="20" customHeight="1">
      <x:c r="A1151" s="1" t="str">
        <x:v>22469</x:v>
      </x:c>
      <x:c r="B1151" s="10" t="n">
        <x:v>1</x:v>
      </x:c>
      <x:c r="C1151" s="9" t="d">
        <x:v>2011-10-19T00:00:00.000Z</x:v>
      </x:c>
      <x:c r="D1151" s="9" t="d">
        <x:v>2011-10-31T00:00:00.000Z</x:v>
      </x:c>
      <x:c r="E1151" s="1" t="str">
        <x:v>naive</x:v>
      </x:c>
      <x:c r="F1151" s="10" t="n">
        <x:v>36</x:v>
      </x:c>
      <x:c r="G1151" s="10" t="n">
        <x:v>17</x:v>
      </x:c>
      <x:c r="H1151" s="10" t="n">
        <x:f>ABS(G1151-F1151)</x:f>
        <x:v>19</x:v>
      </x:c>
      <x:c r="I1151" s="10" t="n">
        <x:f>G1151-F1151</x:f>
        <x:v>-19</x:v>
      </x:c>
    </x:row>
    <x:row r="1152" ht="20" customHeight="1">
      <x:c r="A1152" s="1" t="str">
        <x:v>22469</x:v>
      </x:c>
      <x:c r="B1152" s="10" t="n">
        <x:v>1</x:v>
      </x:c>
      <x:c r="C1152" s="9" t="d">
        <x:v>2011-10-19T00:00:00.000Z</x:v>
      </x:c>
      <x:c r="D1152" s="9" t="d">
        <x:v>2011-11-01T00:00:00.000Z</x:v>
      </x:c>
      <x:c r="E1152" s="1" t="str">
        <x:v>naive</x:v>
      </x:c>
      <x:c r="F1152" s="10" t="n">
        <x:v>62</x:v>
      </x:c>
      <x:c r="G1152" s="10" t="n">
        <x:v>17</x:v>
      </x:c>
      <x:c r="H1152" s="10" t="n">
        <x:f>ABS(G1152-F1152)</x:f>
        <x:v>45</x:v>
      </x:c>
      <x:c r="I1152" s="10" t="n">
        <x:f>G1152-F1152</x:f>
        <x:v>-45</x:v>
      </x:c>
    </x:row>
    <x:row r="1153" ht="20" customHeight="1">
      <x:c r="A1153" s="1" t="str">
        <x:v>22469</x:v>
      </x:c>
      <x:c r="B1153" s="10" t="n">
        <x:v>1</x:v>
      </x:c>
      <x:c r="C1153" s="9" t="d">
        <x:v>2011-10-19T00:00:00.000Z</x:v>
      </x:c>
      <x:c r="D1153" s="9" t="d">
        <x:v>2011-11-02T00:00:00.000Z</x:v>
      </x:c>
      <x:c r="E1153" s="1" t="str">
        <x:v>naive</x:v>
      </x:c>
      <x:c r="F1153" s="10" t="n">
        <x:v>15</x:v>
      </x:c>
      <x:c r="G1153" s="10" t="n">
        <x:v>17</x:v>
      </x:c>
      <x:c r="H1153" s="10" t="n">
        <x:f>ABS(G1153-F1153)</x:f>
        <x:v>2</x:v>
      </x:c>
      <x:c r="I1153" s="10" t="n">
        <x:f>G1153-F1153</x:f>
        <x:v>2</x:v>
      </x:c>
    </x:row>
    <x:row r="1154" ht="20" customHeight="1">
      <x:c r="A1154" s="1" t="str">
        <x:v>22469</x:v>
      </x:c>
      <x:c r="B1154" s="10" t="n">
        <x:v>1</x:v>
      </x:c>
      <x:c r="C1154" s="9" t="d">
        <x:v>2011-10-19T00:00:00.000Z</x:v>
      </x:c>
      <x:c r="D1154" s="9" t="d">
        <x:v>2011-10-20T00:00:00.000Z</x:v>
      </x:c>
      <x:c r="E1154" s="1" t="str">
        <x:v>seasonal_naive</x:v>
      </x:c>
      <x:c r="F1154" s="10" t="n">
        <x:v>65</x:v>
      </x:c>
      <x:c r="G1154" s="10" t="n">
        <x:v>1</x:v>
      </x:c>
      <x:c r="H1154" s="10" t="n">
        <x:f>ABS(G1154-F1154)</x:f>
        <x:v>64</x:v>
      </x:c>
      <x:c r="I1154" s="10" t="n">
        <x:f>G1154-F1154</x:f>
        <x:v>-64</x:v>
      </x:c>
    </x:row>
    <x:row r="1155" ht="20" customHeight="1">
      <x:c r="A1155" s="1" t="str">
        <x:v>22469</x:v>
      </x:c>
      <x:c r="B1155" s="10" t="n">
        <x:v>1</x:v>
      </x:c>
      <x:c r="C1155" s="9" t="d">
        <x:v>2011-10-19T00:00:00.000Z</x:v>
      </x:c>
      <x:c r="D1155" s="9" t="d">
        <x:v>2011-10-21T00:00:00.000Z</x:v>
      </x:c>
      <x:c r="E1155" s="1" t="str">
        <x:v>seasonal_naive</x:v>
      </x:c>
      <x:c r="F1155" s="10" t="n">
        <x:v>162</x:v>
      </x:c>
      <x:c r="G1155" s="10" t="n">
        <x:v>26</x:v>
      </x:c>
      <x:c r="H1155" s="10" t="n">
        <x:f>ABS(G1155-F1155)</x:f>
        <x:v>136</x:v>
      </x:c>
      <x:c r="I1155" s="10" t="n">
        <x:f>G1155-F1155</x:f>
        <x:v>-136</x:v>
      </x:c>
    </x:row>
    <x:row r="1156" ht="20" customHeight="1">
      <x:c r="A1156" s="1" t="str">
        <x:v>22469</x:v>
      </x:c>
      <x:c r="B1156" s="10" t="n">
        <x:v>1</x:v>
      </x:c>
      <x:c r="C1156" s="9" t="d">
        <x:v>2011-10-19T00:00:00.000Z</x:v>
      </x:c>
      <x:c r="D1156" s="9" t="d">
        <x:v>2011-10-22T00:00:00.000Z</x:v>
      </x:c>
      <x:c r="E1156" s="1" t="str">
        <x:v>seasonal_naive</x:v>
      </x:c>
      <x:c r="F1156" s="10" t="n">
        <x:v>0</x:v>
      </x:c>
      <x:c r="G1156" s="10" t="n">
        <x:v>0</x:v>
      </x:c>
      <x:c r="H1156" s="10" t="n">
        <x:f>ABS(G1156-F1156)</x:f>
        <x:v>0</x:v>
      </x:c>
      <x:c r="I1156" s="10" t="n">
        <x:f>G1156-F1156</x:f>
        <x:v>0</x:v>
      </x:c>
    </x:row>
    <x:row r="1157" ht="20" customHeight="1">
      <x:c r="A1157" s="1" t="str">
        <x:v>22469</x:v>
      </x:c>
      <x:c r="B1157" s="10" t="n">
        <x:v>1</x:v>
      </x:c>
      <x:c r="C1157" s="9" t="d">
        <x:v>2011-10-19T00:00:00.000Z</x:v>
      </x:c>
      <x:c r="D1157" s="9" t="d">
        <x:v>2011-10-23T00:00:00.000Z</x:v>
      </x:c>
      <x:c r="E1157" s="1" t="str">
        <x:v>seasonal_naive</x:v>
      </x:c>
      <x:c r="F1157" s="10" t="n">
        <x:v>17</x:v>
      </x:c>
      <x:c r="G1157" s="10" t="n">
        <x:v>30</x:v>
      </x:c>
      <x:c r="H1157" s="10" t="n">
        <x:f>ABS(G1157-F1157)</x:f>
        <x:v>13</x:v>
      </x:c>
      <x:c r="I1157" s="10" t="n">
        <x:f>G1157-F1157</x:f>
        <x:v>13</x:v>
      </x:c>
    </x:row>
    <x:row r="1158" ht="20" customHeight="1">
      <x:c r="A1158" s="1" t="str">
        <x:v>22469</x:v>
      </x:c>
      <x:c r="B1158" s="10" t="n">
        <x:v>1</x:v>
      </x:c>
      <x:c r="C1158" s="9" t="d">
        <x:v>2011-10-19T00:00:00.000Z</x:v>
      </x:c>
      <x:c r="D1158" s="9" t="d">
        <x:v>2011-10-24T00:00:00.000Z</x:v>
      </x:c>
      <x:c r="E1158" s="1" t="str">
        <x:v>seasonal_naive</x:v>
      </x:c>
      <x:c r="F1158" s="10" t="n">
        <x:v>72</x:v>
      </x:c>
      <x:c r="G1158" s="10" t="n">
        <x:v>46</x:v>
      </x:c>
      <x:c r="H1158" s="10" t="n">
        <x:f>ABS(G1158-F1158)</x:f>
        <x:v>26</x:v>
      </x:c>
      <x:c r="I1158" s="10" t="n">
        <x:f>G1158-F1158</x:f>
        <x:v>-26</x:v>
      </x:c>
    </x:row>
    <x:row r="1159" ht="20" customHeight="1">
      <x:c r="A1159" s="1" t="str">
        <x:v>22469</x:v>
      </x:c>
      <x:c r="B1159" s="10" t="n">
        <x:v>1</x:v>
      </x:c>
      <x:c r="C1159" s="9" t="d">
        <x:v>2011-10-19T00:00:00.000Z</x:v>
      </x:c>
      <x:c r="D1159" s="9" t="d">
        <x:v>2011-10-25T00:00:00.000Z</x:v>
      </x:c>
      <x:c r="E1159" s="1" t="str">
        <x:v>seasonal_naive</x:v>
      </x:c>
      <x:c r="F1159" s="10" t="n">
        <x:v>17</x:v>
      </x:c>
      <x:c r="G1159" s="10" t="n">
        <x:v>28</x:v>
      </x:c>
      <x:c r="H1159" s="10" t="n">
        <x:f>ABS(G1159-F1159)</x:f>
        <x:v>11</x:v>
      </x:c>
      <x:c r="I1159" s="10" t="n">
        <x:f>G1159-F1159</x:f>
        <x:v>11</x:v>
      </x:c>
    </x:row>
    <x:row r="1160" ht="20" customHeight="1">
      <x:c r="A1160" s="1" t="str">
        <x:v>22469</x:v>
      </x:c>
      <x:c r="B1160" s="10" t="n">
        <x:v>1</x:v>
      </x:c>
      <x:c r="C1160" s="9" t="d">
        <x:v>2011-10-19T00:00:00.000Z</x:v>
      </x:c>
      <x:c r="D1160" s="9" t="d">
        <x:v>2011-10-26T00:00:00.000Z</x:v>
      </x:c>
      <x:c r="E1160" s="1" t="str">
        <x:v>seasonal_naive</x:v>
      </x:c>
      <x:c r="F1160" s="10" t="n">
        <x:v>61</x:v>
      </x:c>
      <x:c r="G1160" s="10" t="n">
        <x:v>17</x:v>
      </x:c>
      <x:c r="H1160" s="10" t="n">
        <x:f>ABS(G1160-F1160)</x:f>
        <x:v>44</x:v>
      </x:c>
      <x:c r="I1160" s="10" t="n">
        <x:f>G1160-F1160</x:f>
        <x:v>-44</x:v>
      </x:c>
    </x:row>
    <x:row r="1161" ht="20" customHeight="1">
      <x:c r="A1161" s="1" t="str">
        <x:v>22469</x:v>
      </x:c>
      <x:c r="B1161" s="10" t="n">
        <x:v>1</x:v>
      </x:c>
      <x:c r="C1161" s="9" t="d">
        <x:v>2011-10-19T00:00:00.000Z</x:v>
      </x:c>
      <x:c r="D1161" s="9" t="d">
        <x:v>2011-10-27T00:00:00.000Z</x:v>
      </x:c>
      <x:c r="E1161" s="1" t="str">
        <x:v>seasonal_naive</x:v>
      </x:c>
      <x:c r="F1161" s="10" t="n">
        <x:v>59</x:v>
      </x:c>
      <x:c r="G1161" s="10" t="n">
        <x:v>1</x:v>
      </x:c>
      <x:c r="H1161" s="10" t="n">
        <x:f>ABS(G1161-F1161)</x:f>
        <x:v>58</x:v>
      </x:c>
      <x:c r="I1161" s="10" t="n">
        <x:f>G1161-F1161</x:f>
        <x:v>-58</x:v>
      </x:c>
    </x:row>
    <x:row r="1162" ht="20" customHeight="1">
      <x:c r="A1162" s="1" t="str">
        <x:v>22469</x:v>
      </x:c>
      <x:c r="B1162" s="10" t="n">
        <x:v>1</x:v>
      </x:c>
      <x:c r="C1162" s="9" t="d">
        <x:v>2011-10-19T00:00:00.000Z</x:v>
      </x:c>
      <x:c r="D1162" s="9" t="d">
        <x:v>2011-10-28T00:00:00.000Z</x:v>
      </x:c>
      <x:c r="E1162" s="1" t="str">
        <x:v>seasonal_naive</x:v>
      </x:c>
      <x:c r="F1162" s="10" t="n">
        <x:v>28</x:v>
      </x:c>
      <x:c r="G1162" s="10" t="n">
        <x:v>26</x:v>
      </x:c>
      <x:c r="H1162" s="10" t="n">
        <x:f>ABS(G1162-F1162)</x:f>
        <x:v>2</x:v>
      </x:c>
      <x:c r="I1162" s="10" t="n">
        <x:f>G1162-F1162</x:f>
        <x:v>-2</x:v>
      </x:c>
    </x:row>
    <x:row r="1163" ht="20" customHeight="1">
      <x:c r="A1163" s="1" t="str">
        <x:v>22469</x:v>
      </x:c>
      <x:c r="B1163" s="10" t="n">
        <x:v>1</x:v>
      </x:c>
      <x:c r="C1163" s="9" t="d">
        <x:v>2011-10-19T00:00:00.000Z</x:v>
      </x:c>
      <x:c r="D1163" s="9" t="d">
        <x:v>2011-10-29T00:00:00.000Z</x:v>
      </x:c>
      <x:c r="E1163" s="1" t="str">
        <x:v>seasonal_naive</x:v>
      </x:c>
      <x:c r="F1163" s="10" t="n">
        <x:v>0</x:v>
      </x:c>
      <x:c r="G1163" s="10" t="n">
        <x:v>0</x:v>
      </x:c>
      <x:c r="H1163" s="10" t="n">
        <x:f>ABS(G1163-F1163)</x:f>
        <x:v>0</x:v>
      </x:c>
      <x:c r="I1163" s="10" t="n">
        <x:f>G1163-F1163</x:f>
        <x:v>0</x:v>
      </x:c>
    </x:row>
    <x:row r="1164" ht="20" customHeight="1">
      <x:c r="A1164" s="1" t="str">
        <x:v>22469</x:v>
      </x:c>
      <x:c r="B1164" s="10" t="n">
        <x:v>1</x:v>
      </x:c>
      <x:c r="C1164" s="9" t="d">
        <x:v>2011-10-19T00:00:00.000Z</x:v>
      </x:c>
      <x:c r="D1164" s="9" t="d">
        <x:v>2011-10-30T00:00:00.000Z</x:v>
      </x:c>
      <x:c r="E1164" s="1" t="str">
        <x:v>seasonal_naive</x:v>
      </x:c>
      <x:c r="F1164" s="10" t="n">
        <x:v>146</x:v>
      </x:c>
      <x:c r="G1164" s="10" t="n">
        <x:v>30</x:v>
      </x:c>
      <x:c r="H1164" s="10" t="n">
        <x:f>ABS(G1164-F1164)</x:f>
        <x:v>116</x:v>
      </x:c>
      <x:c r="I1164" s="10" t="n">
        <x:f>G1164-F1164</x:f>
        <x:v>-116</x:v>
      </x:c>
    </x:row>
    <x:row r="1165" ht="20" customHeight="1">
      <x:c r="A1165" s="1" t="str">
        <x:v>22469</x:v>
      </x:c>
      <x:c r="B1165" s="10" t="n">
        <x:v>1</x:v>
      </x:c>
      <x:c r="C1165" s="9" t="d">
        <x:v>2011-10-19T00:00:00.000Z</x:v>
      </x:c>
      <x:c r="D1165" s="9" t="d">
        <x:v>2011-10-31T00:00:00.000Z</x:v>
      </x:c>
      <x:c r="E1165" s="1" t="str">
        <x:v>seasonal_naive</x:v>
      </x:c>
      <x:c r="F1165" s="10" t="n">
        <x:v>36</x:v>
      </x:c>
      <x:c r="G1165" s="10" t="n">
        <x:v>46</x:v>
      </x:c>
      <x:c r="H1165" s="10" t="n">
        <x:f>ABS(G1165-F1165)</x:f>
        <x:v>10</x:v>
      </x:c>
      <x:c r="I1165" s="10" t="n">
        <x:f>G1165-F1165</x:f>
        <x:v>10</x:v>
      </x:c>
    </x:row>
    <x:row r="1166" ht="20" customHeight="1">
      <x:c r="A1166" s="1" t="str">
        <x:v>22469</x:v>
      </x:c>
      <x:c r="B1166" s="10" t="n">
        <x:v>1</x:v>
      </x:c>
      <x:c r="C1166" s="9" t="d">
        <x:v>2011-10-19T00:00:00.000Z</x:v>
      </x:c>
      <x:c r="D1166" s="9" t="d">
        <x:v>2011-11-01T00:00:00.000Z</x:v>
      </x:c>
      <x:c r="E1166" s="1" t="str">
        <x:v>seasonal_naive</x:v>
      </x:c>
      <x:c r="F1166" s="10" t="n">
        <x:v>62</x:v>
      </x:c>
      <x:c r="G1166" s="10" t="n">
        <x:v>28</x:v>
      </x:c>
      <x:c r="H1166" s="10" t="n">
        <x:f>ABS(G1166-F1166)</x:f>
        <x:v>34</x:v>
      </x:c>
      <x:c r="I1166" s="10" t="n">
        <x:f>G1166-F1166</x:f>
        <x:v>-34</x:v>
      </x:c>
    </x:row>
    <x:row r="1167" ht="20" customHeight="1">
      <x:c r="A1167" s="1" t="str">
        <x:v>22469</x:v>
      </x:c>
      <x:c r="B1167" s="10" t="n">
        <x:v>1</x:v>
      </x:c>
      <x:c r="C1167" s="9" t="d">
        <x:v>2011-10-19T00:00:00.000Z</x:v>
      </x:c>
      <x:c r="D1167" s="9" t="d">
        <x:v>2011-11-02T00:00:00.000Z</x:v>
      </x:c>
      <x:c r="E1167" s="1" t="str">
        <x:v>seasonal_naive</x:v>
      </x:c>
      <x:c r="F1167" s="10" t="n">
        <x:v>15</x:v>
      </x:c>
      <x:c r="G1167" s="10" t="n">
        <x:v>17</x:v>
      </x:c>
      <x:c r="H1167" s="10" t="n">
        <x:f>ABS(G1167-F1167)</x:f>
        <x:v>2</x:v>
      </x:c>
      <x:c r="I1167" s="10" t="n">
        <x:f>G1167-F1167</x:f>
        <x:v>2</x:v>
      </x:c>
    </x:row>
    <x:row r="1168" ht="20" customHeight="1">
      <x:c r="A1168" s="1" t="str">
        <x:v>22469</x:v>
      </x:c>
      <x:c r="B1168" s="10" t="n">
        <x:v>1</x:v>
      </x:c>
      <x:c r="C1168" s="9" t="d">
        <x:v>2011-10-19T00:00:00.000Z</x:v>
      </x:c>
      <x:c r="D1168" s="9" t="d">
        <x:v>2011-10-20T00:00:00.000Z</x:v>
      </x:c>
      <x:c r="E1168" s="1" t="str">
        <x:v>ridge</x:v>
      </x:c>
      <x:c r="F1168" s="10" t="n">
        <x:v>65</x:v>
      </x:c>
      <x:c r="G1168" s="10" t="n">
        <x:v>50.3759724894</x:v>
      </x:c>
      <x:c r="H1168" s="10" t="n">
        <x:f>ABS(G1168-F1168)</x:f>
        <x:v>14.624027510600001</x:v>
      </x:c>
      <x:c r="I1168" s="10" t="n">
        <x:f>G1168-F1168</x:f>
        <x:v>-14.624027510600001</x:v>
      </x:c>
    </x:row>
    <x:row r="1169" ht="20" customHeight="1">
      <x:c r="A1169" s="1" t="str">
        <x:v>22469</x:v>
      </x:c>
      <x:c r="B1169" s="10" t="n">
        <x:v>1</x:v>
      </x:c>
      <x:c r="C1169" s="9" t="d">
        <x:v>2011-10-19T00:00:00.000Z</x:v>
      </x:c>
      <x:c r="D1169" s="9" t="d">
        <x:v>2011-10-21T00:00:00.000Z</x:v>
      </x:c>
      <x:c r="E1169" s="1" t="str">
        <x:v>ridge</x:v>
      </x:c>
      <x:c r="F1169" s="10" t="n">
        <x:v>162</x:v>
      </x:c>
      <x:c r="G1169" s="10" t="n">
        <x:v>17.5501236693</x:v>
      </x:c>
      <x:c r="H1169" s="10" t="n">
        <x:f>ABS(G1169-F1169)</x:f>
        <x:v>144.4498763307</x:v>
      </x:c>
      <x:c r="I1169" s="10" t="n">
        <x:f>G1169-F1169</x:f>
        <x:v>-144.4498763307</x:v>
      </x:c>
    </x:row>
    <x:row r="1170" ht="20" customHeight="1">
      <x:c r="A1170" s="1" t="str">
        <x:v>22469</x:v>
      </x:c>
      <x:c r="B1170" s="10" t="n">
        <x:v>1</x:v>
      </x:c>
      <x:c r="C1170" s="9" t="d">
        <x:v>2011-10-19T00:00:00.000Z</x:v>
      </x:c>
      <x:c r="D1170" s="9" t="d">
        <x:v>2011-10-22T00:00:00.000Z</x:v>
      </x:c>
      <x:c r="E1170" s="1" t="str">
        <x:v>ridge</x:v>
      </x:c>
      <x:c r="F1170" s="10" t="n">
        <x:v>0</x:v>
      </x:c>
      <x:c r="G1170" s="10" t="n">
        <x:v>1.1153283496</x:v>
      </x:c>
      <x:c r="H1170" s="10" t="n">
        <x:f>ABS(G1170-F1170)</x:f>
        <x:v>1.1153283496</x:v>
      </x:c>
      <x:c r="I1170" s="10" t="n">
        <x:f>G1170-F1170</x:f>
        <x:v>1.1153283496</x:v>
      </x:c>
    </x:row>
    <x:row r="1171" ht="20" customHeight="1">
      <x:c r="A1171" s="1" t="str">
        <x:v>22469</x:v>
      </x:c>
      <x:c r="B1171" s="10" t="n">
        <x:v>1</x:v>
      </x:c>
      <x:c r="C1171" s="9" t="d">
        <x:v>2011-10-19T00:00:00.000Z</x:v>
      </x:c>
      <x:c r="D1171" s="9" t="d">
        <x:v>2011-10-23T00:00:00.000Z</x:v>
      </x:c>
      <x:c r="E1171" s="1" t="str">
        <x:v>ridge</x:v>
      </x:c>
      <x:c r="F1171" s="10" t="n">
        <x:v>17</x:v>
      </x:c>
      <x:c r="G1171" s="10" t="n">
        <x:v>14.8615342473</x:v>
      </x:c>
      <x:c r="H1171" s="10" t="n">
        <x:f>ABS(G1171-F1171)</x:f>
        <x:v>2.1384657527</x:v>
      </x:c>
      <x:c r="I1171" s="10" t="n">
        <x:f>G1171-F1171</x:f>
        <x:v>-2.1384657527</x:v>
      </x:c>
    </x:row>
    <x:row r="1172" ht="20" customHeight="1">
      <x:c r="A1172" s="1" t="str">
        <x:v>22469</x:v>
      </x:c>
      <x:c r="B1172" s="10" t="n">
        <x:v>1</x:v>
      </x:c>
      <x:c r="C1172" s="9" t="d">
        <x:v>2011-10-19T00:00:00.000Z</x:v>
      </x:c>
      <x:c r="D1172" s="9" t="d">
        <x:v>2011-10-24T00:00:00.000Z</x:v>
      </x:c>
      <x:c r="E1172" s="1" t="str">
        <x:v>ridge</x:v>
      </x:c>
      <x:c r="F1172" s="10" t="n">
        <x:v>72</x:v>
      </x:c>
      <x:c r="G1172" s="10" t="n">
        <x:v>46.7878476181</x:v>
      </x:c>
      <x:c r="H1172" s="10" t="n">
        <x:f>ABS(G1172-F1172)</x:f>
        <x:v>25.212152381899998</x:v>
      </x:c>
      <x:c r="I1172" s="10" t="n">
        <x:f>G1172-F1172</x:f>
        <x:v>-25.212152381899998</x:v>
      </x:c>
    </x:row>
    <x:row r="1173" ht="20" customHeight="1">
      <x:c r="A1173" s="1" t="str">
        <x:v>22469</x:v>
      </x:c>
      <x:c r="B1173" s="10" t="n">
        <x:v>1</x:v>
      </x:c>
      <x:c r="C1173" s="9" t="d">
        <x:v>2011-10-19T00:00:00.000Z</x:v>
      </x:c>
      <x:c r="D1173" s="9" t="d">
        <x:v>2011-10-25T00:00:00.000Z</x:v>
      </x:c>
      <x:c r="E1173" s="1" t="str">
        <x:v>ridge</x:v>
      </x:c>
      <x:c r="F1173" s="10" t="n">
        <x:v>17</x:v>
      </x:c>
      <x:c r="G1173" s="10" t="n">
        <x:v>73.3291923162</x:v>
      </x:c>
      <x:c r="H1173" s="10" t="n">
        <x:f>ABS(G1173-F1173)</x:f>
        <x:v>56.32919231619999</x:v>
      </x:c>
      <x:c r="I1173" s="10" t="n">
        <x:f>G1173-F1173</x:f>
        <x:v>56.32919231619999</x:v>
      </x:c>
    </x:row>
    <x:row r="1174" ht="20" customHeight="1">
      <x:c r="A1174" s="1" t="str">
        <x:v>22469</x:v>
      </x:c>
      <x:c r="B1174" s="10" t="n">
        <x:v>1</x:v>
      </x:c>
      <x:c r="C1174" s="9" t="d">
        <x:v>2011-10-19T00:00:00.000Z</x:v>
      </x:c>
      <x:c r="D1174" s="9" t="d">
        <x:v>2011-10-26T00:00:00.000Z</x:v>
      </x:c>
      <x:c r="E1174" s="1" t="str">
        <x:v>ridge</x:v>
      </x:c>
      <x:c r="F1174" s="10" t="n">
        <x:v>61</x:v>
      </x:c>
      <x:c r="G1174" s="10" t="n">
        <x:v>76.7872365868</x:v>
      </x:c>
      <x:c r="H1174" s="10" t="n">
        <x:f>ABS(G1174-F1174)</x:f>
        <x:v>15.787236586800006</x:v>
      </x:c>
      <x:c r="I1174" s="10" t="n">
        <x:f>G1174-F1174</x:f>
        <x:v>15.787236586800006</x:v>
      </x:c>
    </x:row>
    <x:row r="1175" ht="20" customHeight="1">
      <x:c r="A1175" s="1" t="str">
        <x:v>22469</x:v>
      </x:c>
      <x:c r="B1175" s="10" t="n">
        <x:v>1</x:v>
      </x:c>
      <x:c r="C1175" s="9" t="d">
        <x:v>2011-10-19T00:00:00.000Z</x:v>
      </x:c>
      <x:c r="D1175" s="9" t="d">
        <x:v>2011-10-27T00:00:00.000Z</x:v>
      </x:c>
      <x:c r="E1175" s="1" t="str">
        <x:v>ridge</x:v>
      </x:c>
      <x:c r="F1175" s="10" t="n">
        <x:v>59</x:v>
      </x:c>
      <x:c r="G1175" s="10" t="n">
        <x:v>54.6778371633</x:v>
      </x:c>
      <x:c r="H1175" s="10" t="n">
        <x:f>ABS(G1175-F1175)</x:f>
        <x:v>4.322162836700002</x:v>
      </x:c>
      <x:c r="I1175" s="10" t="n">
        <x:f>G1175-F1175</x:f>
        <x:v>-4.322162836700002</x:v>
      </x:c>
    </x:row>
    <x:row r="1176" ht="20" customHeight="1">
      <x:c r="A1176" s="1" t="str">
        <x:v>22469</x:v>
      </x:c>
      <x:c r="B1176" s="10" t="n">
        <x:v>1</x:v>
      </x:c>
      <x:c r="C1176" s="9" t="d">
        <x:v>2011-10-19T00:00:00.000Z</x:v>
      </x:c>
      <x:c r="D1176" s="9" t="d">
        <x:v>2011-10-28T00:00:00.000Z</x:v>
      </x:c>
      <x:c r="E1176" s="1" t="str">
        <x:v>ridge</x:v>
      </x:c>
      <x:c r="F1176" s="10" t="n">
        <x:v>28</x:v>
      </x:c>
      <x:c r="G1176" s="10" t="n">
        <x:v>20.629209725</x:v>
      </x:c>
      <x:c r="H1176" s="10" t="n">
        <x:f>ABS(G1176-F1176)</x:f>
        <x:v>7.370790275000001</x:v>
      </x:c>
      <x:c r="I1176" s="10" t="n">
        <x:f>G1176-F1176</x:f>
        <x:v>-7.370790275000001</x:v>
      </x:c>
    </x:row>
    <x:row r="1177" ht="20" customHeight="1">
      <x:c r="A1177" s="1" t="str">
        <x:v>22469</x:v>
      </x:c>
      <x:c r="B1177" s="10" t="n">
        <x:v>1</x:v>
      </x:c>
      <x:c r="C1177" s="9" t="d">
        <x:v>2011-10-19T00:00:00.000Z</x:v>
      </x:c>
      <x:c r="D1177" s="9" t="d">
        <x:v>2011-10-29T00:00:00.000Z</x:v>
      </x:c>
      <x:c r="E1177" s="1" t="str">
        <x:v>ridge</x:v>
      </x:c>
      <x:c r="F1177" s="10" t="n">
        <x:v>0</x:v>
      </x:c>
      <x:c r="G1177" s="10" t="n">
        <x:v>5.2239394471</x:v>
      </x:c>
      <x:c r="H1177" s="10" t="n">
        <x:f>ABS(G1177-F1177)</x:f>
        <x:v>5.2239394471</x:v>
      </x:c>
      <x:c r="I1177" s="10" t="n">
        <x:f>G1177-F1177</x:f>
        <x:v>5.2239394471</x:v>
      </x:c>
    </x:row>
    <x:row r="1178" ht="20" customHeight="1">
      <x:c r="A1178" s="1" t="str">
        <x:v>22469</x:v>
      </x:c>
      <x:c r="B1178" s="10" t="n">
        <x:v>1</x:v>
      </x:c>
      <x:c r="C1178" s="9" t="d">
        <x:v>2011-10-19T00:00:00.000Z</x:v>
      </x:c>
      <x:c r="D1178" s="9" t="d">
        <x:v>2011-10-30T00:00:00.000Z</x:v>
      </x:c>
      <x:c r="E1178" s="1" t="str">
        <x:v>ridge</x:v>
      </x:c>
      <x:c r="F1178" s="10" t="n">
        <x:v>146</x:v>
      </x:c>
      <x:c r="G1178" s="10" t="n">
        <x:v>18.2890947169</x:v>
      </x:c>
      <x:c r="H1178" s="10" t="n">
        <x:f>ABS(G1178-F1178)</x:f>
        <x:v>127.7109052831</x:v>
      </x:c>
      <x:c r="I1178" s="10" t="n">
        <x:f>G1178-F1178</x:f>
        <x:v>-127.7109052831</x:v>
      </x:c>
    </x:row>
    <x:row r="1179" ht="20" customHeight="1">
      <x:c r="A1179" s="1" t="str">
        <x:v>22469</x:v>
      </x:c>
      <x:c r="B1179" s="10" t="n">
        <x:v>1</x:v>
      </x:c>
      <x:c r="C1179" s="9" t="d">
        <x:v>2011-10-19T00:00:00.000Z</x:v>
      </x:c>
      <x:c r="D1179" s="9" t="d">
        <x:v>2011-10-31T00:00:00.000Z</x:v>
      </x:c>
      <x:c r="E1179" s="1" t="str">
        <x:v>ridge</x:v>
      </x:c>
      <x:c r="F1179" s="10" t="n">
        <x:v>36</x:v>
      </x:c>
      <x:c r="G1179" s="10" t="n">
        <x:v>51.1107550514</x:v>
      </x:c>
      <x:c r="H1179" s="10" t="n">
        <x:f>ABS(G1179-F1179)</x:f>
        <x:v>15.110755051399998</x:v>
      </x:c>
      <x:c r="I1179" s="10" t="n">
        <x:f>G1179-F1179</x:f>
        <x:v>15.110755051399998</x:v>
      </x:c>
    </x:row>
    <x:row r="1180" ht="20" customHeight="1">
      <x:c r="A1180" s="1" t="str">
        <x:v>22469</x:v>
      </x:c>
      <x:c r="B1180" s="10" t="n">
        <x:v>1</x:v>
      </x:c>
      <x:c r="C1180" s="9" t="d">
        <x:v>2011-10-19T00:00:00.000Z</x:v>
      </x:c>
      <x:c r="D1180" s="9" t="d">
        <x:v>2011-11-01T00:00:00.000Z</x:v>
      </x:c>
      <x:c r="E1180" s="1" t="str">
        <x:v>ridge</x:v>
      </x:c>
      <x:c r="F1180" s="10" t="n">
        <x:v>62</x:v>
      </x:c>
      <x:c r="G1180" s="10" t="n">
        <x:v>79.5535161249</x:v>
      </x:c>
      <x:c r="H1180" s="10" t="n">
        <x:f>ABS(G1180-F1180)</x:f>
        <x:v>17.5535161249</x:v>
      </x:c>
      <x:c r="I1180" s="10" t="n">
        <x:f>G1180-F1180</x:f>
        <x:v>17.5535161249</x:v>
      </x:c>
    </x:row>
    <x:row r="1181" ht="20" customHeight="1">
      <x:c r="A1181" s="1" t="str">
        <x:v>22469</x:v>
      </x:c>
      <x:c r="B1181" s="10" t="n">
        <x:v>1</x:v>
      </x:c>
      <x:c r="C1181" s="9" t="d">
        <x:v>2011-10-19T00:00:00.000Z</x:v>
      </x:c>
      <x:c r="D1181" s="9" t="d">
        <x:v>2011-11-02T00:00:00.000Z</x:v>
      </x:c>
      <x:c r="E1181" s="1" t="str">
        <x:v>ridge</x:v>
      </x:c>
      <x:c r="F1181" s="10" t="n">
        <x:v>15</x:v>
      </x:c>
      <x:c r="G1181" s="10" t="n">
        <x:v>81.2710578807</x:v>
      </x:c>
      <x:c r="H1181" s="10" t="n">
        <x:f>ABS(G1181-F1181)</x:f>
        <x:v>66.2710578807</x:v>
      </x:c>
      <x:c r="I1181" s="10" t="n">
        <x:f>G1181-F1181</x:f>
        <x:v>66.2710578807</x:v>
      </x:c>
    </x:row>
    <x:row r="1182" ht="20" customHeight="1">
      <x:c r="A1182" s="1" t="str">
        <x:v>22469</x:v>
      </x:c>
      <x:c r="B1182" s="10" t="n">
        <x:v>2</x:v>
      </x:c>
      <x:c r="C1182" s="9" t="d">
        <x:v>2011-11-02T00:00:00.000Z</x:v>
      </x:c>
      <x:c r="D1182" s="9" t="d">
        <x:v>2011-11-03T00:00:00.000Z</x:v>
      </x:c>
      <x:c r="E1182" s="1" t="str">
        <x:v>naive</x:v>
      </x:c>
      <x:c r="F1182" s="10" t="n">
        <x:v>696</x:v>
      </x:c>
      <x:c r="G1182" s="10" t="n">
        <x:v>15</x:v>
      </x:c>
      <x:c r="H1182" s="10" t="n">
        <x:f>ABS(G1182-F1182)</x:f>
        <x:v>681</x:v>
      </x:c>
      <x:c r="I1182" s="10" t="n">
        <x:f>G1182-F1182</x:f>
        <x:v>-681</x:v>
      </x:c>
    </x:row>
    <x:row r="1183" ht="20" customHeight="1">
      <x:c r="A1183" s="1" t="str">
        <x:v>22469</x:v>
      </x:c>
      <x:c r="B1183" s="10" t="n">
        <x:v>2</x:v>
      </x:c>
      <x:c r="C1183" s="9" t="d">
        <x:v>2011-11-02T00:00:00.000Z</x:v>
      </x:c>
      <x:c r="D1183" s="9" t="d">
        <x:v>2011-11-04T00:00:00.000Z</x:v>
      </x:c>
      <x:c r="E1183" s="1" t="str">
        <x:v>naive</x:v>
      </x:c>
      <x:c r="F1183" s="10" t="n">
        <x:v>147</x:v>
      </x:c>
      <x:c r="G1183" s="10" t="n">
        <x:v>15</x:v>
      </x:c>
      <x:c r="H1183" s="10" t="n">
        <x:f>ABS(G1183-F1183)</x:f>
        <x:v>132</x:v>
      </x:c>
      <x:c r="I1183" s="10" t="n">
        <x:f>G1183-F1183</x:f>
        <x:v>-132</x:v>
      </x:c>
    </x:row>
    <x:row r="1184" ht="20" customHeight="1">
      <x:c r="A1184" s="1" t="str">
        <x:v>22469</x:v>
      </x:c>
      <x:c r="B1184" s="10" t="n">
        <x:v>2</x:v>
      </x:c>
      <x:c r="C1184" s="9" t="d">
        <x:v>2011-11-02T00:00:00.000Z</x:v>
      </x:c>
      <x:c r="D1184" s="9" t="d">
        <x:v>2011-11-05T00:00:00.000Z</x:v>
      </x:c>
      <x:c r="E1184" s="1" t="str">
        <x:v>naive</x:v>
      </x:c>
      <x:c r="F1184" s="10" t="n">
        <x:v>0</x:v>
      </x:c>
      <x:c r="G1184" s="10" t="n">
        <x:v>15</x:v>
      </x:c>
      <x:c r="H1184" s="10" t="n">
        <x:f>ABS(G1184-F1184)</x:f>
        <x:v>15</x:v>
      </x:c>
      <x:c r="I1184" s="10" t="n">
        <x:f>G1184-F1184</x:f>
        <x:v>15</x:v>
      </x:c>
    </x:row>
    <x:row r="1185" ht="20" customHeight="1">
      <x:c r="A1185" s="1" t="str">
        <x:v>22469</x:v>
      </x:c>
      <x:c r="B1185" s="10" t="n">
        <x:v>2</x:v>
      </x:c>
      <x:c r="C1185" s="9" t="d">
        <x:v>2011-11-02T00:00:00.000Z</x:v>
      </x:c>
      <x:c r="D1185" s="9" t="d">
        <x:v>2011-11-06T00:00:00.000Z</x:v>
      </x:c>
      <x:c r="E1185" s="1" t="str">
        <x:v>naive</x:v>
      </x:c>
      <x:c r="F1185" s="10" t="n">
        <x:v>86</x:v>
      </x:c>
      <x:c r="G1185" s="10" t="n">
        <x:v>15</x:v>
      </x:c>
      <x:c r="H1185" s="10" t="n">
        <x:f>ABS(G1185-F1185)</x:f>
        <x:v>71</x:v>
      </x:c>
      <x:c r="I1185" s="10" t="n">
        <x:f>G1185-F1185</x:f>
        <x:v>-71</x:v>
      </x:c>
    </x:row>
    <x:row r="1186" ht="20" customHeight="1">
      <x:c r="A1186" s="1" t="str">
        <x:v>22469</x:v>
      </x:c>
      <x:c r="B1186" s="10" t="n">
        <x:v>2</x:v>
      </x:c>
      <x:c r="C1186" s="9" t="d">
        <x:v>2011-11-02T00:00:00.000Z</x:v>
      </x:c>
      <x:c r="D1186" s="9" t="d">
        <x:v>2011-11-07T00:00:00.000Z</x:v>
      </x:c>
      <x:c r="E1186" s="1" t="str">
        <x:v>naive</x:v>
      </x:c>
      <x:c r="F1186" s="10" t="n">
        <x:v>91</x:v>
      </x:c>
      <x:c r="G1186" s="10" t="n">
        <x:v>15</x:v>
      </x:c>
      <x:c r="H1186" s="10" t="n">
        <x:f>ABS(G1186-F1186)</x:f>
        <x:v>76</x:v>
      </x:c>
      <x:c r="I1186" s="10" t="n">
        <x:f>G1186-F1186</x:f>
        <x:v>-76</x:v>
      </x:c>
    </x:row>
    <x:row r="1187" ht="20" customHeight="1">
      <x:c r="A1187" s="1" t="str">
        <x:v>22469</x:v>
      </x:c>
      <x:c r="B1187" s="10" t="n">
        <x:v>2</x:v>
      </x:c>
      <x:c r="C1187" s="9" t="d">
        <x:v>2011-11-02T00:00:00.000Z</x:v>
      </x:c>
      <x:c r="D1187" s="9" t="d">
        <x:v>2011-11-08T00:00:00.000Z</x:v>
      </x:c>
      <x:c r="E1187" s="1" t="str">
        <x:v>naive</x:v>
      </x:c>
      <x:c r="F1187" s="10" t="n">
        <x:v>53</x:v>
      </x:c>
      <x:c r="G1187" s="10" t="n">
        <x:v>15</x:v>
      </x:c>
      <x:c r="H1187" s="10" t="n">
        <x:f>ABS(G1187-F1187)</x:f>
        <x:v>38</x:v>
      </x:c>
      <x:c r="I1187" s="10" t="n">
        <x:f>G1187-F1187</x:f>
        <x:v>-38</x:v>
      </x:c>
    </x:row>
    <x:row r="1188" ht="20" customHeight="1">
      <x:c r="A1188" s="1" t="str">
        <x:v>22469</x:v>
      </x:c>
      <x:c r="B1188" s="10" t="n">
        <x:v>2</x:v>
      </x:c>
      <x:c r="C1188" s="9" t="d">
        <x:v>2011-11-02T00:00:00.000Z</x:v>
      </x:c>
      <x:c r="D1188" s="9" t="d">
        <x:v>2011-11-09T00:00:00.000Z</x:v>
      </x:c>
      <x:c r="E1188" s="1" t="str">
        <x:v>naive</x:v>
      </x:c>
      <x:c r="F1188" s="10" t="n">
        <x:v>6</x:v>
      </x:c>
      <x:c r="G1188" s="10" t="n">
        <x:v>15</x:v>
      </x:c>
      <x:c r="H1188" s="10" t="n">
        <x:f>ABS(G1188-F1188)</x:f>
        <x:v>9</x:v>
      </x:c>
      <x:c r="I1188" s="10" t="n">
        <x:f>G1188-F1188</x:f>
        <x:v>9</x:v>
      </x:c>
    </x:row>
    <x:row r="1189" ht="20" customHeight="1">
      <x:c r="A1189" s="1" t="str">
        <x:v>22469</x:v>
      </x:c>
      <x:c r="B1189" s="10" t="n">
        <x:v>2</x:v>
      </x:c>
      <x:c r="C1189" s="9" t="d">
        <x:v>2011-11-02T00:00:00.000Z</x:v>
      </x:c>
      <x:c r="D1189" s="9" t="d">
        <x:v>2011-11-10T00:00:00.000Z</x:v>
      </x:c>
      <x:c r="E1189" s="1" t="str">
        <x:v>naive</x:v>
      </x:c>
      <x:c r="F1189" s="10" t="n">
        <x:v>80</x:v>
      </x:c>
      <x:c r="G1189" s="10" t="n">
        <x:v>15</x:v>
      </x:c>
      <x:c r="H1189" s="10" t="n">
        <x:f>ABS(G1189-F1189)</x:f>
        <x:v>65</x:v>
      </x:c>
      <x:c r="I1189" s="10" t="n">
        <x:f>G1189-F1189</x:f>
        <x:v>-65</x:v>
      </x:c>
    </x:row>
    <x:row r="1190" ht="20" customHeight="1">
      <x:c r="A1190" s="1" t="str">
        <x:v>22469</x:v>
      </x:c>
      <x:c r="B1190" s="10" t="n">
        <x:v>2</x:v>
      </x:c>
      <x:c r="C1190" s="9" t="d">
        <x:v>2011-11-02T00:00:00.000Z</x:v>
      </x:c>
      <x:c r="D1190" s="9" t="d">
        <x:v>2011-11-11T00:00:00.000Z</x:v>
      </x:c>
      <x:c r="E1190" s="1" t="str">
        <x:v>naive</x:v>
      </x:c>
      <x:c r="F1190" s="10" t="n">
        <x:v>44</x:v>
      </x:c>
      <x:c r="G1190" s="10" t="n">
        <x:v>15</x:v>
      </x:c>
      <x:c r="H1190" s="10" t="n">
        <x:f>ABS(G1190-F1190)</x:f>
        <x:v>29</x:v>
      </x:c>
      <x:c r="I1190" s="10" t="n">
        <x:f>G1190-F1190</x:f>
        <x:v>-29</x:v>
      </x:c>
    </x:row>
    <x:row r="1191" ht="20" customHeight="1">
      <x:c r="A1191" s="1" t="str">
        <x:v>22469</x:v>
      </x:c>
      <x:c r="B1191" s="10" t="n">
        <x:v>2</x:v>
      </x:c>
      <x:c r="C1191" s="9" t="d">
        <x:v>2011-11-02T00:00:00.000Z</x:v>
      </x:c>
      <x:c r="D1191" s="9" t="d">
        <x:v>2011-11-12T00:00:00.000Z</x:v>
      </x:c>
      <x:c r="E1191" s="1" t="str">
        <x:v>naive</x:v>
      </x:c>
      <x:c r="F1191" s="10" t="n">
        <x:v>0</x:v>
      </x:c>
      <x:c r="G1191" s="10" t="n">
        <x:v>15</x:v>
      </x:c>
      <x:c r="H1191" s="10" t="n">
        <x:f>ABS(G1191-F1191)</x:f>
        <x:v>15</x:v>
      </x:c>
      <x:c r="I1191" s="10" t="n">
        <x:f>G1191-F1191</x:f>
        <x:v>15</x:v>
      </x:c>
    </x:row>
    <x:row r="1192" ht="20" customHeight="1">
      <x:c r="A1192" s="1" t="str">
        <x:v>22469</x:v>
      </x:c>
      <x:c r="B1192" s="10" t="n">
        <x:v>2</x:v>
      </x:c>
      <x:c r="C1192" s="9" t="d">
        <x:v>2011-11-02T00:00:00.000Z</x:v>
      </x:c>
      <x:c r="D1192" s="9" t="d">
        <x:v>2011-11-13T00:00:00.000Z</x:v>
      </x:c>
      <x:c r="E1192" s="1" t="str">
        <x:v>naive</x:v>
      </x:c>
      <x:c r="F1192" s="10" t="n">
        <x:v>31</x:v>
      </x:c>
      <x:c r="G1192" s="10" t="n">
        <x:v>15</x:v>
      </x:c>
      <x:c r="H1192" s="10" t="n">
        <x:f>ABS(G1192-F1192)</x:f>
        <x:v>16</x:v>
      </x:c>
      <x:c r="I1192" s="10" t="n">
        <x:f>G1192-F1192</x:f>
        <x:v>-16</x:v>
      </x:c>
    </x:row>
    <x:row r="1193" ht="20" customHeight="1">
      <x:c r="A1193" s="1" t="str">
        <x:v>22469</x:v>
      </x:c>
      <x:c r="B1193" s="10" t="n">
        <x:v>2</x:v>
      </x:c>
      <x:c r="C1193" s="9" t="d">
        <x:v>2011-11-02T00:00:00.000Z</x:v>
      </x:c>
      <x:c r="D1193" s="9" t="d">
        <x:v>2011-11-14T00:00:00.000Z</x:v>
      </x:c>
      <x:c r="E1193" s="1" t="str">
        <x:v>naive</x:v>
      </x:c>
      <x:c r="F1193" s="10" t="n">
        <x:v>119</x:v>
      </x:c>
      <x:c r="G1193" s="10" t="n">
        <x:v>15</x:v>
      </x:c>
      <x:c r="H1193" s="10" t="n">
        <x:f>ABS(G1193-F1193)</x:f>
        <x:v>104</x:v>
      </x:c>
      <x:c r="I1193" s="10" t="n">
        <x:f>G1193-F1193</x:f>
        <x:v>-104</x:v>
      </x:c>
    </x:row>
    <x:row r="1194" ht="20" customHeight="1">
      <x:c r="A1194" s="1" t="str">
        <x:v>22469</x:v>
      </x:c>
      <x:c r="B1194" s="10" t="n">
        <x:v>2</x:v>
      </x:c>
      <x:c r="C1194" s="9" t="d">
        <x:v>2011-11-02T00:00:00.000Z</x:v>
      </x:c>
      <x:c r="D1194" s="9" t="d">
        <x:v>2011-11-15T00:00:00.000Z</x:v>
      </x:c>
      <x:c r="E1194" s="1" t="str">
        <x:v>naive</x:v>
      </x:c>
      <x:c r="F1194" s="10" t="n">
        <x:v>17</x:v>
      </x:c>
      <x:c r="G1194" s="10" t="n">
        <x:v>15</x:v>
      </x:c>
      <x:c r="H1194" s="10" t="n">
        <x:f>ABS(G1194-F1194)</x:f>
        <x:v>2</x:v>
      </x:c>
      <x:c r="I1194" s="10" t="n">
        <x:f>G1194-F1194</x:f>
        <x:v>-2</x:v>
      </x:c>
    </x:row>
    <x:row r="1195" ht="20" customHeight="1">
      <x:c r="A1195" s="1" t="str">
        <x:v>22469</x:v>
      </x:c>
      <x:c r="B1195" s="10" t="n">
        <x:v>2</x:v>
      </x:c>
      <x:c r="C1195" s="9" t="d">
        <x:v>2011-11-02T00:00:00.000Z</x:v>
      </x:c>
      <x:c r="D1195" s="9" t="d">
        <x:v>2011-11-16T00:00:00.000Z</x:v>
      </x:c>
      <x:c r="E1195" s="1" t="str">
        <x:v>naive</x:v>
      </x:c>
      <x:c r="F1195" s="10" t="n">
        <x:v>48</x:v>
      </x:c>
      <x:c r="G1195" s="10" t="n">
        <x:v>15</x:v>
      </x:c>
      <x:c r="H1195" s="10" t="n">
        <x:f>ABS(G1195-F1195)</x:f>
        <x:v>33</x:v>
      </x:c>
      <x:c r="I1195" s="10" t="n">
        <x:f>G1195-F1195</x:f>
        <x:v>-33</x:v>
      </x:c>
    </x:row>
    <x:row r="1196" ht="20" customHeight="1">
      <x:c r="A1196" s="1" t="str">
        <x:v>22469</x:v>
      </x:c>
      <x:c r="B1196" s="10" t="n">
        <x:v>2</x:v>
      </x:c>
      <x:c r="C1196" s="9" t="d">
        <x:v>2011-11-02T00:00:00.000Z</x:v>
      </x:c>
      <x:c r="D1196" s="9" t="d">
        <x:v>2011-11-03T00:00:00.000Z</x:v>
      </x:c>
      <x:c r="E1196" s="1" t="str">
        <x:v>seasonal_naive</x:v>
      </x:c>
      <x:c r="F1196" s="10" t="n">
        <x:v>696</x:v>
      </x:c>
      <x:c r="G1196" s="10" t="n">
        <x:v>59</x:v>
      </x:c>
      <x:c r="H1196" s="10" t="n">
        <x:f>ABS(G1196-F1196)</x:f>
        <x:v>637</x:v>
      </x:c>
      <x:c r="I1196" s="10" t="n">
        <x:f>G1196-F1196</x:f>
        <x:v>-637</x:v>
      </x:c>
    </x:row>
    <x:row r="1197" ht="20" customHeight="1">
      <x:c r="A1197" s="1" t="str">
        <x:v>22469</x:v>
      </x:c>
      <x:c r="B1197" s="10" t="n">
        <x:v>2</x:v>
      </x:c>
      <x:c r="C1197" s="9" t="d">
        <x:v>2011-11-02T00:00:00.000Z</x:v>
      </x:c>
      <x:c r="D1197" s="9" t="d">
        <x:v>2011-11-04T00:00:00.000Z</x:v>
      </x:c>
      <x:c r="E1197" s="1" t="str">
        <x:v>seasonal_naive</x:v>
      </x:c>
      <x:c r="F1197" s="10" t="n">
        <x:v>147</x:v>
      </x:c>
      <x:c r="G1197" s="10" t="n">
        <x:v>28</x:v>
      </x:c>
      <x:c r="H1197" s="10" t="n">
        <x:f>ABS(G1197-F1197)</x:f>
        <x:v>119</x:v>
      </x:c>
      <x:c r="I1197" s="10" t="n">
        <x:f>G1197-F1197</x:f>
        <x:v>-119</x:v>
      </x:c>
    </x:row>
    <x:row r="1198" ht="20" customHeight="1">
      <x:c r="A1198" s="1" t="str">
        <x:v>22469</x:v>
      </x:c>
      <x:c r="B1198" s="10" t="n">
        <x:v>2</x:v>
      </x:c>
      <x:c r="C1198" s="9" t="d">
        <x:v>2011-11-02T00:00:00.000Z</x:v>
      </x:c>
      <x:c r="D1198" s="9" t="d">
        <x:v>2011-11-05T00:00:00.000Z</x:v>
      </x:c>
      <x:c r="E1198" s="1" t="str">
        <x:v>seasonal_naive</x:v>
      </x:c>
      <x:c r="F1198" s="10" t="n">
        <x:v>0</x:v>
      </x:c>
      <x:c r="G1198" s="10" t="n">
        <x:v>0</x:v>
      </x:c>
      <x:c r="H1198" s="10" t="n">
        <x:f>ABS(G1198-F1198)</x:f>
        <x:v>0</x:v>
      </x:c>
      <x:c r="I1198" s="10" t="n">
        <x:f>G1198-F1198</x:f>
        <x:v>0</x:v>
      </x:c>
    </x:row>
    <x:row r="1199" ht="20" customHeight="1">
      <x:c r="A1199" s="1" t="str">
        <x:v>22469</x:v>
      </x:c>
      <x:c r="B1199" s="10" t="n">
        <x:v>2</x:v>
      </x:c>
      <x:c r="C1199" s="9" t="d">
        <x:v>2011-11-02T00:00:00.000Z</x:v>
      </x:c>
      <x:c r="D1199" s="9" t="d">
        <x:v>2011-11-06T00:00:00.000Z</x:v>
      </x:c>
      <x:c r="E1199" s="1" t="str">
        <x:v>seasonal_naive</x:v>
      </x:c>
      <x:c r="F1199" s="10" t="n">
        <x:v>86</x:v>
      </x:c>
      <x:c r="G1199" s="10" t="n">
        <x:v>146</x:v>
      </x:c>
      <x:c r="H1199" s="10" t="n">
        <x:f>ABS(G1199-F1199)</x:f>
        <x:v>60</x:v>
      </x:c>
      <x:c r="I1199" s="10" t="n">
        <x:f>G1199-F1199</x:f>
        <x:v>60</x:v>
      </x:c>
    </x:row>
    <x:row r="1200" ht="20" customHeight="1">
      <x:c r="A1200" s="1" t="str">
        <x:v>22469</x:v>
      </x:c>
      <x:c r="B1200" s="10" t="n">
        <x:v>2</x:v>
      </x:c>
      <x:c r="C1200" s="9" t="d">
        <x:v>2011-11-02T00:00:00.000Z</x:v>
      </x:c>
      <x:c r="D1200" s="9" t="d">
        <x:v>2011-11-07T00:00:00.000Z</x:v>
      </x:c>
      <x:c r="E1200" s="1" t="str">
        <x:v>seasonal_naive</x:v>
      </x:c>
      <x:c r="F1200" s="10" t="n">
        <x:v>91</x:v>
      </x:c>
      <x:c r="G1200" s="10" t="n">
        <x:v>36</x:v>
      </x:c>
      <x:c r="H1200" s="10" t="n">
        <x:f>ABS(G1200-F1200)</x:f>
        <x:v>55</x:v>
      </x:c>
      <x:c r="I1200" s="10" t="n">
        <x:f>G1200-F1200</x:f>
        <x:v>-55</x:v>
      </x:c>
    </x:row>
    <x:row r="1201" ht="20" customHeight="1">
      <x:c r="A1201" s="1" t="str">
        <x:v>22469</x:v>
      </x:c>
      <x:c r="B1201" s="10" t="n">
        <x:v>2</x:v>
      </x:c>
      <x:c r="C1201" s="9" t="d">
        <x:v>2011-11-02T00:00:00.000Z</x:v>
      </x:c>
      <x:c r="D1201" s="9" t="d">
        <x:v>2011-11-08T00:00:00.000Z</x:v>
      </x:c>
      <x:c r="E1201" s="1" t="str">
        <x:v>seasonal_naive</x:v>
      </x:c>
      <x:c r="F1201" s="10" t="n">
        <x:v>53</x:v>
      </x:c>
      <x:c r="G1201" s="10" t="n">
        <x:v>62</x:v>
      </x:c>
      <x:c r="H1201" s="10" t="n">
        <x:f>ABS(G1201-F1201)</x:f>
        <x:v>9</x:v>
      </x:c>
      <x:c r="I1201" s="10" t="n">
        <x:f>G1201-F1201</x:f>
        <x:v>9</x:v>
      </x:c>
    </x:row>
    <x:row r="1202" ht="20" customHeight="1">
      <x:c r="A1202" s="1" t="str">
        <x:v>22469</x:v>
      </x:c>
      <x:c r="B1202" s="10" t="n">
        <x:v>2</x:v>
      </x:c>
      <x:c r="C1202" s="9" t="d">
        <x:v>2011-11-02T00:00:00.000Z</x:v>
      </x:c>
      <x:c r="D1202" s="9" t="d">
        <x:v>2011-11-09T00:00:00.000Z</x:v>
      </x:c>
      <x:c r="E1202" s="1" t="str">
        <x:v>seasonal_naive</x:v>
      </x:c>
      <x:c r="F1202" s="10" t="n">
        <x:v>6</x:v>
      </x:c>
      <x:c r="G1202" s="10" t="n">
        <x:v>15</x:v>
      </x:c>
      <x:c r="H1202" s="10" t="n">
        <x:f>ABS(G1202-F1202)</x:f>
        <x:v>9</x:v>
      </x:c>
      <x:c r="I1202" s="10" t="n">
        <x:f>G1202-F1202</x:f>
        <x:v>9</x:v>
      </x:c>
    </x:row>
    <x:row r="1203" ht="20" customHeight="1">
      <x:c r="A1203" s="1" t="str">
        <x:v>22469</x:v>
      </x:c>
      <x:c r="B1203" s="10" t="n">
        <x:v>2</x:v>
      </x:c>
      <x:c r="C1203" s="9" t="d">
        <x:v>2011-11-02T00:00:00.000Z</x:v>
      </x:c>
      <x:c r="D1203" s="9" t="d">
        <x:v>2011-11-10T00:00:00.000Z</x:v>
      </x:c>
      <x:c r="E1203" s="1" t="str">
        <x:v>seasonal_naive</x:v>
      </x:c>
      <x:c r="F1203" s="10" t="n">
        <x:v>80</x:v>
      </x:c>
      <x:c r="G1203" s="10" t="n">
        <x:v>59</x:v>
      </x:c>
      <x:c r="H1203" s="10" t="n">
        <x:f>ABS(G1203-F1203)</x:f>
        <x:v>21</x:v>
      </x:c>
      <x:c r="I1203" s="10" t="n">
        <x:f>G1203-F1203</x:f>
        <x:v>-21</x:v>
      </x:c>
    </x:row>
    <x:row r="1204" ht="20" customHeight="1">
      <x:c r="A1204" s="1" t="str">
        <x:v>22469</x:v>
      </x:c>
      <x:c r="B1204" s="10" t="n">
        <x:v>2</x:v>
      </x:c>
      <x:c r="C1204" s="9" t="d">
        <x:v>2011-11-02T00:00:00.000Z</x:v>
      </x:c>
      <x:c r="D1204" s="9" t="d">
        <x:v>2011-11-11T00:00:00.000Z</x:v>
      </x:c>
      <x:c r="E1204" s="1" t="str">
        <x:v>seasonal_naive</x:v>
      </x:c>
      <x:c r="F1204" s="10" t="n">
        <x:v>44</x:v>
      </x:c>
      <x:c r="G1204" s="10" t="n">
        <x:v>28</x:v>
      </x:c>
      <x:c r="H1204" s="10" t="n">
        <x:f>ABS(G1204-F1204)</x:f>
        <x:v>16</x:v>
      </x:c>
      <x:c r="I1204" s="10" t="n">
        <x:f>G1204-F1204</x:f>
        <x:v>-16</x:v>
      </x:c>
    </x:row>
    <x:row r="1205" ht="20" customHeight="1">
      <x:c r="A1205" s="1" t="str">
        <x:v>22469</x:v>
      </x:c>
      <x:c r="B1205" s="10" t="n">
        <x:v>2</x:v>
      </x:c>
      <x:c r="C1205" s="9" t="d">
        <x:v>2011-11-02T00:00:00.000Z</x:v>
      </x:c>
      <x:c r="D1205" s="9" t="d">
        <x:v>2011-11-12T00:00:00.000Z</x:v>
      </x:c>
      <x:c r="E1205" s="1" t="str">
        <x:v>seasonal_naive</x:v>
      </x:c>
      <x:c r="F1205" s="10" t="n">
        <x:v>0</x:v>
      </x:c>
      <x:c r="G1205" s="10" t="n">
        <x:v>0</x:v>
      </x:c>
      <x:c r="H1205" s="10" t="n">
        <x:f>ABS(G1205-F1205)</x:f>
        <x:v>0</x:v>
      </x:c>
      <x:c r="I1205" s="10" t="n">
        <x:f>G1205-F1205</x:f>
        <x:v>0</x:v>
      </x:c>
    </x:row>
    <x:row r="1206" ht="20" customHeight="1">
      <x:c r="A1206" s="1" t="str">
        <x:v>22469</x:v>
      </x:c>
      <x:c r="B1206" s="10" t="n">
        <x:v>2</x:v>
      </x:c>
      <x:c r="C1206" s="9" t="d">
        <x:v>2011-11-02T00:00:00.000Z</x:v>
      </x:c>
      <x:c r="D1206" s="9" t="d">
        <x:v>2011-11-13T00:00:00.000Z</x:v>
      </x:c>
      <x:c r="E1206" s="1" t="str">
        <x:v>seasonal_naive</x:v>
      </x:c>
      <x:c r="F1206" s="10" t="n">
        <x:v>31</x:v>
      </x:c>
      <x:c r="G1206" s="10" t="n">
        <x:v>146</x:v>
      </x:c>
      <x:c r="H1206" s="10" t="n">
        <x:f>ABS(G1206-F1206)</x:f>
        <x:v>115</x:v>
      </x:c>
      <x:c r="I1206" s="10" t="n">
        <x:f>G1206-F1206</x:f>
        <x:v>115</x:v>
      </x:c>
    </x:row>
    <x:row r="1207" ht="20" customHeight="1">
      <x:c r="A1207" s="1" t="str">
        <x:v>22469</x:v>
      </x:c>
      <x:c r="B1207" s="10" t="n">
        <x:v>2</x:v>
      </x:c>
      <x:c r="C1207" s="9" t="d">
        <x:v>2011-11-02T00:00:00.000Z</x:v>
      </x:c>
      <x:c r="D1207" s="9" t="d">
        <x:v>2011-11-14T00:00:00.000Z</x:v>
      </x:c>
      <x:c r="E1207" s="1" t="str">
        <x:v>seasonal_naive</x:v>
      </x:c>
      <x:c r="F1207" s="10" t="n">
        <x:v>119</x:v>
      </x:c>
      <x:c r="G1207" s="10" t="n">
        <x:v>36</x:v>
      </x:c>
      <x:c r="H1207" s="10" t="n">
        <x:f>ABS(G1207-F1207)</x:f>
        <x:v>83</x:v>
      </x:c>
      <x:c r="I1207" s="10" t="n">
        <x:f>G1207-F1207</x:f>
        <x:v>-83</x:v>
      </x:c>
    </x:row>
    <x:row r="1208" ht="20" customHeight="1">
      <x:c r="A1208" s="1" t="str">
        <x:v>22469</x:v>
      </x:c>
      <x:c r="B1208" s="10" t="n">
        <x:v>2</x:v>
      </x:c>
      <x:c r="C1208" s="9" t="d">
        <x:v>2011-11-02T00:00:00.000Z</x:v>
      </x:c>
      <x:c r="D1208" s="9" t="d">
        <x:v>2011-11-15T00:00:00.000Z</x:v>
      </x:c>
      <x:c r="E1208" s="1" t="str">
        <x:v>seasonal_naive</x:v>
      </x:c>
      <x:c r="F1208" s="10" t="n">
        <x:v>17</x:v>
      </x:c>
      <x:c r="G1208" s="10" t="n">
        <x:v>62</x:v>
      </x:c>
      <x:c r="H1208" s="10" t="n">
        <x:f>ABS(G1208-F1208)</x:f>
        <x:v>45</x:v>
      </x:c>
      <x:c r="I1208" s="10" t="n">
        <x:f>G1208-F1208</x:f>
        <x:v>45</x:v>
      </x:c>
    </x:row>
    <x:row r="1209" ht="20" customHeight="1">
      <x:c r="A1209" s="1" t="str">
        <x:v>22469</x:v>
      </x:c>
      <x:c r="B1209" s="10" t="n">
        <x:v>2</x:v>
      </x:c>
      <x:c r="C1209" s="9" t="d">
        <x:v>2011-11-02T00:00:00.000Z</x:v>
      </x:c>
      <x:c r="D1209" s="9" t="d">
        <x:v>2011-11-16T00:00:00.000Z</x:v>
      </x:c>
      <x:c r="E1209" s="1" t="str">
        <x:v>seasonal_naive</x:v>
      </x:c>
      <x:c r="F1209" s="10" t="n">
        <x:v>48</x:v>
      </x:c>
      <x:c r="G1209" s="10" t="n">
        <x:v>15</x:v>
      </x:c>
      <x:c r="H1209" s="10" t="n">
        <x:f>ABS(G1209-F1209)</x:f>
        <x:v>33</x:v>
      </x:c>
      <x:c r="I1209" s="10" t="n">
        <x:f>G1209-F1209</x:f>
        <x:v>-33</x:v>
      </x:c>
    </x:row>
    <x:row r="1210" ht="20" customHeight="1">
      <x:c r="A1210" s="1" t="str">
        <x:v>22469</x:v>
      </x:c>
      <x:c r="B1210" s="10" t="n">
        <x:v>2</x:v>
      </x:c>
      <x:c r="C1210" s="9" t="d">
        <x:v>2011-11-02T00:00:00.000Z</x:v>
      </x:c>
      <x:c r="D1210" s="9" t="d">
        <x:v>2011-11-03T00:00:00.000Z</x:v>
      </x:c>
      <x:c r="E1210" s="1" t="str">
        <x:v>ridge</x:v>
      </x:c>
      <x:c r="F1210" s="10" t="n">
        <x:v>696</x:v>
      </x:c>
      <x:c r="G1210" s="10" t="n">
        <x:v>58.6980922822</x:v>
      </x:c>
      <x:c r="H1210" s="10" t="n">
        <x:f>ABS(G1210-F1210)</x:f>
        <x:v>637.3019077178</x:v>
      </x:c>
      <x:c r="I1210" s="10" t="n">
        <x:f>G1210-F1210</x:f>
        <x:v>-637.3019077178</x:v>
      </x:c>
    </x:row>
    <x:row r="1211" ht="20" customHeight="1">
      <x:c r="A1211" s="1" t="str">
        <x:v>22469</x:v>
      </x:c>
      <x:c r="B1211" s="10" t="n">
        <x:v>2</x:v>
      </x:c>
      <x:c r="C1211" s="9" t="d">
        <x:v>2011-11-02T00:00:00.000Z</x:v>
      </x:c>
      <x:c r="D1211" s="9" t="d">
        <x:v>2011-11-04T00:00:00.000Z</x:v>
      </x:c>
      <x:c r="E1211" s="1" t="str">
        <x:v>ridge</x:v>
      </x:c>
      <x:c r="F1211" s="10" t="n">
        <x:v>147</x:v>
      </x:c>
      <x:c r="G1211" s="10" t="n">
        <x:v>22.2197760327</x:v>
      </x:c>
      <x:c r="H1211" s="10" t="n">
        <x:f>ABS(G1211-F1211)</x:f>
        <x:v>124.7802239673</x:v>
      </x:c>
      <x:c r="I1211" s="10" t="n">
        <x:f>G1211-F1211</x:f>
        <x:v>-124.7802239673</x:v>
      </x:c>
    </x:row>
    <x:row r="1212" ht="20" customHeight="1">
      <x:c r="A1212" s="1" t="str">
        <x:v>22469</x:v>
      </x:c>
      <x:c r="B1212" s="10" t="n">
        <x:v>2</x:v>
      </x:c>
      <x:c r="C1212" s="9" t="d">
        <x:v>2011-11-02T00:00:00.000Z</x:v>
      </x:c>
      <x:c r="D1212" s="9" t="d">
        <x:v>2011-11-05T00:00:00.000Z</x:v>
      </x:c>
      <x:c r="E1212" s="1" t="str">
        <x:v>ridge</x:v>
      </x:c>
      <x:c r="F1212" s="10" t="n">
        <x:v>0</x:v>
      </x:c>
      <x:c r="G1212" s="10" t="n">
        <x:v>9.1417005388</x:v>
      </x:c>
      <x:c r="H1212" s="10" t="n">
        <x:f>ABS(G1212-F1212)</x:f>
        <x:v>9.1417005388</x:v>
      </x:c>
      <x:c r="I1212" s="10" t="n">
        <x:f>G1212-F1212</x:f>
        <x:v>9.1417005388</x:v>
      </x:c>
    </x:row>
    <x:row r="1213" ht="20" customHeight="1">
      <x:c r="A1213" s="1" t="str">
        <x:v>22469</x:v>
      </x:c>
      <x:c r="B1213" s="10" t="n">
        <x:v>2</x:v>
      </x:c>
      <x:c r="C1213" s="9" t="d">
        <x:v>2011-11-02T00:00:00.000Z</x:v>
      </x:c>
      <x:c r="D1213" s="9" t="d">
        <x:v>2011-11-06T00:00:00.000Z</x:v>
      </x:c>
      <x:c r="E1213" s="1" t="str">
        <x:v>ridge</x:v>
      </x:c>
      <x:c r="F1213" s="10" t="n">
        <x:v>86</x:v>
      </x:c>
      <x:c r="G1213" s="10" t="n">
        <x:v>24.4580695842</x:v>
      </x:c>
      <x:c r="H1213" s="10" t="n">
        <x:f>ABS(G1213-F1213)</x:f>
        <x:v>61.541930415799996</x:v>
      </x:c>
      <x:c r="I1213" s="10" t="n">
        <x:f>G1213-F1213</x:f>
        <x:v>-61.541930415799996</x:v>
      </x:c>
    </x:row>
    <x:row r="1214" ht="20" customHeight="1">
      <x:c r="A1214" s="1" t="str">
        <x:v>22469</x:v>
      </x:c>
      <x:c r="B1214" s="10" t="n">
        <x:v>2</x:v>
      </x:c>
      <x:c r="C1214" s="9" t="d">
        <x:v>2011-11-02T00:00:00.000Z</x:v>
      </x:c>
      <x:c r="D1214" s="9" t="d">
        <x:v>2011-11-07T00:00:00.000Z</x:v>
      </x:c>
      <x:c r="E1214" s="1" t="str">
        <x:v>ridge</x:v>
      </x:c>
      <x:c r="F1214" s="10" t="n">
        <x:v>91</x:v>
      </x:c>
      <x:c r="G1214" s="10" t="n">
        <x:v>46.4119718036</x:v>
      </x:c>
      <x:c r="H1214" s="10" t="n">
        <x:f>ABS(G1214-F1214)</x:f>
        <x:v>44.5880281964</x:v>
      </x:c>
      <x:c r="I1214" s="10" t="n">
        <x:f>G1214-F1214</x:f>
        <x:v>-44.5880281964</x:v>
      </x:c>
    </x:row>
    <x:row r="1215" ht="20" customHeight="1">
      <x:c r="A1215" s="1" t="str">
        <x:v>22469</x:v>
      </x:c>
      <x:c r="B1215" s="10" t="n">
        <x:v>2</x:v>
      </x:c>
      <x:c r="C1215" s="9" t="d">
        <x:v>2011-11-02T00:00:00.000Z</x:v>
      </x:c>
      <x:c r="D1215" s="9" t="d">
        <x:v>2011-11-08T00:00:00.000Z</x:v>
      </x:c>
      <x:c r="E1215" s="1" t="str">
        <x:v>ridge</x:v>
      </x:c>
      <x:c r="F1215" s="10" t="n">
        <x:v>53</x:v>
      </x:c>
      <x:c r="G1215" s="10" t="n">
        <x:v>74.3063423299</x:v>
      </x:c>
      <x:c r="H1215" s="10" t="n">
        <x:f>ABS(G1215-F1215)</x:f>
        <x:v>21.306342329900005</x:v>
      </x:c>
      <x:c r="I1215" s="10" t="n">
        <x:f>G1215-F1215</x:f>
        <x:v>21.306342329900005</x:v>
      </x:c>
    </x:row>
    <x:row r="1216" ht="20" customHeight="1">
      <x:c r="A1216" s="1" t="str">
        <x:v>22469</x:v>
      </x:c>
      <x:c r="B1216" s="10" t="n">
        <x:v>2</x:v>
      </x:c>
      <x:c r="C1216" s="9" t="d">
        <x:v>2011-11-02T00:00:00.000Z</x:v>
      </x:c>
      <x:c r="D1216" s="9" t="d">
        <x:v>2011-11-09T00:00:00.000Z</x:v>
      </x:c>
      <x:c r="E1216" s="1" t="str">
        <x:v>ridge</x:v>
      </x:c>
      <x:c r="F1216" s="10" t="n">
        <x:v>6</x:v>
      </x:c>
      <x:c r="G1216" s="10" t="n">
        <x:v>74.4301636769</x:v>
      </x:c>
      <x:c r="H1216" s="10" t="n">
        <x:f>ABS(G1216-F1216)</x:f>
        <x:v>68.4301636769</x:v>
      </x:c>
      <x:c r="I1216" s="10" t="n">
        <x:f>G1216-F1216</x:f>
        <x:v>68.4301636769</x:v>
      </x:c>
    </x:row>
    <x:row r="1217" ht="20" customHeight="1">
      <x:c r="A1217" s="1" t="str">
        <x:v>22469</x:v>
      </x:c>
      <x:c r="B1217" s="10" t="n">
        <x:v>2</x:v>
      </x:c>
      <x:c r="C1217" s="9" t="d">
        <x:v>2011-11-02T00:00:00.000Z</x:v>
      </x:c>
      <x:c r="D1217" s="9" t="d">
        <x:v>2011-11-10T00:00:00.000Z</x:v>
      </x:c>
      <x:c r="E1217" s="1" t="str">
        <x:v>ridge</x:v>
      </x:c>
      <x:c r="F1217" s="10" t="n">
        <x:v>80</x:v>
      </x:c>
      <x:c r="G1217" s="10" t="n">
        <x:v>53.9314953803</x:v>
      </x:c>
      <x:c r="H1217" s="10" t="n">
        <x:f>ABS(G1217-F1217)</x:f>
        <x:v>26.0685046197</x:v>
      </x:c>
      <x:c r="I1217" s="10" t="n">
        <x:f>G1217-F1217</x:f>
        <x:v>-26.0685046197</x:v>
      </x:c>
    </x:row>
    <x:row r="1218" ht="20" customHeight="1">
      <x:c r="A1218" s="1" t="str">
        <x:v>22469</x:v>
      </x:c>
      <x:c r="B1218" s="10" t="n">
        <x:v>2</x:v>
      </x:c>
      <x:c r="C1218" s="9" t="d">
        <x:v>2011-11-02T00:00:00.000Z</x:v>
      </x:c>
      <x:c r="D1218" s="9" t="d">
        <x:v>2011-11-11T00:00:00.000Z</x:v>
      </x:c>
      <x:c r="E1218" s="1" t="str">
        <x:v>ridge</x:v>
      </x:c>
      <x:c r="F1218" s="10" t="n">
        <x:v>44</x:v>
      </x:c>
      <x:c r="G1218" s="10" t="n">
        <x:v>21.9331734083</x:v>
      </x:c>
      <x:c r="H1218" s="10" t="n">
        <x:f>ABS(G1218-F1218)</x:f>
        <x:v>22.0668265917</x:v>
      </x:c>
      <x:c r="I1218" s="10" t="n">
        <x:f>G1218-F1218</x:f>
        <x:v>-22.0668265917</x:v>
      </x:c>
    </x:row>
    <x:row r="1219" ht="20" customHeight="1">
      <x:c r="A1219" s="1" t="str">
        <x:v>22469</x:v>
      </x:c>
      <x:c r="B1219" s="10" t="n">
        <x:v>2</x:v>
      </x:c>
      <x:c r="C1219" s="9" t="d">
        <x:v>2011-11-02T00:00:00.000Z</x:v>
      </x:c>
      <x:c r="D1219" s="9" t="d">
        <x:v>2011-11-12T00:00:00.000Z</x:v>
      </x:c>
      <x:c r="E1219" s="1" t="str">
        <x:v>ridge</x:v>
      </x:c>
      <x:c r="F1219" s="10" t="n">
        <x:v>0</x:v>
      </x:c>
      <x:c r="G1219" s="10" t="n">
        <x:v>7.0068277337</x:v>
      </x:c>
      <x:c r="H1219" s="10" t="n">
        <x:f>ABS(G1219-F1219)</x:f>
        <x:v>7.0068277337</x:v>
      </x:c>
      <x:c r="I1219" s="10" t="n">
        <x:f>G1219-F1219</x:f>
        <x:v>7.0068277337</x:v>
      </x:c>
    </x:row>
    <x:row r="1220" ht="20" customHeight="1">
      <x:c r="A1220" s="1" t="str">
        <x:v>22469</x:v>
      </x:c>
      <x:c r="B1220" s="10" t="n">
        <x:v>2</x:v>
      </x:c>
      <x:c r="C1220" s="9" t="d">
        <x:v>2011-11-02T00:00:00.000Z</x:v>
      </x:c>
      <x:c r="D1220" s="9" t="d">
        <x:v>2011-11-13T00:00:00.000Z</x:v>
      </x:c>
      <x:c r="E1220" s="1" t="str">
        <x:v>ridge</x:v>
      </x:c>
      <x:c r="F1220" s="10" t="n">
        <x:v>31</x:v>
      </x:c>
      <x:c r="G1220" s="10" t="n">
        <x:v>17.0695136969</x:v>
      </x:c>
      <x:c r="H1220" s="10" t="n">
        <x:f>ABS(G1220-F1220)</x:f>
        <x:v>13.9304863031</x:v>
      </x:c>
      <x:c r="I1220" s="10" t="n">
        <x:f>G1220-F1220</x:f>
        <x:v>-13.9304863031</x:v>
      </x:c>
    </x:row>
    <x:row r="1221" ht="20" customHeight="1">
      <x:c r="A1221" s="1" t="str">
        <x:v>22469</x:v>
      </x:c>
      <x:c r="B1221" s="10" t="n">
        <x:v>2</x:v>
      </x:c>
      <x:c r="C1221" s="9" t="d">
        <x:v>2011-11-02T00:00:00.000Z</x:v>
      </x:c>
      <x:c r="D1221" s="9" t="d">
        <x:v>2011-11-14T00:00:00.000Z</x:v>
      </x:c>
      <x:c r="E1221" s="1" t="str">
        <x:v>ridge</x:v>
      </x:c>
      <x:c r="F1221" s="10" t="n">
        <x:v>119</x:v>
      </x:c>
      <x:c r="G1221" s="10" t="n">
        <x:v>49.7367625435</x:v>
      </x:c>
      <x:c r="H1221" s="10" t="n">
        <x:f>ABS(G1221-F1221)</x:f>
        <x:v>69.26323745650001</x:v>
      </x:c>
      <x:c r="I1221" s="10" t="n">
        <x:f>G1221-F1221</x:f>
        <x:v>-69.26323745650001</x:v>
      </x:c>
    </x:row>
    <x:row r="1222" ht="20" customHeight="1">
      <x:c r="A1222" s="1" t="str">
        <x:v>22469</x:v>
      </x:c>
      <x:c r="B1222" s="10" t="n">
        <x:v>2</x:v>
      </x:c>
      <x:c r="C1222" s="9" t="d">
        <x:v>2011-11-02T00:00:00.000Z</x:v>
      </x:c>
      <x:c r="D1222" s="9" t="d">
        <x:v>2011-11-15T00:00:00.000Z</x:v>
      </x:c>
      <x:c r="E1222" s="1" t="str">
        <x:v>ridge</x:v>
      </x:c>
      <x:c r="F1222" s="10" t="n">
        <x:v>17</x:v>
      </x:c>
      <x:c r="G1222" s="10" t="n">
        <x:v>75.6646486395</x:v>
      </x:c>
      <x:c r="H1222" s="10" t="n">
        <x:f>ABS(G1222-F1222)</x:f>
        <x:v>58.6646486395</x:v>
      </x:c>
      <x:c r="I1222" s="10" t="n">
        <x:f>G1222-F1222</x:f>
        <x:v>58.6646486395</x:v>
      </x:c>
    </x:row>
    <x:row r="1223" ht="20" customHeight="1">
      <x:c r="A1223" s="1" t="str">
        <x:v>22469</x:v>
      </x:c>
      <x:c r="B1223" s="10" t="n">
        <x:v>2</x:v>
      </x:c>
      <x:c r="C1223" s="9" t="d">
        <x:v>2011-11-02T00:00:00.000Z</x:v>
      </x:c>
      <x:c r="D1223" s="9" t="d">
        <x:v>2011-11-16T00:00:00.000Z</x:v>
      </x:c>
      <x:c r="E1223" s="1" t="str">
        <x:v>ridge</x:v>
      </x:c>
      <x:c r="F1223" s="10" t="n">
        <x:v>48</x:v>
      </x:c>
      <x:c r="G1223" s="10" t="n">
        <x:v>77.9091405982</x:v>
      </x:c>
      <x:c r="H1223" s="10" t="n">
        <x:f>ABS(G1223-F1223)</x:f>
        <x:v>29.909140598199997</x:v>
      </x:c>
      <x:c r="I1223" s="10" t="n">
        <x:f>G1223-F1223</x:f>
        <x:v>29.909140598199997</x:v>
      </x:c>
    </x:row>
    <x:row r="1224" ht="20" customHeight="1">
      <x:c r="A1224" s="1" t="str">
        <x:v>22469</x:v>
      </x:c>
      <x:c r="B1224" s="10" t="n">
        <x:v>3</x:v>
      </x:c>
      <x:c r="C1224" s="9" t="d">
        <x:v>2011-11-16T00:00:00.000Z</x:v>
      </x:c>
      <x:c r="D1224" s="9" t="d">
        <x:v>2011-11-17T00:00:00.000Z</x:v>
      </x:c>
      <x:c r="E1224" s="1" t="str">
        <x:v>naive</x:v>
      </x:c>
      <x:c r="F1224" s="10" t="n">
        <x:v>34</x:v>
      </x:c>
      <x:c r="G1224" s="10" t="n">
        <x:v>48</x:v>
      </x:c>
      <x:c r="H1224" s="10" t="n">
        <x:f>ABS(G1224-F1224)</x:f>
        <x:v>14</x:v>
      </x:c>
      <x:c r="I1224" s="10" t="n">
        <x:f>G1224-F1224</x:f>
        <x:v>14</x:v>
      </x:c>
    </x:row>
    <x:row r="1225" ht="20" customHeight="1">
      <x:c r="A1225" s="1" t="str">
        <x:v>22469</x:v>
      </x:c>
      <x:c r="B1225" s="10" t="n">
        <x:v>3</x:v>
      </x:c>
      <x:c r="C1225" s="9" t="d">
        <x:v>2011-11-16T00:00:00.000Z</x:v>
      </x:c>
      <x:c r="D1225" s="9" t="d">
        <x:v>2011-11-18T00:00:00.000Z</x:v>
      </x:c>
      <x:c r="E1225" s="1" t="str">
        <x:v>naive</x:v>
      </x:c>
      <x:c r="F1225" s="10" t="n">
        <x:v>89</x:v>
      </x:c>
      <x:c r="G1225" s="10" t="n">
        <x:v>48</x:v>
      </x:c>
      <x:c r="H1225" s="10" t="n">
        <x:f>ABS(G1225-F1225)</x:f>
        <x:v>41</x:v>
      </x:c>
      <x:c r="I1225" s="10" t="n">
        <x:f>G1225-F1225</x:f>
        <x:v>-41</x:v>
      </x:c>
    </x:row>
    <x:row r="1226" ht="20" customHeight="1">
      <x:c r="A1226" s="1" t="str">
        <x:v>22469</x:v>
      </x:c>
      <x:c r="B1226" s="10" t="n">
        <x:v>3</x:v>
      </x:c>
      <x:c r="C1226" s="9" t="d">
        <x:v>2011-11-16T00:00:00.000Z</x:v>
      </x:c>
      <x:c r="D1226" s="9" t="d">
        <x:v>2011-11-19T00:00:00.000Z</x:v>
      </x:c>
      <x:c r="E1226" s="1" t="str">
        <x:v>naive</x:v>
      </x:c>
      <x:c r="F1226" s="10" t="n">
        <x:v>0</x:v>
      </x:c>
      <x:c r="G1226" s="10" t="n">
        <x:v>48</x:v>
      </x:c>
      <x:c r="H1226" s="10" t="n">
        <x:f>ABS(G1226-F1226)</x:f>
        <x:v>48</x:v>
      </x:c>
      <x:c r="I1226" s="10" t="n">
        <x:f>G1226-F1226</x:f>
        <x:v>48</x:v>
      </x:c>
    </x:row>
    <x:row r="1227" ht="20" customHeight="1">
      <x:c r="A1227" s="1" t="str">
        <x:v>22469</x:v>
      </x:c>
      <x:c r="B1227" s="10" t="n">
        <x:v>3</x:v>
      </x:c>
      <x:c r="C1227" s="9" t="d">
        <x:v>2011-11-16T00:00:00.000Z</x:v>
      </x:c>
      <x:c r="D1227" s="9" t="d">
        <x:v>2011-11-20T00:00:00.000Z</x:v>
      </x:c>
      <x:c r="E1227" s="1" t="str">
        <x:v>naive</x:v>
      </x:c>
      <x:c r="F1227" s="10" t="n">
        <x:v>54</x:v>
      </x:c>
      <x:c r="G1227" s="10" t="n">
        <x:v>48</x:v>
      </x:c>
      <x:c r="H1227" s="10" t="n">
        <x:f>ABS(G1227-F1227)</x:f>
        <x:v>6</x:v>
      </x:c>
      <x:c r="I1227" s="10" t="n">
        <x:f>G1227-F1227</x:f>
        <x:v>-6</x:v>
      </x:c>
    </x:row>
    <x:row r="1228" ht="20" customHeight="1">
      <x:c r="A1228" s="1" t="str">
        <x:v>22469</x:v>
      </x:c>
      <x:c r="B1228" s="10" t="n">
        <x:v>3</x:v>
      </x:c>
      <x:c r="C1228" s="9" t="d">
        <x:v>2011-11-16T00:00:00.000Z</x:v>
      </x:c>
      <x:c r="D1228" s="9" t="d">
        <x:v>2011-11-21T00:00:00.000Z</x:v>
      </x:c>
      <x:c r="E1228" s="1" t="str">
        <x:v>naive</x:v>
      </x:c>
      <x:c r="F1228" s="10" t="n">
        <x:v>31</x:v>
      </x:c>
      <x:c r="G1228" s="10" t="n">
        <x:v>48</x:v>
      </x:c>
      <x:c r="H1228" s="10" t="n">
        <x:f>ABS(G1228-F1228)</x:f>
        <x:v>17</x:v>
      </x:c>
      <x:c r="I1228" s="10" t="n">
        <x:f>G1228-F1228</x:f>
        <x:v>17</x:v>
      </x:c>
    </x:row>
    <x:row r="1229" ht="20" customHeight="1">
      <x:c r="A1229" s="1" t="str">
        <x:v>22469</x:v>
      </x:c>
      <x:c r="B1229" s="10" t="n">
        <x:v>3</x:v>
      </x:c>
      <x:c r="C1229" s="9" t="d">
        <x:v>2011-11-16T00:00:00.000Z</x:v>
      </x:c>
      <x:c r="D1229" s="9" t="d">
        <x:v>2011-11-22T00:00:00.000Z</x:v>
      </x:c>
      <x:c r="E1229" s="1" t="str">
        <x:v>naive</x:v>
      </x:c>
      <x:c r="F1229" s="10" t="n">
        <x:v>48</x:v>
      </x:c>
      <x:c r="G1229" s="10" t="n">
        <x:v>48</x:v>
      </x:c>
      <x:c r="H1229" s="10" t="n">
        <x:f>ABS(G1229-F1229)</x:f>
        <x:v>0</x:v>
      </x:c>
      <x:c r="I1229" s="10" t="n">
        <x:f>G1229-F1229</x:f>
        <x:v>0</x:v>
      </x:c>
    </x:row>
    <x:row r="1230" ht="20" customHeight="1">
      <x:c r="A1230" s="1" t="str">
        <x:v>22469</x:v>
      </x:c>
      <x:c r="B1230" s="10" t="n">
        <x:v>3</x:v>
      </x:c>
      <x:c r="C1230" s="9" t="d">
        <x:v>2011-11-16T00:00:00.000Z</x:v>
      </x:c>
      <x:c r="D1230" s="9" t="d">
        <x:v>2011-11-23T00:00:00.000Z</x:v>
      </x:c>
      <x:c r="E1230" s="1" t="str">
        <x:v>naive</x:v>
      </x:c>
      <x:c r="F1230" s="10" t="n">
        <x:v>81</x:v>
      </x:c>
      <x:c r="G1230" s="10" t="n">
        <x:v>48</x:v>
      </x:c>
      <x:c r="H1230" s="10" t="n">
        <x:f>ABS(G1230-F1230)</x:f>
        <x:v>33</x:v>
      </x:c>
      <x:c r="I1230" s="10" t="n">
        <x:f>G1230-F1230</x:f>
        <x:v>-33</x:v>
      </x:c>
    </x:row>
    <x:row r="1231" ht="20" customHeight="1">
      <x:c r="A1231" s="1" t="str">
        <x:v>22469</x:v>
      </x:c>
      <x:c r="B1231" s="10" t="n">
        <x:v>3</x:v>
      </x:c>
      <x:c r="C1231" s="9" t="d">
        <x:v>2011-11-16T00:00:00.000Z</x:v>
      </x:c>
      <x:c r="D1231" s="9" t="d">
        <x:v>2011-11-24T00:00:00.000Z</x:v>
      </x:c>
      <x:c r="E1231" s="1" t="str">
        <x:v>naive</x:v>
      </x:c>
      <x:c r="F1231" s="10" t="n">
        <x:v>19</x:v>
      </x:c>
      <x:c r="G1231" s="10" t="n">
        <x:v>48</x:v>
      </x:c>
      <x:c r="H1231" s="10" t="n">
        <x:f>ABS(G1231-F1231)</x:f>
        <x:v>29</x:v>
      </x:c>
      <x:c r="I1231" s="10" t="n">
        <x:f>G1231-F1231</x:f>
        <x:v>29</x:v>
      </x:c>
    </x:row>
    <x:row r="1232" ht="20" customHeight="1">
      <x:c r="A1232" s="1" t="str">
        <x:v>22469</x:v>
      </x:c>
      <x:c r="B1232" s="10" t="n">
        <x:v>3</x:v>
      </x:c>
      <x:c r="C1232" s="9" t="d">
        <x:v>2011-11-16T00:00:00.000Z</x:v>
      </x:c>
      <x:c r="D1232" s="9" t="d">
        <x:v>2011-11-25T00:00:00.000Z</x:v>
      </x:c>
      <x:c r="E1232" s="1" t="str">
        <x:v>naive</x:v>
      </x:c>
      <x:c r="F1232" s="10" t="n">
        <x:v>26</x:v>
      </x:c>
      <x:c r="G1232" s="10" t="n">
        <x:v>48</x:v>
      </x:c>
      <x:c r="H1232" s="10" t="n">
        <x:f>ABS(G1232-F1232)</x:f>
        <x:v>22</x:v>
      </x:c>
      <x:c r="I1232" s="10" t="n">
        <x:f>G1232-F1232</x:f>
        <x:v>22</x:v>
      </x:c>
    </x:row>
    <x:row r="1233" ht="20" customHeight="1">
      <x:c r="A1233" s="1" t="str">
        <x:v>22469</x:v>
      </x:c>
      <x:c r="B1233" s="10" t="n">
        <x:v>3</x:v>
      </x:c>
      <x:c r="C1233" s="9" t="d">
        <x:v>2011-11-16T00:00:00.000Z</x:v>
      </x:c>
      <x:c r="D1233" s="9" t="d">
        <x:v>2011-11-26T00:00:00.000Z</x:v>
      </x:c>
      <x:c r="E1233" s="1" t="str">
        <x:v>naive</x:v>
      </x:c>
      <x:c r="F1233" s="10" t="n">
        <x:v>0</x:v>
      </x:c>
      <x:c r="G1233" s="10" t="n">
        <x:v>48</x:v>
      </x:c>
      <x:c r="H1233" s="10" t="n">
        <x:f>ABS(G1233-F1233)</x:f>
        <x:v>48</x:v>
      </x:c>
      <x:c r="I1233" s="10" t="n">
        <x:f>G1233-F1233</x:f>
        <x:v>48</x:v>
      </x:c>
    </x:row>
    <x:row r="1234" ht="20" customHeight="1">
      <x:c r="A1234" s="1" t="str">
        <x:v>22469</x:v>
      </x:c>
      <x:c r="B1234" s="10" t="n">
        <x:v>3</x:v>
      </x:c>
      <x:c r="C1234" s="9" t="d">
        <x:v>2011-11-16T00:00:00.000Z</x:v>
      </x:c>
      <x:c r="D1234" s="9" t="d">
        <x:v>2011-11-27T00:00:00.000Z</x:v>
      </x:c>
      <x:c r="E1234" s="1" t="str">
        <x:v>naive</x:v>
      </x:c>
      <x:c r="F1234" s="10" t="n">
        <x:v>8</x:v>
      </x:c>
      <x:c r="G1234" s="10" t="n">
        <x:v>48</x:v>
      </x:c>
      <x:c r="H1234" s="10" t="n">
        <x:f>ABS(G1234-F1234)</x:f>
        <x:v>40</x:v>
      </x:c>
      <x:c r="I1234" s="10" t="n">
        <x:f>G1234-F1234</x:f>
        <x:v>40</x:v>
      </x:c>
    </x:row>
    <x:row r="1235" ht="20" customHeight="1">
      <x:c r="A1235" s="1" t="str">
        <x:v>22469</x:v>
      </x:c>
      <x:c r="B1235" s="10" t="n">
        <x:v>3</x:v>
      </x:c>
      <x:c r="C1235" s="9" t="d">
        <x:v>2011-11-16T00:00:00.000Z</x:v>
      </x:c>
      <x:c r="D1235" s="9" t="d">
        <x:v>2011-11-28T00:00:00.000Z</x:v>
      </x:c>
      <x:c r="E1235" s="1" t="str">
        <x:v>naive</x:v>
      </x:c>
      <x:c r="F1235" s="10" t="n">
        <x:v>655</x:v>
      </x:c>
      <x:c r="G1235" s="10" t="n">
        <x:v>48</x:v>
      </x:c>
      <x:c r="H1235" s="10" t="n">
        <x:f>ABS(G1235-F1235)</x:f>
        <x:v>607</x:v>
      </x:c>
      <x:c r="I1235" s="10" t="n">
        <x:f>G1235-F1235</x:f>
        <x:v>-607</x:v>
      </x:c>
    </x:row>
    <x:row r="1236" ht="20" customHeight="1">
      <x:c r="A1236" s="1" t="str">
        <x:v>22469</x:v>
      </x:c>
      <x:c r="B1236" s="10" t="n">
        <x:v>3</x:v>
      </x:c>
      <x:c r="C1236" s="9" t="d">
        <x:v>2011-11-16T00:00:00.000Z</x:v>
      </x:c>
      <x:c r="D1236" s="9" t="d">
        <x:v>2011-11-29T00:00:00.000Z</x:v>
      </x:c>
      <x:c r="E1236" s="1" t="str">
        <x:v>naive</x:v>
      </x:c>
      <x:c r="F1236" s="10" t="n">
        <x:v>40</x:v>
      </x:c>
      <x:c r="G1236" s="10" t="n">
        <x:v>48</x:v>
      </x:c>
      <x:c r="H1236" s="10" t="n">
        <x:f>ABS(G1236-F1236)</x:f>
        <x:v>8</x:v>
      </x:c>
      <x:c r="I1236" s="10" t="n">
        <x:f>G1236-F1236</x:f>
        <x:v>8</x:v>
      </x:c>
    </x:row>
    <x:row r="1237" ht="20" customHeight="1">
      <x:c r="A1237" s="1" t="str">
        <x:v>22469</x:v>
      </x:c>
      <x:c r="B1237" s="10" t="n">
        <x:v>3</x:v>
      </x:c>
      <x:c r="C1237" s="9" t="d">
        <x:v>2011-11-16T00:00:00.000Z</x:v>
      </x:c>
      <x:c r="D1237" s="9" t="d">
        <x:v>2011-11-30T00:00:00.000Z</x:v>
      </x:c>
      <x:c r="E1237" s="1" t="str">
        <x:v>naive</x:v>
      </x:c>
      <x:c r="F1237" s="10" t="n">
        <x:v>45</x:v>
      </x:c>
      <x:c r="G1237" s="10" t="n">
        <x:v>48</x:v>
      </x:c>
      <x:c r="H1237" s="10" t="n">
        <x:f>ABS(G1237-F1237)</x:f>
        <x:v>3</x:v>
      </x:c>
      <x:c r="I1237" s="10" t="n">
        <x:f>G1237-F1237</x:f>
        <x:v>3</x:v>
      </x:c>
    </x:row>
    <x:row r="1238" ht="20" customHeight="1">
      <x:c r="A1238" s="1" t="str">
        <x:v>22469</x:v>
      </x:c>
      <x:c r="B1238" s="10" t="n">
        <x:v>3</x:v>
      </x:c>
      <x:c r="C1238" s="9" t="d">
        <x:v>2011-11-16T00:00:00.000Z</x:v>
      </x:c>
      <x:c r="D1238" s="9" t="d">
        <x:v>2011-11-17T00:00:00.000Z</x:v>
      </x:c>
      <x:c r="E1238" s="1" t="str">
        <x:v>seasonal_naive</x:v>
      </x:c>
      <x:c r="F1238" s="10" t="n">
        <x:v>34</x:v>
      </x:c>
      <x:c r="G1238" s="10" t="n">
        <x:v>80</x:v>
      </x:c>
      <x:c r="H1238" s="10" t="n">
        <x:f>ABS(G1238-F1238)</x:f>
        <x:v>46</x:v>
      </x:c>
      <x:c r="I1238" s="10" t="n">
        <x:f>G1238-F1238</x:f>
        <x:v>46</x:v>
      </x:c>
    </x:row>
    <x:row r="1239" ht="20" customHeight="1">
      <x:c r="A1239" s="1" t="str">
        <x:v>22469</x:v>
      </x:c>
      <x:c r="B1239" s="10" t="n">
        <x:v>3</x:v>
      </x:c>
      <x:c r="C1239" s="9" t="d">
        <x:v>2011-11-16T00:00:00.000Z</x:v>
      </x:c>
      <x:c r="D1239" s="9" t="d">
        <x:v>2011-11-18T00:00:00.000Z</x:v>
      </x:c>
      <x:c r="E1239" s="1" t="str">
        <x:v>seasonal_naive</x:v>
      </x:c>
      <x:c r="F1239" s="10" t="n">
        <x:v>89</x:v>
      </x:c>
      <x:c r="G1239" s="10" t="n">
        <x:v>44</x:v>
      </x:c>
      <x:c r="H1239" s="10" t="n">
        <x:f>ABS(G1239-F1239)</x:f>
        <x:v>45</x:v>
      </x:c>
      <x:c r="I1239" s="10" t="n">
        <x:f>G1239-F1239</x:f>
        <x:v>-45</x:v>
      </x:c>
    </x:row>
    <x:row r="1240" ht="20" customHeight="1">
      <x:c r="A1240" s="1" t="str">
        <x:v>22469</x:v>
      </x:c>
      <x:c r="B1240" s="10" t="n">
        <x:v>3</x:v>
      </x:c>
      <x:c r="C1240" s="9" t="d">
        <x:v>2011-11-16T00:00:00.000Z</x:v>
      </x:c>
      <x:c r="D1240" s="9" t="d">
        <x:v>2011-11-19T00:00:00.000Z</x:v>
      </x:c>
      <x:c r="E1240" s="1" t="str">
        <x:v>seasonal_naive</x:v>
      </x:c>
      <x:c r="F1240" s="10" t="n">
        <x:v>0</x:v>
      </x:c>
      <x:c r="G1240" s="10" t="n">
        <x:v>0</x:v>
      </x:c>
      <x:c r="H1240" s="10" t="n">
        <x:f>ABS(G1240-F1240)</x:f>
        <x:v>0</x:v>
      </x:c>
      <x:c r="I1240" s="10" t="n">
        <x:f>G1240-F1240</x:f>
        <x:v>0</x:v>
      </x:c>
    </x:row>
    <x:row r="1241" ht="20" customHeight="1">
      <x:c r="A1241" s="1" t="str">
        <x:v>22469</x:v>
      </x:c>
      <x:c r="B1241" s="10" t="n">
        <x:v>3</x:v>
      </x:c>
      <x:c r="C1241" s="9" t="d">
        <x:v>2011-11-16T00:00:00.000Z</x:v>
      </x:c>
      <x:c r="D1241" s="9" t="d">
        <x:v>2011-11-20T00:00:00.000Z</x:v>
      </x:c>
      <x:c r="E1241" s="1" t="str">
        <x:v>seasonal_naive</x:v>
      </x:c>
      <x:c r="F1241" s="10" t="n">
        <x:v>54</x:v>
      </x:c>
      <x:c r="G1241" s="10" t="n">
        <x:v>31</x:v>
      </x:c>
      <x:c r="H1241" s="10" t="n">
        <x:f>ABS(G1241-F1241)</x:f>
        <x:v>23</x:v>
      </x:c>
      <x:c r="I1241" s="10" t="n">
        <x:f>G1241-F1241</x:f>
        <x:v>-23</x:v>
      </x:c>
    </x:row>
    <x:row r="1242" ht="20" customHeight="1">
      <x:c r="A1242" s="1" t="str">
        <x:v>22469</x:v>
      </x:c>
      <x:c r="B1242" s="10" t="n">
        <x:v>3</x:v>
      </x:c>
      <x:c r="C1242" s="9" t="d">
        <x:v>2011-11-16T00:00:00.000Z</x:v>
      </x:c>
      <x:c r="D1242" s="9" t="d">
        <x:v>2011-11-21T00:00:00.000Z</x:v>
      </x:c>
      <x:c r="E1242" s="1" t="str">
        <x:v>seasonal_naive</x:v>
      </x:c>
      <x:c r="F1242" s="10" t="n">
        <x:v>31</x:v>
      </x:c>
      <x:c r="G1242" s="10" t="n">
        <x:v>119</x:v>
      </x:c>
      <x:c r="H1242" s="10" t="n">
        <x:f>ABS(G1242-F1242)</x:f>
        <x:v>88</x:v>
      </x:c>
      <x:c r="I1242" s="10" t="n">
        <x:f>G1242-F1242</x:f>
        <x:v>88</x:v>
      </x:c>
    </x:row>
    <x:row r="1243" ht="20" customHeight="1">
      <x:c r="A1243" s="1" t="str">
        <x:v>22469</x:v>
      </x:c>
      <x:c r="B1243" s="10" t="n">
        <x:v>3</x:v>
      </x:c>
      <x:c r="C1243" s="9" t="d">
        <x:v>2011-11-16T00:00:00.000Z</x:v>
      </x:c>
      <x:c r="D1243" s="9" t="d">
        <x:v>2011-11-22T00:00:00.000Z</x:v>
      </x:c>
      <x:c r="E1243" s="1" t="str">
        <x:v>seasonal_naive</x:v>
      </x:c>
      <x:c r="F1243" s="10" t="n">
        <x:v>48</x:v>
      </x:c>
      <x:c r="G1243" s="10" t="n">
        <x:v>17</x:v>
      </x:c>
      <x:c r="H1243" s="10" t="n">
        <x:f>ABS(G1243-F1243)</x:f>
        <x:v>31</x:v>
      </x:c>
      <x:c r="I1243" s="10" t="n">
        <x:f>G1243-F1243</x:f>
        <x:v>-31</x:v>
      </x:c>
    </x:row>
    <x:row r="1244" ht="20" customHeight="1">
      <x:c r="A1244" s="1" t="str">
        <x:v>22469</x:v>
      </x:c>
      <x:c r="B1244" s="10" t="n">
        <x:v>3</x:v>
      </x:c>
      <x:c r="C1244" s="9" t="d">
        <x:v>2011-11-16T00:00:00.000Z</x:v>
      </x:c>
      <x:c r="D1244" s="9" t="d">
        <x:v>2011-11-23T00:00:00.000Z</x:v>
      </x:c>
      <x:c r="E1244" s="1" t="str">
        <x:v>seasonal_naive</x:v>
      </x:c>
      <x:c r="F1244" s="10" t="n">
        <x:v>81</x:v>
      </x:c>
      <x:c r="G1244" s="10" t="n">
        <x:v>48</x:v>
      </x:c>
      <x:c r="H1244" s="10" t="n">
        <x:f>ABS(G1244-F1244)</x:f>
        <x:v>33</x:v>
      </x:c>
      <x:c r="I1244" s="10" t="n">
        <x:f>G1244-F1244</x:f>
        <x:v>-33</x:v>
      </x:c>
    </x:row>
    <x:row r="1245" ht="20" customHeight="1">
      <x:c r="A1245" s="1" t="str">
        <x:v>22469</x:v>
      </x:c>
      <x:c r="B1245" s="10" t="n">
        <x:v>3</x:v>
      </x:c>
      <x:c r="C1245" s="9" t="d">
        <x:v>2011-11-16T00:00:00.000Z</x:v>
      </x:c>
      <x:c r="D1245" s="9" t="d">
        <x:v>2011-11-24T00:00:00.000Z</x:v>
      </x:c>
      <x:c r="E1245" s="1" t="str">
        <x:v>seasonal_naive</x:v>
      </x:c>
      <x:c r="F1245" s="10" t="n">
        <x:v>19</x:v>
      </x:c>
      <x:c r="G1245" s="10" t="n">
        <x:v>80</x:v>
      </x:c>
      <x:c r="H1245" s="10" t="n">
        <x:f>ABS(G1245-F1245)</x:f>
        <x:v>61</x:v>
      </x:c>
      <x:c r="I1245" s="10" t="n">
        <x:f>G1245-F1245</x:f>
        <x:v>61</x:v>
      </x:c>
    </x:row>
    <x:row r="1246" ht="20" customHeight="1">
      <x:c r="A1246" s="1" t="str">
        <x:v>22469</x:v>
      </x:c>
      <x:c r="B1246" s="10" t="n">
        <x:v>3</x:v>
      </x:c>
      <x:c r="C1246" s="9" t="d">
        <x:v>2011-11-16T00:00:00.000Z</x:v>
      </x:c>
      <x:c r="D1246" s="9" t="d">
        <x:v>2011-11-25T00:00:00.000Z</x:v>
      </x:c>
      <x:c r="E1246" s="1" t="str">
        <x:v>seasonal_naive</x:v>
      </x:c>
      <x:c r="F1246" s="10" t="n">
        <x:v>26</x:v>
      </x:c>
      <x:c r="G1246" s="10" t="n">
        <x:v>44</x:v>
      </x:c>
      <x:c r="H1246" s="10" t="n">
        <x:f>ABS(G1246-F1246)</x:f>
        <x:v>18</x:v>
      </x:c>
      <x:c r="I1246" s="10" t="n">
        <x:f>G1246-F1246</x:f>
        <x:v>18</x:v>
      </x:c>
    </x:row>
    <x:row r="1247" ht="20" customHeight="1">
      <x:c r="A1247" s="1" t="str">
        <x:v>22469</x:v>
      </x:c>
      <x:c r="B1247" s="10" t="n">
        <x:v>3</x:v>
      </x:c>
      <x:c r="C1247" s="9" t="d">
        <x:v>2011-11-16T00:00:00.000Z</x:v>
      </x:c>
      <x:c r="D1247" s="9" t="d">
        <x:v>2011-11-26T00:00:00.000Z</x:v>
      </x:c>
      <x:c r="E1247" s="1" t="str">
        <x:v>seasonal_naive</x:v>
      </x:c>
      <x:c r="F1247" s="10" t="n">
        <x:v>0</x:v>
      </x:c>
      <x:c r="G1247" s="10" t="n">
        <x:v>0</x:v>
      </x:c>
      <x:c r="H1247" s="10" t="n">
        <x:f>ABS(G1247-F1247)</x:f>
        <x:v>0</x:v>
      </x:c>
      <x:c r="I1247" s="10" t="n">
        <x:f>G1247-F1247</x:f>
        <x:v>0</x:v>
      </x:c>
    </x:row>
    <x:row r="1248" ht="20" customHeight="1">
      <x:c r="A1248" s="1" t="str">
        <x:v>22469</x:v>
      </x:c>
      <x:c r="B1248" s="10" t="n">
        <x:v>3</x:v>
      </x:c>
      <x:c r="C1248" s="9" t="d">
        <x:v>2011-11-16T00:00:00.000Z</x:v>
      </x:c>
      <x:c r="D1248" s="9" t="d">
        <x:v>2011-11-27T00:00:00.000Z</x:v>
      </x:c>
      <x:c r="E1248" s="1" t="str">
        <x:v>seasonal_naive</x:v>
      </x:c>
      <x:c r="F1248" s="10" t="n">
        <x:v>8</x:v>
      </x:c>
      <x:c r="G1248" s="10" t="n">
        <x:v>31</x:v>
      </x:c>
      <x:c r="H1248" s="10" t="n">
        <x:f>ABS(G1248-F1248)</x:f>
        <x:v>23</x:v>
      </x:c>
      <x:c r="I1248" s="10" t="n">
        <x:f>G1248-F1248</x:f>
        <x:v>23</x:v>
      </x:c>
    </x:row>
    <x:row r="1249" ht="20" customHeight="1">
      <x:c r="A1249" s="1" t="str">
        <x:v>22469</x:v>
      </x:c>
      <x:c r="B1249" s="10" t="n">
        <x:v>3</x:v>
      </x:c>
      <x:c r="C1249" s="9" t="d">
        <x:v>2011-11-16T00:00:00.000Z</x:v>
      </x:c>
      <x:c r="D1249" s="9" t="d">
        <x:v>2011-11-28T00:00:00.000Z</x:v>
      </x:c>
      <x:c r="E1249" s="1" t="str">
        <x:v>seasonal_naive</x:v>
      </x:c>
      <x:c r="F1249" s="10" t="n">
        <x:v>655</x:v>
      </x:c>
      <x:c r="G1249" s="10" t="n">
        <x:v>119</x:v>
      </x:c>
      <x:c r="H1249" s="10" t="n">
        <x:f>ABS(G1249-F1249)</x:f>
        <x:v>536</x:v>
      </x:c>
      <x:c r="I1249" s="10" t="n">
        <x:f>G1249-F1249</x:f>
        <x:v>-536</x:v>
      </x:c>
    </x:row>
    <x:row r="1250" ht="20" customHeight="1">
      <x:c r="A1250" s="1" t="str">
        <x:v>22469</x:v>
      </x:c>
      <x:c r="B1250" s="10" t="n">
        <x:v>3</x:v>
      </x:c>
      <x:c r="C1250" s="9" t="d">
        <x:v>2011-11-16T00:00:00.000Z</x:v>
      </x:c>
      <x:c r="D1250" s="9" t="d">
        <x:v>2011-11-29T00:00:00.000Z</x:v>
      </x:c>
      <x:c r="E1250" s="1" t="str">
        <x:v>seasonal_naive</x:v>
      </x:c>
      <x:c r="F1250" s="10" t="n">
        <x:v>40</x:v>
      </x:c>
      <x:c r="G1250" s="10" t="n">
        <x:v>17</x:v>
      </x:c>
      <x:c r="H1250" s="10" t="n">
        <x:f>ABS(G1250-F1250)</x:f>
        <x:v>23</x:v>
      </x:c>
      <x:c r="I1250" s="10" t="n">
        <x:f>G1250-F1250</x:f>
        <x:v>-23</x:v>
      </x:c>
    </x:row>
    <x:row r="1251" ht="20" customHeight="1">
      <x:c r="A1251" s="1" t="str">
        <x:v>22469</x:v>
      </x:c>
      <x:c r="B1251" s="10" t="n">
        <x:v>3</x:v>
      </x:c>
      <x:c r="C1251" s="9" t="d">
        <x:v>2011-11-16T00:00:00.000Z</x:v>
      </x:c>
      <x:c r="D1251" s="9" t="d">
        <x:v>2011-11-30T00:00:00.000Z</x:v>
      </x:c>
      <x:c r="E1251" s="1" t="str">
        <x:v>seasonal_naive</x:v>
      </x:c>
      <x:c r="F1251" s="10" t="n">
        <x:v>45</x:v>
      </x:c>
      <x:c r="G1251" s="10" t="n">
        <x:v>48</x:v>
      </x:c>
      <x:c r="H1251" s="10" t="n">
        <x:f>ABS(G1251-F1251)</x:f>
        <x:v>3</x:v>
      </x:c>
      <x:c r="I1251" s="10" t="n">
        <x:f>G1251-F1251</x:f>
        <x:v>3</x:v>
      </x:c>
    </x:row>
    <x:row r="1252" ht="20" customHeight="1">
      <x:c r="A1252" s="1" t="str">
        <x:v>22469</x:v>
      </x:c>
      <x:c r="B1252" s="10" t="n">
        <x:v>3</x:v>
      </x:c>
      <x:c r="C1252" s="9" t="d">
        <x:v>2011-11-16T00:00:00.000Z</x:v>
      </x:c>
      <x:c r="D1252" s="9" t="d">
        <x:v>2011-11-17T00:00:00.000Z</x:v>
      </x:c>
      <x:c r="E1252" s="1" t="str">
        <x:v>ridge</x:v>
      </x:c>
      <x:c r="F1252" s="10" t="n">
        <x:v>34</x:v>
      </x:c>
      <x:c r="G1252" s="10" t="n">
        <x:v>52.8145556762</x:v>
      </x:c>
      <x:c r="H1252" s="10" t="n">
        <x:f>ABS(G1252-F1252)</x:f>
        <x:v>18.8145556762</x:v>
      </x:c>
      <x:c r="I1252" s="10" t="n">
        <x:f>G1252-F1252</x:f>
        <x:v>18.8145556762</x:v>
      </x:c>
    </x:row>
    <x:row r="1253" ht="20" customHeight="1">
      <x:c r="A1253" s="1" t="str">
        <x:v>22469</x:v>
      </x:c>
      <x:c r="B1253" s="10" t="n">
        <x:v>3</x:v>
      </x:c>
      <x:c r="C1253" s="9" t="d">
        <x:v>2011-11-16T00:00:00.000Z</x:v>
      </x:c>
      <x:c r="D1253" s="9" t="d">
        <x:v>2011-11-18T00:00:00.000Z</x:v>
      </x:c>
      <x:c r="E1253" s="1" t="str">
        <x:v>ridge</x:v>
      </x:c>
      <x:c r="F1253" s="10" t="n">
        <x:v>89</x:v>
      </x:c>
      <x:c r="G1253" s="10" t="n">
        <x:v>22.3505833244</x:v>
      </x:c>
      <x:c r="H1253" s="10" t="n">
        <x:f>ABS(G1253-F1253)</x:f>
        <x:v>66.64941667560001</x:v>
      </x:c>
      <x:c r="I1253" s="10" t="n">
        <x:f>G1253-F1253</x:f>
        <x:v>-66.64941667560001</x:v>
      </x:c>
    </x:row>
    <x:row r="1254" ht="20" customHeight="1">
      <x:c r="A1254" s="1" t="str">
        <x:v>22469</x:v>
      </x:c>
      <x:c r="B1254" s="10" t="n">
        <x:v>3</x:v>
      </x:c>
      <x:c r="C1254" s="9" t="d">
        <x:v>2011-11-16T00:00:00.000Z</x:v>
      </x:c>
      <x:c r="D1254" s="9" t="d">
        <x:v>2011-11-19T00:00:00.000Z</x:v>
      </x:c>
      <x:c r="E1254" s="1" t="str">
        <x:v>ridge</x:v>
      </x:c>
      <x:c r="F1254" s="10" t="n">
        <x:v>0</x:v>
      </x:c>
      <x:c r="G1254" s="10" t="n">
        <x:v>4.5954486113</x:v>
      </x:c>
      <x:c r="H1254" s="10" t="n">
        <x:f>ABS(G1254-F1254)</x:f>
        <x:v>4.5954486113</x:v>
      </x:c>
      <x:c r="I1254" s="10" t="n">
        <x:f>G1254-F1254</x:f>
        <x:v>4.5954486113</x:v>
      </x:c>
    </x:row>
    <x:row r="1255" ht="20" customHeight="1">
      <x:c r="A1255" s="1" t="str">
        <x:v>22469</x:v>
      </x:c>
      <x:c r="B1255" s="10" t="n">
        <x:v>3</x:v>
      </x:c>
      <x:c r="C1255" s="9" t="d">
        <x:v>2011-11-16T00:00:00.000Z</x:v>
      </x:c>
      <x:c r="D1255" s="9" t="d">
        <x:v>2011-11-20T00:00:00.000Z</x:v>
      </x:c>
      <x:c r="E1255" s="1" t="str">
        <x:v>ridge</x:v>
      </x:c>
      <x:c r="F1255" s="10" t="n">
        <x:v>54</x:v>
      </x:c>
      <x:c r="G1255" s="10" t="n">
        <x:v>14.2647364278</x:v>
      </x:c>
      <x:c r="H1255" s="10" t="n">
        <x:f>ABS(G1255-F1255)</x:f>
        <x:v>39.7352635722</x:v>
      </x:c>
      <x:c r="I1255" s="10" t="n">
        <x:f>G1255-F1255</x:f>
        <x:v>-39.7352635722</x:v>
      </x:c>
    </x:row>
    <x:row r="1256" ht="20" customHeight="1">
      <x:c r="A1256" s="1" t="str">
        <x:v>22469</x:v>
      </x:c>
      <x:c r="B1256" s="10" t="n">
        <x:v>3</x:v>
      </x:c>
      <x:c r="C1256" s="9" t="d">
        <x:v>2011-11-16T00:00:00.000Z</x:v>
      </x:c>
      <x:c r="D1256" s="9" t="d">
        <x:v>2011-11-21T00:00:00.000Z</x:v>
      </x:c>
      <x:c r="E1256" s="1" t="str">
        <x:v>ridge</x:v>
      </x:c>
      <x:c r="F1256" s="10" t="n">
        <x:v>31</x:v>
      </x:c>
      <x:c r="G1256" s="10" t="n">
        <x:v>44.5679049597</x:v>
      </x:c>
      <x:c r="H1256" s="10" t="n">
        <x:f>ABS(G1256-F1256)</x:f>
        <x:v>13.567904959700002</x:v>
      </x:c>
      <x:c r="I1256" s="10" t="n">
        <x:f>G1256-F1256</x:f>
        <x:v>13.567904959700002</x:v>
      </x:c>
    </x:row>
    <x:row r="1257" ht="20" customHeight="1">
      <x:c r="A1257" s="1" t="str">
        <x:v>22469</x:v>
      </x:c>
      <x:c r="B1257" s="10" t="n">
        <x:v>3</x:v>
      </x:c>
      <x:c r="C1257" s="9" t="d">
        <x:v>2011-11-16T00:00:00.000Z</x:v>
      </x:c>
      <x:c r="D1257" s="9" t="d">
        <x:v>2011-11-22T00:00:00.000Z</x:v>
      </x:c>
      <x:c r="E1257" s="1" t="str">
        <x:v>ridge</x:v>
      </x:c>
      <x:c r="F1257" s="10" t="n">
        <x:v>48</x:v>
      </x:c>
      <x:c r="G1257" s="10" t="n">
        <x:v>65.9824211826</x:v>
      </x:c>
      <x:c r="H1257" s="10" t="n">
        <x:f>ABS(G1257-F1257)</x:f>
        <x:v>17.982421182600007</x:v>
      </x:c>
      <x:c r="I1257" s="10" t="n">
        <x:f>G1257-F1257</x:f>
        <x:v>17.982421182600007</x:v>
      </x:c>
    </x:row>
    <x:row r="1258" ht="20" customHeight="1">
      <x:c r="A1258" s="1" t="str">
        <x:v>22469</x:v>
      </x:c>
      <x:c r="B1258" s="10" t="n">
        <x:v>3</x:v>
      </x:c>
      <x:c r="C1258" s="9" t="d">
        <x:v>2011-11-16T00:00:00.000Z</x:v>
      </x:c>
      <x:c r="D1258" s="9" t="d">
        <x:v>2011-11-23T00:00:00.000Z</x:v>
      </x:c>
      <x:c r="E1258" s="1" t="str">
        <x:v>ridge</x:v>
      </x:c>
      <x:c r="F1258" s="10" t="n">
        <x:v>81</x:v>
      </x:c>
      <x:c r="G1258" s="10" t="n">
        <x:v>73.4935072266</x:v>
      </x:c>
      <x:c r="H1258" s="10" t="n">
        <x:f>ABS(G1258-F1258)</x:f>
        <x:v>7.506492773399998</x:v>
      </x:c>
      <x:c r="I1258" s="10" t="n">
        <x:f>G1258-F1258</x:f>
        <x:v>-7.506492773399998</x:v>
      </x:c>
    </x:row>
    <x:row r="1259" ht="20" customHeight="1">
      <x:c r="A1259" s="1" t="str">
        <x:v>22469</x:v>
      </x:c>
      <x:c r="B1259" s="10" t="n">
        <x:v>3</x:v>
      </x:c>
      <x:c r="C1259" s="9" t="d">
        <x:v>2011-11-16T00:00:00.000Z</x:v>
      </x:c>
      <x:c r="D1259" s="9" t="d">
        <x:v>2011-11-24T00:00:00.000Z</x:v>
      </x:c>
      <x:c r="E1259" s="1" t="str">
        <x:v>ridge</x:v>
      </x:c>
      <x:c r="F1259" s="10" t="n">
        <x:v>19</x:v>
      </x:c>
      <x:c r="G1259" s="10" t="n">
        <x:v>52.9756086239</x:v>
      </x:c>
      <x:c r="H1259" s="10" t="n">
        <x:f>ABS(G1259-F1259)</x:f>
        <x:v>33.9756086239</x:v>
      </x:c>
      <x:c r="I1259" s="10" t="n">
        <x:f>G1259-F1259</x:f>
        <x:v>33.9756086239</x:v>
      </x:c>
    </x:row>
    <x:row r="1260" ht="20" customHeight="1">
      <x:c r="A1260" s="1" t="str">
        <x:v>22469</x:v>
      </x:c>
      <x:c r="B1260" s="10" t="n">
        <x:v>3</x:v>
      </x:c>
      <x:c r="C1260" s="9" t="d">
        <x:v>2011-11-16T00:00:00.000Z</x:v>
      </x:c>
      <x:c r="D1260" s="9" t="d">
        <x:v>2011-11-25T00:00:00.000Z</x:v>
      </x:c>
      <x:c r="E1260" s="1" t="str">
        <x:v>ridge</x:v>
      </x:c>
      <x:c r="F1260" s="10" t="n">
        <x:v>26</x:v>
      </x:c>
      <x:c r="G1260" s="10" t="n">
        <x:v>21.5941116232</x:v>
      </x:c>
      <x:c r="H1260" s="10" t="n">
        <x:f>ABS(G1260-F1260)</x:f>
        <x:v>4.4058883768</x:v>
      </x:c>
      <x:c r="I1260" s="10" t="n">
        <x:f>G1260-F1260</x:f>
        <x:v>-4.4058883768</x:v>
      </x:c>
    </x:row>
    <x:row r="1261" ht="20" customHeight="1">
      <x:c r="A1261" s="1" t="str">
        <x:v>22469</x:v>
      </x:c>
      <x:c r="B1261" s="10" t="n">
        <x:v>3</x:v>
      </x:c>
      <x:c r="C1261" s="9" t="d">
        <x:v>2011-11-16T00:00:00.000Z</x:v>
      </x:c>
      <x:c r="D1261" s="9" t="d">
        <x:v>2011-11-26T00:00:00.000Z</x:v>
      </x:c>
      <x:c r="E1261" s="1" t="str">
        <x:v>ridge</x:v>
      </x:c>
      <x:c r="F1261" s="10" t="n">
        <x:v>0</x:v>
      </x:c>
      <x:c r="G1261" s="10" t="n">
        <x:v>4.072712397</x:v>
      </x:c>
      <x:c r="H1261" s="10" t="n">
        <x:f>ABS(G1261-F1261)</x:f>
        <x:v>4.072712397</x:v>
      </x:c>
      <x:c r="I1261" s="10" t="n">
        <x:f>G1261-F1261</x:f>
        <x:v>4.072712397</x:v>
      </x:c>
    </x:row>
    <x:row r="1262" ht="20" customHeight="1">
      <x:c r="A1262" s="1" t="str">
        <x:v>22469</x:v>
      </x:c>
      <x:c r="B1262" s="10" t="n">
        <x:v>3</x:v>
      </x:c>
      <x:c r="C1262" s="9" t="d">
        <x:v>2011-11-16T00:00:00.000Z</x:v>
      </x:c>
      <x:c r="D1262" s="9" t="d">
        <x:v>2011-11-27T00:00:00.000Z</x:v>
      </x:c>
      <x:c r="E1262" s="1" t="str">
        <x:v>ridge</x:v>
      </x:c>
      <x:c r="F1262" s="10" t="n">
        <x:v>8</x:v>
      </x:c>
      <x:c r="G1262" s="10" t="n">
        <x:v>13.3087512981</x:v>
      </x:c>
      <x:c r="H1262" s="10" t="n">
        <x:f>ABS(G1262-F1262)</x:f>
        <x:v>5.308751298100001</x:v>
      </x:c>
      <x:c r="I1262" s="10" t="n">
        <x:f>G1262-F1262</x:f>
        <x:v>5.308751298100001</x:v>
      </x:c>
    </x:row>
    <x:row r="1263" ht="20" customHeight="1">
      <x:c r="A1263" s="1" t="str">
        <x:v>22469</x:v>
      </x:c>
      <x:c r="B1263" s="10" t="n">
        <x:v>3</x:v>
      </x:c>
      <x:c r="C1263" s="9" t="d">
        <x:v>2011-11-16T00:00:00.000Z</x:v>
      </x:c>
      <x:c r="D1263" s="9" t="d">
        <x:v>2011-11-28T00:00:00.000Z</x:v>
      </x:c>
      <x:c r="E1263" s="1" t="str">
        <x:v>ridge</x:v>
      </x:c>
      <x:c r="F1263" s="10" t="n">
        <x:v>655</x:v>
      </x:c>
      <x:c r="G1263" s="10" t="n">
        <x:v>43.0841387309</x:v>
      </x:c>
      <x:c r="H1263" s="10" t="n">
        <x:f>ABS(G1263-F1263)</x:f>
        <x:v>611.9158612691</x:v>
      </x:c>
      <x:c r="I1263" s="10" t="n">
        <x:f>G1263-F1263</x:f>
        <x:v>-611.9158612691</x:v>
      </x:c>
    </x:row>
    <x:row r="1264" ht="20" customHeight="1">
      <x:c r="A1264" s="1" t="str">
        <x:v>22469</x:v>
      </x:c>
      <x:c r="B1264" s="10" t="n">
        <x:v>3</x:v>
      </x:c>
      <x:c r="C1264" s="9" t="d">
        <x:v>2011-11-16T00:00:00.000Z</x:v>
      </x:c>
      <x:c r="D1264" s="9" t="d">
        <x:v>2011-11-29T00:00:00.000Z</x:v>
      </x:c>
      <x:c r="E1264" s="1" t="str">
        <x:v>ridge</x:v>
      </x:c>
      <x:c r="F1264" s="10" t="n">
        <x:v>40</x:v>
      </x:c>
      <x:c r="G1264" s="10" t="n">
        <x:v>70.8264390069</x:v>
      </x:c>
      <x:c r="H1264" s="10" t="n">
        <x:f>ABS(G1264-F1264)</x:f>
        <x:v>30.826439006900003</x:v>
      </x:c>
      <x:c r="I1264" s="10" t="n">
        <x:f>G1264-F1264</x:f>
        <x:v>30.826439006900003</x:v>
      </x:c>
    </x:row>
    <x:row r="1265" ht="20" customHeight="1">
      <x:c r="A1265" s="1" t="str">
        <x:v>22469</x:v>
      </x:c>
      <x:c r="B1265" s="10" t="n">
        <x:v>3</x:v>
      </x:c>
      <x:c r="C1265" s="9" t="d">
        <x:v>2011-11-16T00:00:00.000Z</x:v>
      </x:c>
      <x:c r="D1265" s="9" t="d">
        <x:v>2011-11-30T00:00:00.000Z</x:v>
      </x:c>
      <x:c r="E1265" s="1" t="str">
        <x:v>ridge</x:v>
      </x:c>
      <x:c r="F1265" s="10" t="n">
        <x:v>45</x:v>
      </x:c>
      <x:c r="G1265" s="10" t="n">
        <x:v>75.4759109447</x:v>
      </x:c>
      <x:c r="H1265" s="10" t="n">
        <x:f>ABS(G1265-F1265)</x:f>
        <x:v>30.475910944700004</x:v>
      </x:c>
      <x:c r="I1265" s="10" t="n">
        <x:f>G1265-F1265</x:f>
        <x:v>30.475910944700004</x:v>
      </x:c>
    </x:row>
    <x:row r="1266" ht="20" customHeight="1">
      <x:c r="A1266" s="1" t="str">
        <x:v>22470</x:v>
      </x:c>
      <x:c r="B1266" s="10" t="n">
        <x:v>1</x:v>
      </x:c>
      <x:c r="C1266" s="9" t="d">
        <x:v>2011-10-19T00:00:00.000Z</x:v>
      </x:c>
      <x:c r="D1266" s="9" t="d">
        <x:v>2011-10-20T00:00:00.000Z</x:v>
      </x:c>
      <x:c r="E1266" s="1" t="str">
        <x:v>naive</x:v>
      </x:c>
      <x:c r="F1266" s="10" t="n">
        <x:v>2</x:v>
      </x:c>
      <x:c r="G1266" s="10" t="n">
        <x:v>16</x:v>
      </x:c>
      <x:c r="H1266" s="10" t="n">
        <x:f>ABS(G1266-F1266)</x:f>
        <x:v>14</x:v>
      </x:c>
      <x:c r="I1266" s="10" t="n">
        <x:f>G1266-F1266</x:f>
        <x:v>14</x:v>
      </x:c>
    </x:row>
    <x:row r="1267" ht="20" customHeight="1">
      <x:c r="A1267" s="1" t="str">
        <x:v>22470</x:v>
      </x:c>
      <x:c r="B1267" s="10" t="n">
        <x:v>1</x:v>
      </x:c>
      <x:c r="C1267" s="9" t="d">
        <x:v>2011-10-19T00:00:00.000Z</x:v>
      </x:c>
      <x:c r="D1267" s="9" t="d">
        <x:v>2011-10-21T00:00:00.000Z</x:v>
      </x:c>
      <x:c r="E1267" s="1" t="str">
        <x:v>naive</x:v>
      </x:c>
      <x:c r="F1267" s="10" t="n">
        <x:v>0</x:v>
      </x:c>
      <x:c r="G1267" s="10" t="n">
        <x:v>16</x:v>
      </x:c>
      <x:c r="H1267" s="10" t="n">
        <x:f>ABS(G1267-F1267)</x:f>
        <x:v>16</x:v>
      </x:c>
      <x:c r="I1267" s="10" t="n">
        <x:f>G1267-F1267</x:f>
        <x:v>16</x:v>
      </x:c>
    </x:row>
    <x:row r="1268" ht="20" customHeight="1">
      <x:c r="A1268" s="1" t="str">
        <x:v>22470</x:v>
      </x:c>
      <x:c r="B1268" s="10" t="n">
        <x:v>1</x:v>
      </x:c>
      <x:c r="C1268" s="9" t="d">
        <x:v>2011-10-19T00:00:00.000Z</x:v>
      </x:c>
      <x:c r="D1268" s="9" t="d">
        <x:v>2011-10-22T00:00:00.000Z</x:v>
      </x:c>
      <x:c r="E1268" s="1" t="str">
        <x:v>naive</x:v>
      </x:c>
      <x:c r="F1268" s="10" t="n">
        <x:v>0</x:v>
      </x:c>
      <x:c r="G1268" s="10" t="n">
        <x:v>16</x:v>
      </x:c>
      <x:c r="H1268" s="10" t="n">
        <x:f>ABS(G1268-F1268)</x:f>
        <x:v>16</x:v>
      </x:c>
      <x:c r="I1268" s="10" t="n">
        <x:f>G1268-F1268</x:f>
        <x:v>16</x:v>
      </x:c>
    </x:row>
    <x:row r="1269" ht="20" customHeight="1">
      <x:c r="A1269" s="1" t="str">
        <x:v>22470</x:v>
      </x:c>
      <x:c r="B1269" s="10" t="n">
        <x:v>1</x:v>
      </x:c>
      <x:c r="C1269" s="9" t="d">
        <x:v>2011-10-19T00:00:00.000Z</x:v>
      </x:c>
      <x:c r="D1269" s="9" t="d">
        <x:v>2011-10-23T00:00:00.000Z</x:v>
      </x:c>
      <x:c r="E1269" s="1" t="str">
        <x:v>naive</x:v>
      </x:c>
      <x:c r="F1269" s="10" t="n">
        <x:v>13</x:v>
      </x:c>
      <x:c r="G1269" s="10" t="n">
        <x:v>16</x:v>
      </x:c>
      <x:c r="H1269" s="10" t="n">
        <x:f>ABS(G1269-F1269)</x:f>
        <x:v>3</x:v>
      </x:c>
      <x:c r="I1269" s="10" t="n">
        <x:f>G1269-F1269</x:f>
        <x:v>3</x:v>
      </x:c>
    </x:row>
    <x:row r="1270" ht="20" customHeight="1">
      <x:c r="A1270" s="1" t="str">
        <x:v>22470</x:v>
      </x:c>
      <x:c r="B1270" s="10" t="n">
        <x:v>1</x:v>
      </x:c>
      <x:c r="C1270" s="9" t="d">
        <x:v>2011-10-19T00:00:00.000Z</x:v>
      </x:c>
      <x:c r="D1270" s="9" t="d">
        <x:v>2011-10-24T00:00:00.000Z</x:v>
      </x:c>
      <x:c r="E1270" s="1" t="str">
        <x:v>naive</x:v>
      </x:c>
      <x:c r="F1270" s="10" t="n">
        <x:v>43</x:v>
      </x:c>
      <x:c r="G1270" s="10" t="n">
        <x:v>16</x:v>
      </x:c>
      <x:c r="H1270" s="10" t="n">
        <x:f>ABS(G1270-F1270)</x:f>
        <x:v>27</x:v>
      </x:c>
      <x:c r="I1270" s="10" t="n">
        <x:f>G1270-F1270</x:f>
        <x:v>-27</x:v>
      </x:c>
    </x:row>
    <x:row r="1271" ht="20" customHeight="1">
      <x:c r="A1271" s="1" t="str">
        <x:v>22470</x:v>
      </x:c>
      <x:c r="B1271" s="10" t="n">
        <x:v>1</x:v>
      </x:c>
      <x:c r="C1271" s="9" t="d">
        <x:v>2011-10-19T00:00:00.000Z</x:v>
      </x:c>
      <x:c r="D1271" s="9" t="d">
        <x:v>2011-10-25T00:00:00.000Z</x:v>
      </x:c>
      <x:c r="E1271" s="1" t="str">
        <x:v>naive</x:v>
      </x:c>
      <x:c r="F1271" s="10" t="n">
        <x:v>2</x:v>
      </x:c>
      <x:c r="G1271" s="10" t="n">
        <x:v>16</x:v>
      </x:c>
      <x:c r="H1271" s="10" t="n">
        <x:f>ABS(G1271-F1271)</x:f>
        <x:v>14</x:v>
      </x:c>
      <x:c r="I1271" s="10" t="n">
        <x:f>G1271-F1271</x:f>
        <x:v>14</x:v>
      </x:c>
    </x:row>
    <x:row r="1272" ht="20" customHeight="1">
      <x:c r="A1272" s="1" t="str">
        <x:v>22470</x:v>
      </x:c>
      <x:c r="B1272" s="10" t="n">
        <x:v>1</x:v>
      </x:c>
      <x:c r="C1272" s="9" t="d">
        <x:v>2011-10-19T00:00:00.000Z</x:v>
      </x:c>
      <x:c r="D1272" s="9" t="d">
        <x:v>2011-10-26T00:00:00.000Z</x:v>
      </x:c>
      <x:c r="E1272" s="1" t="str">
        <x:v>naive</x:v>
      </x:c>
      <x:c r="F1272" s="10" t="n">
        <x:v>6</x:v>
      </x:c>
      <x:c r="G1272" s="10" t="n">
        <x:v>16</x:v>
      </x:c>
      <x:c r="H1272" s="10" t="n">
        <x:f>ABS(G1272-F1272)</x:f>
        <x:v>10</x:v>
      </x:c>
      <x:c r="I1272" s="10" t="n">
        <x:f>G1272-F1272</x:f>
        <x:v>10</x:v>
      </x:c>
    </x:row>
    <x:row r="1273" ht="20" customHeight="1">
      <x:c r="A1273" s="1" t="str">
        <x:v>22470</x:v>
      </x:c>
      <x:c r="B1273" s="10" t="n">
        <x:v>1</x:v>
      </x:c>
      <x:c r="C1273" s="9" t="d">
        <x:v>2011-10-19T00:00:00.000Z</x:v>
      </x:c>
      <x:c r="D1273" s="9" t="d">
        <x:v>2011-10-27T00:00:00.000Z</x:v>
      </x:c>
      <x:c r="E1273" s="1" t="str">
        <x:v>naive</x:v>
      </x:c>
      <x:c r="F1273" s="10" t="n">
        <x:v>15</x:v>
      </x:c>
      <x:c r="G1273" s="10" t="n">
        <x:v>16</x:v>
      </x:c>
      <x:c r="H1273" s="10" t="n">
        <x:f>ABS(G1273-F1273)</x:f>
        <x:v>1</x:v>
      </x:c>
      <x:c r="I1273" s="10" t="n">
        <x:f>G1273-F1273</x:f>
        <x:v>1</x:v>
      </x:c>
    </x:row>
    <x:row r="1274" ht="20" customHeight="1">
      <x:c r="A1274" s="1" t="str">
        <x:v>22470</x:v>
      </x:c>
      <x:c r="B1274" s="10" t="n">
        <x:v>1</x:v>
      </x:c>
      <x:c r="C1274" s="9" t="d">
        <x:v>2011-10-19T00:00:00.000Z</x:v>
      </x:c>
      <x:c r="D1274" s="9" t="d">
        <x:v>2011-10-28T00:00:00.000Z</x:v>
      </x:c>
      <x:c r="E1274" s="1" t="str">
        <x:v>naive</x:v>
      </x:c>
      <x:c r="F1274" s="10" t="n">
        <x:v>37</x:v>
      </x:c>
      <x:c r="G1274" s="10" t="n">
        <x:v>16</x:v>
      </x:c>
      <x:c r="H1274" s="10" t="n">
        <x:f>ABS(G1274-F1274)</x:f>
        <x:v>21</x:v>
      </x:c>
      <x:c r="I1274" s="10" t="n">
        <x:f>G1274-F1274</x:f>
        <x:v>-21</x:v>
      </x:c>
    </x:row>
    <x:row r="1275" ht="20" customHeight="1">
      <x:c r="A1275" s="1" t="str">
        <x:v>22470</x:v>
      </x:c>
      <x:c r="B1275" s="10" t="n">
        <x:v>1</x:v>
      </x:c>
      <x:c r="C1275" s="9" t="d">
        <x:v>2011-10-19T00:00:00.000Z</x:v>
      </x:c>
      <x:c r="D1275" s="9" t="d">
        <x:v>2011-10-29T00:00:00.000Z</x:v>
      </x:c>
      <x:c r="E1275" s="1" t="str">
        <x:v>naive</x:v>
      </x:c>
      <x:c r="F1275" s="10" t="n">
        <x:v>0</x:v>
      </x:c>
      <x:c r="G1275" s="10" t="n">
        <x:v>16</x:v>
      </x:c>
      <x:c r="H1275" s="10" t="n">
        <x:f>ABS(G1275-F1275)</x:f>
        <x:v>16</x:v>
      </x:c>
      <x:c r="I1275" s="10" t="n">
        <x:f>G1275-F1275</x:f>
        <x:v>16</x:v>
      </x:c>
    </x:row>
    <x:row r="1276" ht="20" customHeight="1">
      <x:c r="A1276" s="1" t="str">
        <x:v>22470</x:v>
      </x:c>
      <x:c r="B1276" s="10" t="n">
        <x:v>1</x:v>
      </x:c>
      <x:c r="C1276" s="9" t="d">
        <x:v>2011-10-19T00:00:00.000Z</x:v>
      </x:c>
      <x:c r="D1276" s="9" t="d">
        <x:v>2011-10-30T00:00:00.000Z</x:v>
      </x:c>
      <x:c r="E1276" s="1" t="str">
        <x:v>naive</x:v>
      </x:c>
      <x:c r="F1276" s="10" t="n">
        <x:v>61</x:v>
      </x:c>
      <x:c r="G1276" s="10" t="n">
        <x:v>16</x:v>
      </x:c>
      <x:c r="H1276" s="10" t="n">
        <x:f>ABS(G1276-F1276)</x:f>
        <x:v>45</x:v>
      </x:c>
      <x:c r="I1276" s="10" t="n">
        <x:f>G1276-F1276</x:f>
        <x:v>-45</x:v>
      </x:c>
    </x:row>
    <x:row r="1277" ht="20" customHeight="1">
      <x:c r="A1277" s="1" t="str">
        <x:v>22470</x:v>
      </x:c>
      <x:c r="B1277" s="10" t="n">
        <x:v>1</x:v>
      </x:c>
      <x:c r="C1277" s="9" t="d">
        <x:v>2011-10-19T00:00:00.000Z</x:v>
      </x:c>
      <x:c r="D1277" s="9" t="d">
        <x:v>2011-10-31T00:00:00.000Z</x:v>
      </x:c>
      <x:c r="E1277" s="1" t="str">
        <x:v>naive</x:v>
      </x:c>
      <x:c r="F1277" s="10" t="n">
        <x:v>30</x:v>
      </x:c>
      <x:c r="G1277" s="10" t="n">
        <x:v>16</x:v>
      </x:c>
      <x:c r="H1277" s="10" t="n">
        <x:f>ABS(G1277-F1277)</x:f>
        <x:v>14</x:v>
      </x:c>
      <x:c r="I1277" s="10" t="n">
        <x:f>G1277-F1277</x:f>
        <x:v>-14</x:v>
      </x:c>
    </x:row>
    <x:row r="1278" ht="20" customHeight="1">
      <x:c r="A1278" s="1" t="str">
        <x:v>22470</x:v>
      </x:c>
      <x:c r="B1278" s="10" t="n">
        <x:v>1</x:v>
      </x:c>
      <x:c r="C1278" s="9" t="d">
        <x:v>2011-10-19T00:00:00.000Z</x:v>
      </x:c>
      <x:c r="D1278" s="9" t="d">
        <x:v>2011-11-01T00:00:00.000Z</x:v>
      </x:c>
      <x:c r="E1278" s="1" t="str">
        <x:v>naive</x:v>
      </x:c>
      <x:c r="F1278" s="10" t="n">
        <x:v>21</x:v>
      </x:c>
      <x:c r="G1278" s="10" t="n">
        <x:v>16</x:v>
      </x:c>
      <x:c r="H1278" s="10" t="n">
        <x:f>ABS(G1278-F1278)</x:f>
        <x:v>5</x:v>
      </x:c>
      <x:c r="I1278" s="10" t="n">
        <x:f>G1278-F1278</x:f>
        <x:v>-5</x:v>
      </x:c>
    </x:row>
    <x:row r="1279" ht="20" customHeight="1">
      <x:c r="A1279" s="1" t="str">
        <x:v>22470</x:v>
      </x:c>
      <x:c r="B1279" s="10" t="n">
        <x:v>1</x:v>
      </x:c>
      <x:c r="C1279" s="9" t="d">
        <x:v>2011-10-19T00:00:00.000Z</x:v>
      </x:c>
      <x:c r="D1279" s="9" t="d">
        <x:v>2011-11-02T00:00:00.000Z</x:v>
      </x:c>
      <x:c r="E1279" s="1" t="str">
        <x:v>naive</x:v>
      </x:c>
      <x:c r="F1279" s="10" t="n">
        <x:v>18</x:v>
      </x:c>
      <x:c r="G1279" s="10" t="n">
        <x:v>16</x:v>
      </x:c>
      <x:c r="H1279" s="10" t="n">
        <x:f>ABS(G1279-F1279)</x:f>
        <x:v>2</x:v>
      </x:c>
      <x:c r="I1279" s="10" t="n">
        <x:f>G1279-F1279</x:f>
        <x:v>-2</x:v>
      </x:c>
    </x:row>
    <x:row r="1280" ht="20" customHeight="1">
      <x:c r="A1280" s="1" t="str">
        <x:v>22470</x:v>
      </x:c>
      <x:c r="B1280" s="10" t="n">
        <x:v>1</x:v>
      </x:c>
      <x:c r="C1280" s="9" t="d">
        <x:v>2011-10-19T00:00:00.000Z</x:v>
      </x:c>
      <x:c r="D1280" s="9" t="d">
        <x:v>2011-10-20T00:00:00.000Z</x:v>
      </x:c>
      <x:c r="E1280" s="1" t="str">
        <x:v>seasonal_naive</x:v>
      </x:c>
      <x:c r="F1280" s="10" t="n">
        <x:v>2</x:v>
      </x:c>
      <x:c r="G1280" s="10" t="n">
        <x:v>15</x:v>
      </x:c>
      <x:c r="H1280" s="10" t="n">
        <x:f>ABS(G1280-F1280)</x:f>
        <x:v>13</x:v>
      </x:c>
      <x:c r="I1280" s="10" t="n">
        <x:f>G1280-F1280</x:f>
        <x:v>13</x:v>
      </x:c>
    </x:row>
    <x:row r="1281" ht="20" customHeight="1">
      <x:c r="A1281" s="1" t="str">
        <x:v>22470</x:v>
      </x:c>
      <x:c r="B1281" s="10" t="n">
        <x:v>1</x:v>
      </x:c>
      <x:c r="C1281" s="9" t="d">
        <x:v>2011-10-19T00:00:00.000Z</x:v>
      </x:c>
      <x:c r="D1281" s="9" t="d">
        <x:v>2011-10-21T00:00:00.000Z</x:v>
      </x:c>
      <x:c r="E1281" s="1" t="str">
        <x:v>seasonal_naive</x:v>
      </x:c>
      <x:c r="F1281" s="10" t="n">
        <x:v>0</x:v>
      </x:c>
      <x:c r="G1281" s="10" t="n">
        <x:v>18</x:v>
      </x:c>
      <x:c r="H1281" s="10" t="n">
        <x:f>ABS(G1281-F1281)</x:f>
        <x:v>18</x:v>
      </x:c>
      <x:c r="I1281" s="10" t="n">
        <x:f>G1281-F1281</x:f>
        <x:v>18</x:v>
      </x:c>
    </x:row>
    <x:row r="1282" ht="20" customHeight="1">
      <x:c r="A1282" s="1" t="str">
        <x:v>22470</x:v>
      </x:c>
      <x:c r="B1282" s="10" t="n">
        <x:v>1</x:v>
      </x:c>
      <x:c r="C1282" s="9" t="d">
        <x:v>2011-10-19T00:00:00.000Z</x:v>
      </x:c>
      <x:c r="D1282" s="9" t="d">
        <x:v>2011-10-22T00:00:00.000Z</x:v>
      </x:c>
      <x:c r="E1282" s="1" t="str">
        <x:v>seasonal_naive</x:v>
      </x:c>
      <x:c r="F1282" s="10" t="n">
        <x:v>0</x:v>
      </x:c>
      <x:c r="G1282" s="10" t="n">
        <x:v>0</x:v>
      </x:c>
      <x:c r="H1282" s="10" t="n">
        <x:f>ABS(G1282-F1282)</x:f>
        <x:v>0</x:v>
      </x:c>
      <x:c r="I1282" s="10" t="n">
        <x:f>G1282-F1282</x:f>
        <x:v>0</x:v>
      </x:c>
    </x:row>
    <x:row r="1283" ht="20" customHeight="1">
      <x:c r="A1283" s="1" t="str">
        <x:v>22470</x:v>
      </x:c>
      <x:c r="B1283" s="10" t="n">
        <x:v>1</x:v>
      </x:c>
      <x:c r="C1283" s="9" t="d">
        <x:v>2011-10-19T00:00:00.000Z</x:v>
      </x:c>
      <x:c r="D1283" s="9" t="d">
        <x:v>2011-10-23T00:00:00.000Z</x:v>
      </x:c>
      <x:c r="E1283" s="1" t="str">
        <x:v>seasonal_naive</x:v>
      </x:c>
      <x:c r="F1283" s="10" t="n">
        <x:v>13</x:v>
      </x:c>
      <x:c r="G1283" s="10" t="n">
        <x:v>23</x:v>
      </x:c>
      <x:c r="H1283" s="10" t="n">
        <x:f>ABS(G1283-F1283)</x:f>
        <x:v>10</x:v>
      </x:c>
      <x:c r="I1283" s="10" t="n">
        <x:f>G1283-F1283</x:f>
        <x:v>10</x:v>
      </x:c>
    </x:row>
    <x:row r="1284" ht="20" customHeight="1">
      <x:c r="A1284" s="1" t="str">
        <x:v>22470</x:v>
      </x:c>
      <x:c r="B1284" s="10" t="n">
        <x:v>1</x:v>
      </x:c>
      <x:c r="C1284" s="9" t="d">
        <x:v>2011-10-19T00:00:00.000Z</x:v>
      </x:c>
      <x:c r="D1284" s="9" t="d">
        <x:v>2011-10-24T00:00:00.000Z</x:v>
      </x:c>
      <x:c r="E1284" s="1" t="str">
        <x:v>seasonal_naive</x:v>
      </x:c>
      <x:c r="F1284" s="10" t="n">
        <x:v>43</x:v>
      </x:c>
      <x:c r="G1284" s="10" t="n">
        <x:v>38</x:v>
      </x:c>
      <x:c r="H1284" s="10" t="n">
        <x:f>ABS(G1284-F1284)</x:f>
        <x:v>5</x:v>
      </x:c>
      <x:c r="I1284" s="10" t="n">
        <x:f>G1284-F1284</x:f>
        <x:v>-5</x:v>
      </x:c>
    </x:row>
    <x:row r="1285" ht="20" customHeight="1">
      <x:c r="A1285" s="1" t="str">
        <x:v>22470</x:v>
      </x:c>
      <x:c r="B1285" s="10" t="n">
        <x:v>1</x:v>
      </x:c>
      <x:c r="C1285" s="9" t="d">
        <x:v>2011-10-19T00:00:00.000Z</x:v>
      </x:c>
      <x:c r="D1285" s="9" t="d">
        <x:v>2011-10-25T00:00:00.000Z</x:v>
      </x:c>
      <x:c r="E1285" s="1" t="str">
        <x:v>seasonal_naive</x:v>
      </x:c>
      <x:c r="F1285" s="10" t="n">
        <x:v>2</x:v>
      </x:c>
      <x:c r="G1285" s="10" t="n">
        <x:v>11</x:v>
      </x:c>
      <x:c r="H1285" s="10" t="n">
        <x:f>ABS(G1285-F1285)</x:f>
        <x:v>9</x:v>
      </x:c>
      <x:c r="I1285" s="10" t="n">
        <x:f>G1285-F1285</x:f>
        <x:v>9</x:v>
      </x:c>
    </x:row>
    <x:row r="1286" ht="20" customHeight="1">
      <x:c r="A1286" s="1" t="str">
        <x:v>22470</x:v>
      </x:c>
      <x:c r="B1286" s="10" t="n">
        <x:v>1</x:v>
      </x:c>
      <x:c r="C1286" s="9" t="d">
        <x:v>2011-10-19T00:00:00.000Z</x:v>
      </x:c>
      <x:c r="D1286" s="9" t="d">
        <x:v>2011-10-26T00:00:00.000Z</x:v>
      </x:c>
      <x:c r="E1286" s="1" t="str">
        <x:v>seasonal_naive</x:v>
      </x:c>
      <x:c r="F1286" s="10" t="n">
        <x:v>6</x:v>
      </x:c>
      <x:c r="G1286" s="10" t="n">
        <x:v>16</x:v>
      </x:c>
      <x:c r="H1286" s="10" t="n">
        <x:f>ABS(G1286-F1286)</x:f>
        <x:v>10</x:v>
      </x:c>
      <x:c r="I1286" s="10" t="n">
        <x:f>G1286-F1286</x:f>
        <x:v>10</x:v>
      </x:c>
    </x:row>
    <x:row r="1287" ht="20" customHeight="1">
      <x:c r="A1287" s="1" t="str">
        <x:v>22470</x:v>
      </x:c>
      <x:c r="B1287" s="10" t="n">
        <x:v>1</x:v>
      </x:c>
      <x:c r="C1287" s="9" t="d">
        <x:v>2011-10-19T00:00:00.000Z</x:v>
      </x:c>
      <x:c r="D1287" s="9" t="d">
        <x:v>2011-10-27T00:00:00.000Z</x:v>
      </x:c>
      <x:c r="E1287" s="1" t="str">
        <x:v>seasonal_naive</x:v>
      </x:c>
      <x:c r="F1287" s="10" t="n">
        <x:v>15</x:v>
      </x:c>
      <x:c r="G1287" s="10" t="n">
        <x:v>15</x:v>
      </x:c>
      <x:c r="H1287" s="10" t="n">
        <x:f>ABS(G1287-F1287)</x:f>
        <x:v>0</x:v>
      </x:c>
      <x:c r="I1287" s="10" t="n">
        <x:f>G1287-F1287</x:f>
        <x:v>0</x:v>
      </x:c>
    </x:row>
    <x:row r="1288" ht="20" customHeight="1">
      <x:c r="A1288" s="1" t="str">
        <x:v>22470</x:v>
      </x:c>
      <x:c r="B1288" s="10" t="n">
        <x:v>1</x:v>
      </x:c>
      <x:c r="C1288" s="9" t="d">
        <x:v>2011-10-19T00:00:00.000Z</x:v>
      </x:c>
      <x:c r="D1288" s="9" t="d">
        <x:v>2011-10-28T00:00:00.000Z</x:v>
      </x:c>
      <x:c r="E1288" s="1" t="str">
        <x:v>seasonal_naive</x:v>
      </x:c>
      <x:c r="F1288" s="10" t="n">
        <x:v>37</x:v>
      </x:c>
      <x:c r="G1288" s="10" t="n">
        <x:v>18</x:v>
      </x:c>
      <x:c r="H1288" s="10" t="n">
        <x:f>ABS(G1288-F1288)</x:f>
        <x:v>19</x:v>
      </x:c>
      <x:c r="I1288" s="10" t="n">
        <x:f>G1288-F1288</x:f>
        <x:v>-19</x:v>
      </x:c>
    </x:row>
    <x:row r="1289" ht="20" customHeight="1">
      <x:c r="A1289" s="1" t="str">
        <x:v>22470</x:v>
      </x:c>
      <x:c r="B1289" s="10" t="n">
        <x:v>1</x:v>
      </x:c>
      <x:c r="C1289" s="9" t="d">
        <x:v>2011-10-19T00:00:00.000Z</x:v>
      </x:c>
      <x:c r="D1289" s="9" t="d">
        <x:v>2011-10-29T00:00:00.000Z</x:v>
      </x:c>
      <x:c r="E1289" s="1" t="str">
        <x:v>seasonal_naive</x:v>
      </x:c>
      <x:c r="F1289" s="10" t="n">
        <x:v>0</x:v>
      </x:c>
      <x:c r="G1289" s="10" t="n">
        <x:v>0</x:v>
      </x:c>
      <x:c r="H1289" s="10" t="n">
        <x:f>ABS(G1289-F1289)</x:f>
        <x:v>0</x:v>
      </x:c>
      <x:c r="I1289" s="10" t="n">
        <x:f>G1289-F1289</x:f>
        <x:v>0</x:v>
      </x:c>
    </x:row>
    <x:row r="1290" ht="20" customHeight="1">
      <x:c r="A1290" s="1" t="str">
        <x:v>22470</x:v>
      </x:c>
      <x:c r="B1290" s="10" t="n">
        <x:v>1</x:v>
      </x:c>
      <x:c r="C1290" s="9" t="d">
        <x:v>2011-10-19T00:00:00.000Z</x:v>
      </x:c>
      <x:c r="D1290" s="9" t="d">
        <x:v>2011-10-30T00:00:00.000Z</x:v>
      </x:c>
      <x:c r="E1290" s="1" t="str">
        <x:v>seasonal_naive</x:v>
      </x:c>
      <x:c r="F1290" s="10" t="n">
        <x:v>61</x:v>
      </x:c>
      <x:c r="G1290" s="10" t="n">
        <x:v>23</x:v>
      </x:c>
      <x:c r="H1290" s="10" t="n">
        <x:f>ABS(G1290-F1290)</x:f>
        <x:v>38</x:v>
      </x:c>
      <x:c r="I1290" s="10" t="n">
        <x:f>G1290-F1290</x:f>
        <x:v>-38</x:v>
      </x:c>
    </x:row>
    <x:row r="1291" ht="20" customHeight="1">
      <x:c r="A1291" s="1" t="str">
        <x:v>22470</x:v>
      </x:c>
      <x:c r="B1291" s="10" t="n">
        <x:v>1</x:v>
      </x:c>
      <x:c r="C1291" s="9" t="d">
        <x:v>2011-10-19T00:00:00.000Z</x:v>
      </x:c>
      <x:c r="D1291" s="9" t="d">
        <x:v>2011-10-31T00:00:00.000Z</x:v>
      </x:c>
      <x:c r="E1291" s="1" t="str">
        <x:v>seasonal_naive</x:v>
      </x:c>
      <x:c r="F1291" s="10" t="n">
        <x:v>30</x:v>
      </x:c>
      <x:c r="G1291" s="10" t="n">
        <x:v>38</x:v>
      </x:c>
      <x:c r="H1291" s="10" t="n">
        <x:f>ABS(G1291-F1291)</x:f>
        <x:v>8</x:v>
      </x:c>
      <x:c r="I1291" s="10" t="n">
        <x:f>G1291-F1291</x:f>
        <x:v>8</x:v>
      </x:c>
    </x:row>
    <x:row r="1292" ht="20" customHeight="1">
      <x:c r="A1292" s="1" t="str">
        <x:v>22470</x:v>
      </x:c>
      <x:c r="B1292" s="10" t="n">
        <x:v>1</x:v>
      </x:c>
      <x:c r="C1292" s="9" t="d">
        <x:v>2011-10-19T00:00:00.000Z</x:v>
      </x:c>
      <x:c r="D1292" s="9" t="d">
        <x:v>2011-11-01T00:00:00.000Z</x:v>
      </x:c>
      <x:c r="E1292" s="1" t="str">
        <x:v>seasonal_naive</x:v>
      </x:c>
      <x:c r="F1292" s="10" t="n">
        <x:v>21</x:v>
      </x:c>
      <x:c r="G1292" s="10" t="n">
        <x:v>11</x:v>
      </x:c>
      <x:c r="H1292" s="10" t="n">
        <x:f>ABS(G1292-F1292)</x:f>
        <x:v>10</x:v>
      </x:c>
      <x:c r="I1292" s="10" t="n">
        <x:f>G1292-F1292</x:f>
        <x:v>-10</x:v>
      </x:c>
    </x:row>
    <x:row r="1293" ht="20" customHeight="1">
      <x:c r="A1293" s="1" t="str">
        <x:v>22470</x:v>
      </x:c>
      <x:c r="B1293" s="10" t="n">
        <x:v>1</x:v>
      </x:c>
      <x:c r="C1293" s="9" t="d">
        <x:v>2011-10-19T00:00:00.000Z</x:v>
      </x:c>
      <x:c r="D1293" s="9" t="d">
        <x:v>2011-11-02T00:00:00.000Z</x:v>
      </x:c>
      <x:c r="E1293" s="1" t="str">
        <x:v>seasonal_naive</x:v>
      </x:c>
      <x:c r="F1293" s="10" t="n">
        <x:v>18</x:v>
      </x:c>
      <x:c r="G1293" s="10" t="n">
        <x:v>16</x:v>
      </x:c>
      <x:c r="H1293" s="10" t="n">
        <x:f>ABS(G1293-F1293)</x:f>
        <x:v>2</x:v>
      </x:c>
      <x:c r="I1293" s="10" t="n">
        <x:f>G1293-F1293</x:f>
        <x:v>-2</x:v>
      </x:c>
    </x:row>
    <x:row r="1294" ht="20" customHeight="1">
      <x:c r="A1294" s="1" t="str">
        <x:v>22470</x:v>
      </x:c>
      <x:c r="B1294" s="10" t="n">
        <x:v>1</x:v>
      </x:c>
      <x:c r="C1294" s="9" t="d">
        <x:v>2011-10-19T00:00:00.000Z</x:v>
      </x:c>
      <x:c r="D1294" s="9" t="d">
        <x:v>2011-10-20T00:00:00.000Z</x:v>
      </x:c>
      <x:c r="E1294" s="1" t="str">
        <x:v>ridge</x:v>
      </x:c>
      <x:c r="F1294" s="10" t="n">
        <x:v>2</x:v>
      </x:c>
      <x:c r="G1294" s="10" t="n">
        <x:v>23.5084009407</x:v>
      </x:c>
      <x:c r="H1294" s="10" t="n">
        <x:f>ABS(G1294-F1294)</x:f>
        <x:v>21.5084009407</x:v>
      </x:c>
      <x:c r="I1294" s="10" t="n">
        <x:f>G1294-F1294</x:f>
        <x:v>21.5084009407</x:v>
      </x:c>
    </x:row>
    <x:row r="1295" ht="20" customHeight="1">
      <x:c r="A1295" s="1" t="str">
        <x:v>22470</x:v>
      </x:c>
      <x:c r="B1295" s="10" t="n">
        <x:v>1</x:v>
      </x:c>
      <x:c r="C1295" s="9" t="d">
        <x:v>2011-10-19T00:00:00.000Z</x:v>
      </x:c>
      <x:c r="D1295" s="9" t="d">
        <x:v>2011-10-21T00:00:00.000Z</x:v>
      </x:c>
      <x:c r="E1295" s="1" t="str">
        <x:v>ridge</x:v>
      </x:c>
      <x:c r="F1295" s="10" t="n">
        <x:v>0</x:v>
      </x:c>
      <x:c r="G1295" s="10" t="n">
        <x:v>6.1067572483</x:v>
      </x:c>
      <x:c r="H1295" s="10" t="n">
        <x:f>ABS(G1295-F1295)</x:f>
        <x:v>6.1067572483</x:v>
      </x:c>
      <x:c r="I1295" s="10" t="n">
        <x:f>G1295-F1295</x:f>
        <x:v>6.1067572483</x:v>
      </x:c>
    </x:row>
    <x:row r="1296" ht="20" customHeight="1">
      <x:c r="A1296" s="1" t="str">
        <x:v>22470</x:v>
      </x:c>
      <x:c r="B1296" s="10" t="n">
        <x:v>1</x:v>
      </x:c>
      <x:c r="C1296" s="9" t="d">
        <x:v>2011-10-19T00:00:00.000Z</x:v>
      </x:c>
      <x:c r="D1296" s="9" t="d">
        <x:v>2011-10-22T00:00:00.000Z</x:v>
      </x:c>
      <x:c r="E1296" s="1" t="str">
        <x:v>ridge</x:v>
      </x:c>
      <x:c r="F1296" s="10" t="n">
        <x:v>0</x:v>
      </x:c>
      <x:c r="G1296" s="10" t="n">
        <x:v>1.9937730986</x:v>
      </x:c>
      <x:c r="H1296" s="10" t="n">
        <x:f>ABS(G1296-F1296)</x:f>
        <x:v>1.9937730986</x:v>
      </x:c>
      <x:c r="I1296" s="10" t="n">
        <x:f>G1296-F1296</x:f>
        <x:v>1.9937730986</x:v>
      </x:c>
    </x:row>
    <x:row r="1297" ht="20" customHeight="1">
      <x:c r="A1297" s="1" t="str">
        <x:v>22470</x:v>
      </x:c>
      <x:c r="B1297" s="10" t="n">
        <x:v>1</x:v>
      </x:c>
      <x:c r="C1297" s="9" t="d">
        <x:v>2011-10-19T00:00:00.000Z</x:v>
      </x:c>
      <x:c r="D1297" s="9" t="d">
        <x:v>2011-10-23T00:00:00.000Z</x:v>
      </x:c>
      <x:c r="E1297" s="1" t="str">
        <x:v>ridge</x:v>
      </x:c>
      <x:c r="F1297" s="10" t="n">
        <x:v>13</x:v>
      </x:c>
      <x:c r="G1297" s="10" t="n">
        <x:v>12.4576477572</x:v>
      </x:c>
      <x:c r="H1297" s="10" t="n">
        <x:f>ABS(G1297-F1297)</x:f>
        <x:v>0.5423522427999998</x:v>
      </x:c>
      <x:c r="I1297" s="10" t="n">
        <x:f>G1297-F1297</x:f>
        <x:v>-0.5423522427999998</x:v>
      </x:c>
    </x:row>
    <x:row r="1298" ht="20" customHeight="1">
      <x:c r="A1298" s="1" t="str">
        <x:v>22470</x:v>
      </x:c>
      <x:c r="B1298" s="10" t="n">
        <x:v>1</x:v>
      </x:c>
      <x:c r="C1298" s="9" t="d">
        <x:v>2011-10-19T00:00:00.000Z</x:v>
      </x:c>
      <x:c r="D1298" s="9" t="d">
        <x:v>2011-10-24T00:00:00.000Z</x:v>
      </x:c>
      <x:c r="E1298" s="1" t="str">
        <x:v>ridge</x:v>
      </x:c>
      <x:c r="F1298" s="10" t="n">
        <x:v>43</x:v>
      </x:c>
      <x:c r="G1298" s="10" t="n">
        <x:v>30.3120098753</x:v>
      </x:c>
      <x:c r="H1298" s="10" t="n">
        <x:f>ABS(G1298-F1298)</x:f>
        <x:v>12.6879901247</x:v>
      </x:c>
      <x:c r="I1298" s="10" t="n">
        <x:f>G1298-F1298</x:f>
        <x:v>-12.6879901247</x:v>
      </x:c>
    </x:row>
    <x:row r="1299" ht="20" customHeight="1">
      <x:c r="A1299" s="1" t="str">
        <x:v>22470</x:v>
      </x:c>
      <x:c r="B1299" s="10" t="n">
        <x:v>1</x:v>
      </x:c>
      <x:c r="C1299" s="9" t="d">
        <x:v>2011-10-19T00:00:00.000Z</x:v>
      </x:c>
      <x:c r="D1299" s="9" t="d">
        <x:v>2011-10-25T00:00:00.000Z</x:v>
      </x:c>
      <x:c r="E1299" s="1" t="str">
        <x:v>ridge</x:v>
      </x:c>
      <x:c r="F1299" s="10" t="n">
        <x:v>2</x:v>
      </x:c>
      <x:c r="G1299" s="10" t="n">
        <x:v>42.2969922377</x:v>
      </x:c>
      <x:c r="H1299" s="10" t="n">
        <x:f>ABS(G1299-F1299)</x:f>
        <x:v>40.2969922377</x:v>
      </x:c>
      <x:c r="I1299" s="10" t="n">
        <x:f>G1299-F1299</x:f>
        <x:v>40.2969922377</x:v>
      </x:c>
    </x:row>
    <x:row r="1300" ht="20" customHeight="1">
      <x:c r="A1300" s="1" t="str">
        <x:v>22470</x:v>
      </x:c>
      <x:c r="B1300" s="10" t="n">
        <x:v>1</x:v>
      </x:c>
      <x:c r="C1300" s="9" t="d">
        <x:v>2011-10-19T00:00:00.000Z</x:v>
      </x:c>
      <x:c r="D1300" s="9" t="d">
        <x:v>2011-10-26T00:00:00.000Z</x:v>
      </x:c>
      <x:c r="E1300" s="1" t="str">
        <x:v>ridge</x:v>
      </x:c>
      <x:c r="F1300" s="10" t="n">
        <x:v>6</x:v>
      </x:c>
      <x:c r="G1300" s="10" t="n">
        <x:v>39.5609701757</x:v>
      </x:c>
      <x:c r="H1300" s="10" t="n">
        <x:f>ABS(G1300-F1300)</x:f>
        <x:v>33.5609701757</x:v>
      </x:c>
      <x:c r="I1300" s="10" t="n">
        <x:f>G1300-F1300</x:f>
        <x:v>33.5609701757</x:v>
      </x:c>
    </x:row>
    <x:row r="1301" ht="20" customHeight="1">
      <x:c r="A1301" s="1" t="str">
        <x:v>22470</x:v>
      </x:c>
      <x:c r="B1301" s="10" t="n">
        <x:v>1</x:v>
      </x:c>
      <x:c r="C1301" s="9" t="d">
        <x:v>2011-10-19T00:00:00.000Z</x:v>
      </x:c>
      <x:c r="D1301" s="9" t="d">
        <x:v>2011-10-27T00:00:00.000Z</x:v>
      </x:c>
      <x:c r="E1301" s="1" t="str">
        <x:v>ridge</x:v>
      </x:c>
      <x:c r="F1301" s="10" t="n">
        <x:v>15</x:v>
      </x:c>
      <x:c r="G1301" s="10" t="n">
        <x:v>23.5395220593</x:v>
      </x:c>
      <x:c r="H1301" s="10" t="n">
        <x:f>ABS(G1301-F1301)</x:f>
        <x:v>8.539522059300001</x:v>
      </x:c>
      <x:c r="I1301" s="10" t="n">
        <x:f>G1301-F1301</x:f>
        <x:v>8.539522059300001</x:v>
      </x:c>
    </x:row>
    <x:row r="1302" ht="20" customHeight="1">
      <x:c r="A1302" s="1" t="str">
        <x:v>22470</x:v>
      </x:c>
      <x:c r="B1302" s="10" t="n">
        <x:v>1</x:v>
      </x:c>
      <x:c r="C1302" s="9" t="d">
        <x:v>2011-10-19T00:00:00.000Z</x:v>
      </x:c>
      <x:c r="D1302" s="9" t="d">
        <x:v>2011-10-28T00:00:00.000Z</x:v>
      </x:c>
      <x:c r="E1302" s="1" t="str">
        <x:v>ridge</x:v>
      </x:c>
      <x:c r="F1302" s="10" t="n">
        <x:v>37</x:v>
      </x:c>
      <x:c r="G1302" s="10" t="n">
        <x:v>7.1207756907</x:v>
      </x:c>
      <x:c r="H1302" s="10" t="n">
        <x:f>ABS(G1302-F1302)</x:f>
        <x:v>29.8792243093</x:v>
      </x:c>
      <x:c r="I1302" s="10" t="n">
        <x:f>G1302-F1302</x:f>
        <x:v>-29.8792243093</x:v>
      </x:c>
    </x:row>
    <x:row r="1303" ht="20" customHeight="1">
      <x:c r="A1303" s="1" t="str">
        <x:v>22470</x:v>
      </x:c>
      <x:c r="B1303" s="10" t="n">
        <x:v>1</x:v>
      </x:c>
      <x:c r="C1303" s="9" t="d">
        <x:v>2011-10-19T00:00:00.000Z</x:v>
      </x:c>
      <x:c r="D1303" s="9" t="d">
        <x:v>2011-10-29T00:00:00.000Z</x:v>
      </x:c>
      <x:c r="E1303" s="1" t="str">
        <x:v>ridge</x:v>
      </x:c>
      <x:c r="F1303" s="10" t="n">
        <x:v>0</x:v>
      </x:c>
      <x:c r="G1303" s="10" t="n">
        <x:v>3.0677413388</x:v>
      </x:c>
      <x:c r="H1303" s="10" t="n">
        <x:f>ABS(G1303-F1303)</x:f>
        <x:v>3.0677413388</x:v>
      </x:c>
      <x:c r="I1303" s="10" t="n">
        <x:f>G1303-F1303</x:f>
        <x:v>3.0677413388</x:v>
      </x:c>
    </x:row>
    <x:row r="1304" ht="20" customHeight="1">
      <x:c r="A1304" s="1" t="str">
        <x:v>22470</x:v>
      </x:c>
      <x:c r="B1304" s="10" t="n">
        <x:v>1</x:v>
      </x:c>
      <x:c r="C1304" s="9" t="d">
        <x:v>2011-10-19T00:00:00.000Z</x:v>
      </x:c>
      <x:c r="D1304" s="9" t="d">
        <x:v>2011-10-30T00:00:00.000Z</x:v>
      </x:c>
      <x:c r="E1304" s="1" t="str">
        <x:v>ridge</x:v>
      </x:c>
      <x:c r="F1304" s="10" t="n">
        <x:v>61</x:v>
      </x:c>
      <x:c r="G1304" s="10" t="n">
        <x:v>13.6422679347</x:v>
      </x:c>
      <x:c r="H1304" s="10" t="n">
        <x:f>ABS(G1304-F1304)</x:f>
        <x:v>47.3577320653</x:v>
      </x:c>
      <x:c r="I1304" s="10" t="n">
        <x:f>G1304-F1304</x:f>
        <x:v>-47.3577320653</x:v>
      </x:c>
    </x:row>
    <x:row r="1305" ht="20" customHeight="1">
      <x:c r="A1305" s="1" t="str">
        <x:v>22470</x:v>
      </x:c>
      <x:c r="B1305" s="10" t="n">
        <x:v>1</x:v>
      </x:c>
      <x:c r="C1305" s="9" t="d">
        <x:v>2011-10-19T00:00:00.000Z</x:v>
      </x:c>
      <x:c r="D1305" s="9" t="d">
        <x:v>2011-10-31T00:00:00.000Z</x:v>
      </x:c>
      <x:c r="E1305" s="1" t="str">
        <x:v>ridge</x:v>
      </x:c>
      <x:c r="F1305" s="10" t="n">
        <x:v>30</x:v>
      </x:c>
      <x:c r="G1305" s="10" t="n">
        <x:v>31.4714277119</x:v>
      </x:c>
      <x:c r="H1305" s="10" t="n">
        <x:f>ABS(G1305-F1305)</x:f>
        <x:v>1.4714277118999988</x:v>
      </x:c>
      <x:c r="I1305" s="10" t="n">
        <x:f>G1305-F1305</x:f>
        <x:v>1.4714277118999988</x:v>
      </x:c>
    </x:row>
    <x:row r="1306" ht="20" customHeight="1">
      <x:c r="A1306" s="1" t="str">
        <x:v>22470</x:v>
      </x:c>
      <x:c r="B1306" s="10" t="n">
        <x:v>1</x:v>
      </x:c>
      <x:c r="C1306" s="9" t="d">
        <x:v>2011-10-19T00:00:00.000Z</x:v>
      </x:c>
      <x:c r="D1306" s="9" t="d">
        <x:v>2011-11-01T00:00:00.000Z</x:v>
      </x:c>
      <x:c r="E1306" s="1" t="str">
        <x:v>ridge</x:v>
      </x:c>
      <x:c r="F1306" s="10" t="n">
        <x:v>21</x:v>
      </x:c>
      <x:c r="G1306" s="10" t="n">
        <x:v>43.8158674787</x:v>
      </x:c>
      <x:c r="H1306" s="10" t="n">
        <x:f>ABS(G1306-F1306)</x:f>
        <x:v>22.8158674787</x:v>
      </x:c>
      <x:c r="I1306" s="10" t="n">
        <x:f>G1306-F1306</x:f>
        <x:v>22.8158674787</x:v>
      </x:c>
    </x:row>
    <x:row r="1307" ht="20" customHeight="1">
      <x:c r="A1307" s="1" t="str">
        <x:v>22470</x:v>
      </x:c>
      <x:c r="B1307" s="10" t="n">
        <x:v>1</x:v>
      </x:c>
      <x:c r="C1307" s="9" t="d">
        <x:v>2011-10-19T00:00:00.000Z</x:v>
      </x:c>
      <x:c r="D1307" s="9" t="d">
        <x:v>2011-11-02T00:00:00.000Z</x:v>
      </x:c>
      <x:c r="E1307" s="1" t="str">
        <x:v>ridge</x:v>
      </x:c>
      <x:c r="F1307" s="10" t="n">
        <x:v>18</x:v>
      </x:c>
      <x:c r="G1307" s="10" t="n">
        <x:v>40.0576832986</x:v>
      </x:c>
      <x:c r="H1307" s="10" t="n">
        <x:f>ABS(G1307-F1307)</x:f>
        <x:v>22.057683298599997</x:v>
      </x:c>
      <x:c r="I1307" s="10" t="n">
        <x:f>G1307-F1307</x:f>
        <x:v>22.057683298599997</x:v>
      </x:c>
    </x:row>
    <x:row r="1308" ht="20" customHeight="1">
      <x:c r="A1308" s="1" t="str">
        <x:v>22470</x:v>
      </x:c>
      <x:c r="B1308" s="10" t="n">
        <x:v>2</x:v>
      </x:c>
      <x:c r="C1308" s="9" t="d">
        <x:v>2011-11-02T00:00:00.000Z</x:v>
      </x:c>
      <x:c r="D1308" s="9" t="d">
        <x:v>2011-11-03T00:00:00.000Z</x:v>
      </x:c>
      <x:c r="E1308" s="1" t="str">
        <x:v>naive</x:v>
      </x:c>
      <x:c r="F1308" s="10" t="n">
        <x:v>255</x:v>
      </x:c>
      <x:c r="G1308" s="10" t="n">
        <x:v>18</x:v>
      </x:c>
      <x:c r="H1308" s="10" t="n">
        <x:f>ABS(G1308-F1308)</x:f>
        <x:v>237</x:v>
      </x:c>
      <x:c r="I1308" s="10" t="n">
        <x:f>G1308-F1308</x:f>
        <x:v>-237</x:v>
      </x:c>
    </x:row>
    <x:row r="1309" ht="20" customHeight="1">
      <x:c r="A1309" s="1" t="str">
        <x:v>22470</x:v>
      </x:c>
      <x:c r="B1309" s="10" t="n">
        <x:v>2</x:v>
      </x:c>
      <x:c r="C1309" s="9" t="d">
        <x:v>2011-11-02T00:00:00.000Z</x:v>
      </x:c>
      <x:c r="D1309" s="9" t="d">
        <x:v>2011-11-04T00:00:00.000Z</x:v>
      </x:c>
      <x:c r="E1309" s="1" t="str">
        <x:v>naive</x:v>
      </x:c>
      <x:c r="F1309" s="10" t="n">
        <x:v>135</x:v>
      </x:c>
      <x:c r="G1309" s="10" t="n">
        <x:v>18</x:v>
      </x:c>
      <x:c r="H1309" s="10" t="n">
        <x:f>ABS(G1309-F1309)</x:f>
        <x:v>117</x:v>
      </x:c>
      <x:c r="I1309" s="10" t="n">
        <x:f>G1309-F1309</x:f>
        <x:v>-117</x:v>
      </x:c>
    </x:row>
    <x:row r="1310" ht="20" customHeight="1">
      <x:c r="A1310" s="1" t="str">
        <x:v>22470</x:v>
      </x:c>
      <x:c r="B1310" s="10" t="n">
        <x:v>2</x:v>
      </x:c>
      <x:c r="C1310" s="9" t="d">
        <x:v>2011-11-02T00:00:00.000Z</x:v>
      </x:c>
      <x:c r="D1310" s="9" t="d">
        <x:v>2011-11-05T00:00:00.000Z</x:v>
      </x:c>
      <x:c r="E1310" s="1" t="str">
        <x:v>naive</x:v>
      </x:c>
      <x:c r="F1310" s="10" t="n">
        <x:v>0</x:v>
      </x:c>
      <x:c r="G1310" s="10" t="n">
        <x:v>18</x:v>
      </x:c>
      <x:c r="H1310" s="10" t="n">
        <x:f>ABS(G1310-F1310)</x:f>
        <x:v>18</x:v>
      </x:c>
      <x:c r="I1310" s="10" t="n">
        <x:f>G1310-F1310</x:f>
        <x:v>18</x:v>
      </x:c>
    </x:row>
    <x:row r="1311" ht="20" customHeight="1">
      <x:c r="A1311" s="1" t="str">
        <x:v>22470</x:v>
      </x:c>
      <x:c r="B1311" s="10" t="n">
        <x:v>2</x:v>
      </x:c>
      <x:c r="C1311" s="9" t="d">
        <x:v>2011-11-02T00:00:00.000Z</x:v>
      </x:c>
      <x:c r="D1311" s="9" t="d">
        <x:v>2011-11-06T00:00:00.000Z</x:v>
      </x:c>
      <x:c r="E1311" s="1" t="str">
        <x:v>naive</x:v>
      </x:c>
      <x:c r="F1311" s="10" t="n">
        <x:v>42</x:v>
      </x:c>
      <x:c r="G1311" s="10" t="n">
        <x:v>18</x:v>
      </x:c>
      <x:c r="H1311" s="10" t="n">
        <x:f>ABS(G1311-F1311)</x:f>
        <x:v>24</x:v>
      </x:c>
      <x:c r="I1311" s="10" t="n">
        <x:f>G1311-F1311</x:f>
        <x:v>-24</x:v>
      </x:c>
    </x:row>
    <x:row r="1312" ht="20" customHeight="1">
      <x:c r="A1312" s="1" t="str">
        <x:v>22470</x:v>
      </x:c>
      <x:c r="B1312" s="10" t="n">
        <x:v>2</x:v>
      </x:c>
      <x:c r="C1312" s="9" t="d">
        <x:v>2011-11-02T00:00:00.000Z</x:v>
      </x:c>
      <x:c r="D1312" s="9" t="d">
        <x:v>2011-11-07T00:00:00.000Z</x:v>
      </x:c>
      <x:c r="E1312" s="1" t="str">
        <x:v>naive</x:v>
      </x:c>
      <x:c r="F1312" s="10" t="n">
        <x:v>59</x:v>
      </x:c>
      <x:c r="G1312" s="10" t="n">
        <x:v>18</x:v>
      </x:c>
      <x:c r="H1312" s="10" t="n">
        <x:f>ABS(G1312-F1312)</x:f>
        <x:v>41</x:v>
      </x:c>
      <x:c r="I1312" s="10" t="n">
        <x:f>G1312-F1312</x:f>
        <x:v>-41</x:v>
      </x:c>
    </x:row>
    <x:row r="1313" ht="20" customHeight="1">
      <x:c r="A1313" s="1" t="str">
        <x:v>22470</x:v>
      </x:c>
      <x:c r="B1313" s="10" t="n">
        <x:v>2</x:v>
      </x:c>
      <x:c r="C1313" s="9" t="d">
        <x:v>2011-11-02T00:00:00.000Z</x:v>
      </x:c>
      <x:c r="D1313" s="9" t="d">
        <x:v>2011-11-08T00:00:00.000Z</x:v>
      </x:c>
      <x:c r="E1313" s="1" t="str">
        <x:v>naive</x:v>
      </x:c>
      <x:c r="F1313" s="10" t="n">
        <x:v>24</x:v>
      </x:c>
      <x:c r="G1313" s="10" t="n">
        <x:v>18</x:v>
      </x:c>
      <x:c r="H1313" s="10" t="n">
        <x:f>ABS(G1313-F1313)</x:f>
        <x:v>6</x:v>
      </x:c>
      <x:c r="I1313" s="10" t="n">
        <x:f>G1313-F1313</x:f>
        <x:v>-6</x:v>
      </x:c>
    </x:row>
    <x:row r="1314" ht="20" customHeight="1">
      <x:c r="A1314" s="1" t="str">
        <x:v>22470</x:v>
      </x:c>
      <x:c r="B1314" s="10" t="n">
        <x:v>2</x:v>
      </x:c>
      <x:c r="C1314" s="9" t="d">
        <x:v>2011-11-02T00:00:00.000Z</x:v>
      </x:c>
      <x:c r="D1314" s="9" t="d">
        <x:v>2011-11-09T00:00:00.000Z</x:v>
      </x:c>
      <x:c r="E1314" s="1" t="str">
        <x:v>naive</x:v>
      </x:c>
      <x:c r="F1314" s="10" t="n">
        <x:v>6</x:v>
      </x:c>
      <x:c r="G1314" s="10" t="n">
        <x:v>18</x:v>
      </x:c>
      <x:c r="H1314" s="10" t="n">
        <x:f>ABS(G1314-F1314)</x:f>
        <x:v>12</x:v>
      </x:c>
      <x:c r="I1314" s="10" t="n">
        <x:f>G1314-F1314</x:f>
        <x:v>12</x:v>
      </x:c>
    </x:row>
    <x:row r="1315" ht="20" customHeight="1">
      <x:c r="A1315" s="1" t="str">
        <x:v>22470</x:v>
      </x:c>
      <x:c r="B1315" s="10" t="n">
        <x:v>2</x:v>
      </x:c>
      <x:c r="C1315" s="9" t="d">
        <x:v>2011-11-02T00:00:00.000Z</x:v>
      </x:c>
      <x:c r="D1315" s="9" t="d">
        <x:v>2011-11-10T00:00:00.000Z</x:v>
      </x:c>
      <x:c r="E1315" s="1" t="str">
        <x:v>naive</x:v>
      </x:c>
      <x:c r="F1315" s="10" t="n">
        <x:v>51</x:v>
      </x:c>
      <x:c r="G1315" s="10" t="n">
        <x:v>18</x:v>
      </x:c>
      <x:c r="H1315" s="10" t="n">
        <x:f>ABS(G1315-F1315)</x:f>
        <x:v>33</x:v>
      </x:c>
      <x:c r="I1315" s="10" t="n">
        <x:f>G1315-F1315</x:f>
        <x:v>-33</x:v>
      </x:c>
    </x:row>
    <x:row r="1316" ht="20" customHeight="1">
      <x:c r="A1316" s="1" t="str">
        <x:v>22470</x:v>
      </x:c>
      <x:c r="B1316" s="10" t="n">
        <x:v>2</x:v>
      </x:c>
      <x:c r="C1316" s="9" t="d">
        <x:v>2011-11-02T00:00:00.000Z</x:v>
      </x:c>
      <x:c r="D1316" s="9" t="d">
        <x:v>2011-11-11T00:00:00.000Z</x:v>
      </x:c>
      <x:c r="E1316" s="1" t="str">
        <x:v>naive</x:v>
      </x:c>
      <x:c r="F1316" s="10" t="n">
        <x:v>9</x:v>
      </x:c>
      <x:c r="G1316" s="10" t="n">
        <x:v>18</x:v>
      </x:c>
      <x:c r="H1316" s="10" t="n">
        <x:f>ABS(G1316-F1316)</x:f>
        <x:v>9</x:v>
      </x:c>
      <x:c r="I1316" s="10" t="n">
        <x:f>G1316-F1316</x:f>
        <x:v>9</x:v>
      </x:c>
    </x:row>
    <x:row r="1317" ht="20" customHeight="1">
      <x:c r="A1317" s="1" t="str">
        <x:v>22470</x:v>
      </x:c>
      <x:c r="B1317" s="10" t="n">
        <x:v>2</x:v>
      </x:c>
      <x:c r="C1317" s="9" t="d">
        <x:v>2011-11-02T00:00:00.000Z</x:v>
      </x:c>
      <x:c r="D1317" s="9" t="d">
        <x:v>2011-11-12T00:00:00.000Z</x:v>
      </x:c>
      <x:c r="E1317" s="1" t="str">
        <x:v>naive</x:v>
      </x:c>
      <x:c r="F1317" s="10" t="n">
        <x:v>0</x:v>
      </x:c>
      <x:c r="G1317" s="10" t="n">
        <x:v>18</x:v>
      </x:c>
      <x:c r="H1317" s="10" t="n">
        <x:f>ABS(G1317-F1317)</x:f>
        <x:v>18</x:v>
      </x:c>
      <x:c r="I1317" s="10" t="n">
        <x:f>G1317-F1317</x:f>
        <x:v>18</x:v>
      </x:c>
    </x:row>
    <x:row r="1318" ht="20" customHeight="1">
      <x:c r="A1318" s="1" t="str">
        <x:v>22470</x:v>
      </x:c>
      <x:c r="B1318" s="10" t="n">
        <x:v>2</x:v>
      </x:c>
      <x:c r="C1318" s="9" t="d">
        <x:v>2011-11-02T00:00:00.000Z</x:v>
      </x:c>
      <x:c r="D1318" s="9" t="d">
        <x:v>2011-11-13T00:00:00.000Z</x:v>
      </x:c>
      <x:c r="E1318" s="1" t="str">
        <x:v>naive</x:v>
      </x:c>
      <x:c r="F1318" s="10" t="n">
        <x:v>21</x:v>
      </x:c>
      <x:c r="G1318" s="10" t="n">
        <x:v>18</x:v>
      </x:c>
      <x:c r="H1318" s="10" t="n">
        <x:f>ABS(G1318-F1318)</x:f>
        <x:v>3</x:v>
      </x:c>
      <x:c r="I1318" s="10" t="n">
        <x:f>G1318-F1318</x:f>
        <x:v>-3</x:v>
      </x:c>
    </x:row>
    <x:row r="1319" ht="20" customHeight="1">
      <x:c r="A1319" s="1" t="str">
        <x:v>22470</x:v>
      </x:c>
      <x:c r="B1319" s="10" t="n">
        <x:v>2</x:v>
      </x:c>
      <x:c r="C1319" s="9" t="d">
        <x:v>2011-11-02T00:00:00.000Z</x:v>
      </x:c>
      <x:c r="D1319" s="9" t="d">
        <x:v>2011-11-14T00:00:00.000Z</x:v>
      </x:c>
      <x:c r="E1319" s="1" t="str">
        <x:v>naive</x:v>
      </x:c>
      <x:c r="F1319" s="10" t="n">
        <x:v>8</x:v>
      </x:c>
      <x:c r="G1319" s="10" t="n">
        <x:v>18</x:v>
      </x:c>
      <x:c r="H1319" s="10" t="n">
        <x:f>ABS(G1319-F1319)</x:f>
        <x:v>10</x:v>
      </x:c>
      <x:c r="I1319" s="10" t="n">
        <x:f>G1319-F1319</x:f>
        <x:v>10</x:v>
      </x:c>
    </x:row>
    <x:row r="1320" ht="20" customHeight="1">
      <x:c r="A1320" s="1" t="str">
        <x:v>22470</x:v>
      </x:c>
      <x:c r="B1320" s="10" t="n">
        <x:v>2</x:v>
      </x:c>
      <x:c r="C1320" s="9" t="d">
        <x:v>2011-11-02T00:00:00.000Z</x:v>
      </x:c>
      <x:c r="D1320" s="9" t="d">
        <x:v>2011-11-15T00:00:00.000Z</x:v>
      </x:c>
      <x:c r="E1320" s="1" t="str">
        <x:v>naive</x:v>
      </x:c>
      <x:c r="F1320" s="10" t="n">
        <x:v>27</x:v>
      </x:c>
      <x:c r="G1320" s="10" t="n">
        <x:v>18</x:v>
      </x:c>
      <x:c r="H1320" s="10" t="n">
        <x:f>ABS(G1320-F1320)</x:f>
        <x:v>9</x:v>
      </x:c>
      <x:c r="I1320" s="10" t="n">
        <x:f>G1320-F1320</x:f>
        <x:v>-9</x:v>
      </x:c>
    </x:row>
    <x:row r="1321" ht="20" customHeight="1">
      <x:c r="A1321" s="1" t="str">
        <x:v>22470</x:v>
      </x:c>
      <x:c r="B1321" s="10" t="n">
        <x:v>2</x:v>
      </x:c>
      <x:c r="C1321" s="9" t="d">
        <x:v>2011-11-02T00:00:00.000Z</x:v>
      </x:c>
      <x:c r="D1321" s="9" t="d">
        <x:v>2011-11-16T00:00:00.000Z</x:v>
      </x:c>
      <x:c r="E1321" s="1" t="str">
        <x:v>naive</x:v>
      </x:c>
      <x:c r="F1321" s="10" t="n">
        <x:v>24</x:v>
      </x:c>
      <x:c r="G1321" s="10" t="n">
        <x:v>18</x:v>
      </x:c>
      <x:c r="H1321" s="10" t="n">
        <x:f>ABS(G1321-F1321)</x:f>
        <x:v>6</x:v>
      </x:c>
      <x:c r="I1321" s="10" t="n">
        <x:f>G1321-F1321</x:f>
        <x:v>-6</x:v>
      </x:c>
    </x:row>
    <x:row r="1322" ht="20" customHeight="1">
      <x:c r="A1322" s="1" t="str">
        <x:v>22470</x:v>
      </x:c>
      <x:c r="B1322" s="10" t="n">
        <x:v>2</x:v>
      </x:c>
      <x:c r="C1322" s="9" t="d">
        <x:v>2011-11-02T00:00:00.000Z</x:v>
      </x:c>
      <x:c r="D1322" s="9" t="d">
        <x:v>2011-11-03T00:00:00.000Z</x:v>
      </x:c>
      <x:c r="E1322" s="1" t="str">
        <x:v>seasonal_naive</x:v>
      </x:c>
      <x:c r="F1322" s="10" t="n">
        <x:v>255</x:v>
      </x:c>
      <x:c r="G1322" s="10" t="n">
        <x:v>15</x:v>
      </x:c>
      <x:c r="H1322" s="10" t="n">
        <x:f>ABS(G1322-F1322)</x:f>
        <x:v>240</x:v>
      </x:c>
      <x:c r="I1322" s="10" t="n">
        <x:f>G1322-F1322</x:f>
        <x:v>-240</x:v>
      </x:c>
    </x:row>
    <x:row r="1323" ht="20" customHeight="1">
      <x:c r="A1323" s="1" t="str">
        <x:v>22470</x:v>
      </x:c>
      <x:c r="B1323" s="10" t="n">
        <x:v>2</x:v>
      </x:c>
      <x:c r="C1323" s="9" t="d">
        <x:v>2011-11-02T00:00:00.000Z</x:v>
      </x:c>
      <x:c r="D1323" s="9" t="d">
        <x:v>2011-11-04T00:00:00.000Z</x:v>
      </x:c>
      <x:c r="E1323" s="1" t="str">
        <x:v>seasonal_naive</x:v>
      </x:c>
      <x:c r="F1323" s="10" t="n">
        <x:v>135</x:v>
      </x:c>
      <x:c r="G1323" s="10" t="n">
        <x:v>37</x:v>
      </x:c>
      <x:c r="H1323" s="10" t="n">
        <x:f>ABS(G1323-F1323)</x:f>
        <x:v>98</x:v>
      </x:c>
      <x:c r="I1323" s="10" t="n">
        <x:f>G1323-F1323</x:f>
        <x:v>-98</x:v>
      </x:c>
    </x:row>
    <x:row r="1324" ht="20" customHeight="1">
      <x:c r="A1324" s="1" t="str">
        <x:v>22470</x:v>
      </x:c>
      <x:c r="B1324" s="10" t="n">
        <x:v>2</x:v>
      </x:c>
      <x:c r="C1324" s="9" t="d">
        <x:v>2011-11-02T00:00:00.000Z</x:v>
      </x:c>
      <x:c r="D1324" s="9" t="d">
        <x:v>2011-11-05T00:00:00.000Z</x:v>
      </x:c>
      <x:c r="E1324" s="1" t="str">
        <x:v>seasonal_naive</x:v>
      </x:c>
      <x:c r="F1324" s="10" t="n">
        <x:v>0</x:v>
      </x:c>
      <x:c r="G1324" s="10" t="n">
        <x:v>0</x:v>
      </x:c>
      <x:c r="H1324" s="10" t="n">
        <x:f>ABS(G1324-F1324)</x:f>
        <x:v>0</x:v>
      </x:c>
      <x:c r="I1324" s="10" t="n">
        <x:f>G1324-F1324</x:f>
        <x:v>0</x:v>
      </x:c>
    </x:row>
    <x:row r="1325" ht="20" customHeight="1">
      <x:c r="A1325" s="1" t="str">
        <x:v>22470</x:v>
      </x:c>
      <x:c r="B1325" s="10" t="n">
        <x:v>2</x:v>
      </x:c>
      <x:c r="C1325" s="9" t="d">
        <x:v>2011-11-02T00:00:00.000Z</x:v>
      </x:c>
      <x:c r="D1325" s="9" t="d">
        <x:v>2011-11-06T00:00:00.000Z</x:v>
      </x:c>
      <x:c r="E1325" s="1" t="str">
        <x:v>seasonal_naive</x:v>
      </x:c>
      <x:c r="F1325" s="10" t="n">
        <x:v>42</x:v>
      </x:c>
      <x:c r="G1325" s="10" t="n">
        <x:v>61</x:v>
      </x:c>
      <x:c r="H1325" s="10" t="n">
        <x:f>ABS(G1325-F1325)</x:f>
        <x:v>19</x:v>
      </x:c>
      <x:c r="I1325" s="10" t="n">
        <x:f>G1325-F1325</x:f>
        <x:v>19</x:v>
      </x:c>
    </x:row>
    <x:row r="1326" ht="20" customHeight="1">
      <x:c r="A1326" s="1" t="str">
        <x:v>22470</x:v>
      </x:c>
      <x:c r="B1326" s="10" t="n">
        <x:v>2</x:v>
      </x:c>
      <x:c r="C1326" s="9" t="d">
        <x:v>2011-11-02T00:00:00.000Z</x:v>
      </x:c>
      <x:c r="D1326" s="9" t="d">
        <x:v>2011-11-07T00:00:00.000Z</x:v>
      </x:c>
      <x:c r="E1326" s="1" t="str">
        <x:v>seasonal_naive</x:v>
      </x:c>
      <x:c r="F1326" s="10" t="n">
        <x:v>59</x:v>
      </x:c>
      <x:c r="G1326" s="10" t="n">
        <x:v>30</x:v>
      </x:c>
      <x:c r="H1326" s="10" t="n">
        <x:f>ABS(G1326-F1326)</x:f>
        <x:v>29</x:v>
      </x:c>
      <x:c r="I1326" s="10" t="n">
        <x:f>G1326-F1326</x:f>
        <x:v>-29</x:v>
      </x:c>
    </x:row>
    <x:row r="1327" ht="20" customHeight="1">
      <x:c r="A1327" s="1" t="str">
        <x:v>22470</x:v>
      </x:c>
      <x:c r="B1327" s="10" t="n">
        <x:v>2</x:v>
      </x:c>
      <x:c r="C1327" s="9" t="d">
        <x:v>2011-11-02T00:00:00.000Z</x:v>
      </x:c>
      <x:c r="D1327" s="9" t="d">
        <x:v>2011-11-08T00:00:00.000Z</x:v>
      </x:c>
      <x:c r="E1327" s="1" t="str">
        <x:v>seasonal_naive</x:v>
      </x:c>
      <x:c r="F1327" s="10" t="n">
        <x:v>24</x:v>
      </x:c>
      <x:c r="G1327" s="10" t="n">
        <x:v>21</x:v>
      </x:c>
      <x:c r="H1327" s="10" t="n">
        <x:f>ABS(G1327-F1327)</x:f>
        <x:v>3</x:v>
      </x:c>
      <x:c r="I1327" s="10" t="n">
        <x:f>G1327-F1327</x:f>
        <x:v>-3</x:v>
      </x:c>
    </x:row>
    <x:row r="1328" ht="20" customHeight="1">
      <x:c r="A1328" s="1" t="str">
        <x:v>22470</x:v>
      </x:c>
      <x:c r="B1328" s="10" t="n">
        <x:v>2</x:v>
      </x:c>
      <x:c r="C1328" s="9" t="d">
        <x:v>2011-11-02T00:00:00.000Z</x:v>
      </x:c>
      <x:c r="D1328" s="9" t="d">
        <x:v>2011-11-09T00:00:00.000Z</x:v>
      </x:c>
      <x:c r="E1328" s="1" t="str">
        <x:v>seasonal_naive</x:v>
      </x:c>
      <x:c r="F1328" s="10" t="n">
        <x:v>6</x:v>
      </x:c>
      <x:c r="G1328" s="10" t="n">
        <x:v>18</x:v>
      </x:c>
      <x:c r="H1328" s="10" t="n">
        <x:f>ABS(G1328-F1328)</x:f>
        <x:v>12</x:v>
      </x:c>
      <x:c r="I1328" s="10" t="n">
        <x:f>G1328-F1328</x:f>
        <x:v>12</x:v>
      </x:c>
    </x:row>
    <x:row r="1329" ht="20" customHeight="1">
      <x:c r="A1329" s="1" t="str">
        <x:v>22470</x:v>
      </x:c>
      <x:c r="B1329" s="10" t="n">
        <x:v>2</x:v>
      </x:c>
      <x:c r="C1329" s="9" t="d">
        <x:v>2011-11-02T00:00:00.000Z</x:v>
      </x:c>
      <x:c r="D1329" s="9" t="d">
        <x:v>2011-11-10T00:00:00.000Z</x:v>
      </x:c>
      <x:c r="E1329" s="1" t="str">
        <x:v>seasonal_naive</x:v>
      </x:c>
      <x:c r="F1329" s="10" t="n">
        <x:v>51</x:v>
      </x:c>
      <x:c r="G1329" s="10" t="n">
        <x:v>15</x:v>
      </x:c>
      <x:c r="H1329" s="10" t="n">
        <x:f>ABS(G1329-F1329)</x:f>
        <x:v>36</x:v>
      </x:c>
      <x:c r="I1329" s="10" t="n">
        <x:f>G1329-F1329</x:f>
        <x:v>-36</x:v>
      </x:c>
    </x:row>
    <x:row r="1330" ht="20" customHeight="1">
      <x:c r="A1330" s="1" t="str">
        <x:v>22470</x:v>
      </x:c>
      <x:c r="B1330" s="10" t="n">
        <x:v>2</x:v>
      </x:c>
      <x:c r="C1330" s="9" t="d">
        <x:v>2011-11-02T00:00:00.000Z</x:v>
      </x:c>
      <x:c r="D1330" s="9" t="d">
        <x:v>2011-11-11T00:00:00.000Z</x:v>
      </x:c>
      <x:c r="E1330" s="1" t="str">
        <x:v>seasonal_naive</x:v>
      </x:c>
      <x:c r="F1330" s="10" t="n">
        <x:v>9</x:v>
      </x:c>
      <x:c r="G1330" s="10" t="n">
        <x:v>37</x:v>
      </x:c>
      <x:c r="H1330" s="10" t="n">
        <x:f>ABS(G1330-F1330)</x:f>
        <x:v>28</x:v>
      </x:c>
      <x:c r="I1330" s="10" t="n">
        <x:f>G1330-F1330</x:f>
        <x:v>28</x:v>
      </x:c>
    </x:row>
    <x:row r="1331" ht="20" customHeight="1">
      <x:c r="A1331" s="1" t="str">
        <x:v>22470</x:v>
      </x:c>
      <x:c r="B1331" s="10" t="n">
        <x:v>2</x:v>
      </x:c>
      <x:c r="C1331" s="9" t="d">
        <x:v>2011-11-02T00:00:00.000Z</x:v>
      </x:c>
      <x:c r="D1331" s="9" t="d">
        <x:v>2011-11-12T00:00:00.000Z</x:v>
      </x:c>
      <x:c r="E1331" s="1" t="str">
        <x:v>seasonal_naive</x:v>
      </x:c>
      <x:c r="F1331" s="10" t="n">
        <x:v>0</x:v>
      </x:c>
      <x:c r="G1331" s="10" t="n">
        <x:v>0</x:v>
      </x:c>
      <x:c r="H1331" s="10" t="n">
        <x:f>ABS(G1331-F1331)</x:f>
        <x:v>0</x:v>
      </x:c>
      <x:c r="I1331" s="10" t="n">
        <x:f>G1331-F1331</x:f>
        <x:v>0</x:v>
      </x:c>
    </x:row>
    <x:row r="1332" ht="20" customHeight="1">
      <x:c r="A1332" s="1" t="str">
        <x:v>22470</x:v>
      </x:c>
      <x:c r="B1332" s="10" t="n">
        <x:v>2</x:v>
      </x:c>
      <x:c r="C1332" s="9" t="d">
        <x:v>2011-11-02T00:00:00.000Z</x:v>
      </x:c>
      <x:c r="D1332" s="9" t="d">
        <x:v>2011-11-13T00:00:00.000Z</x:v>
      </x:c>
      <x:c r="E1332" s="1" t="str">
        <x:v>seasonal_naive</x:v>
      </x:c>
      <x:c r="F1332" s="10" t="n">
        <x:v>21</x:v>
      </x:c>
      <x:c r="G1332" s="10" t="n">
        <x:v>61</x:v>
      </x:c>
      <x:c r="H1332" s="10" t="n">
        <x:f>ABS(G1332-F1332)</x:f>
        <x:v>40</x:v>
      </x:c>
      <x:c r="I1332" s="10" t="n">
        <x:f>G1332-F1332</x:f>
        <x:v>40</x:v>
      </x:c>
    </x:row>
    <x:row r="1333" ht="20" customHeight="1">
      <x:c r="A1333" s="1" t="str">
        <x:v>22470</x:v>
      </x:c>
      <x:c r="B1333" s="10" t="n">
        <x:v>2</x:v>
      </x:c>
      <x:c r="C1333" s="9" t="d">
        <x:v>2011-11-02T00:00:00.000Z</x:v>
      </x:c>
      <x:c r="D1333" s="9" t="d">
        <x:v>2011-11-14T00:00:00.000Z</x:v>
      </x:c>
      <x:c r="E1333" s="1" t="str">
        <x:v>seasonal_naive</x:v>
      </x:c>
      <x:c r="F1333" s="10" t="n">
        <x:v>8</x:v>
      </x:c>
      <x:c r="G1333" s="10" t="n">
        <x:v>30</x:v>
      </x:c>
      <x:c r="H1333" s="10" t="n">
        <x:f>ABS(G1333-F1333)</x:f>
        <x:v>22</x:v>
      </x:c>
      <x:c r="I1333" s="10" t="n">
        <x:f>G1333-F1333</x:f>
        <x:v>22</x:v>
      </x:c>
    </x:row>
    <x:row r="1334" ht="20" customHeight="1">
      <x:c r="A1334" s="1" t="str">
        <x:v>22470</x:v>
      </x:c>
      <x:c r="B1334" s="10" t="n">
        <x:v>2</x:v>
      </x:c>
      <x:c r="C1334" s="9" t="d">
        <x:v>2011-11-02T00:00:00.000Z</x:v>
      </x:c>
      <x:c r="D1334" s="9" t="d">
        <x:v>2011-11-15T00:00:00.000Z</x:v>
      </x:c>
      <x:c r="E1334" s="1" t="str">
        <x:v>seasonal_naive</x:v>
      </x:c>
      <x:c r="F1334" s="10" t="n">
        <x:v>27</x:v>
      </x:c>
      <x:c r="G1334" s="10" t="n">
        <x:v>21</x:v>
      </x:c>
      <x:c r="H1334" s="10" t="n">
        <x:f>ABS(G1334-F1334)</x:f>
        <x:v>6</x:v>
      </x:c>
      <x:c r="I1334" s="10" t="n">
        <x:f>G1334-F1334</x:f>
        <x:v>-6</x:v>
      </x:c>
    </x:row>
    <x:row r="1335" ht="20" customHeight="1">
      <x:c r="A1335" s="1" t="str">
        <x:v>22470</x:v>
      </x:c>
      <x:c r="B1335" s="10" t="n">
        <x:v>2</x:v>
      </x:c>
      <x:c r="C1335" s="9" t="d">
        <x:v>2011-11-02T00:00:00.000Z</x:v>
      </x:c>
      <x:c r="D1335" s="9" t="d">
        <x:v>2011-11-16T00:00:00.000Z</x:v>
      </x:c>
      <x:c r="E1335" s="1" t="str">
        <x:v>seasonal_naive</x:v>
      </x:c>
      <x:c r="F1335" s="10" t="n">
        <x:v>24</x:v>
      </x:c>
      <x:c r="G1335" s="10" t="n">
        <x:v>18</x:v>
      </x:c>
      <x:c r="H1335" s="10" t="n">
        <x:f>ABS(G1335-F1335)</x:f>
        <x:v>6</x:v>
      </x:c>
      <x:c r="I1335" s="10" t="n">
        <x:f>G1335-F1335</x:f>
        <x:v>-6</x:v>
      </x:c>
    </x:row>
    <x:row r="1336" ht="20" customHeight="1">
      <x:c r="A1336" s="1" t="str">
        <x:v>22470</x:v>
      </x:c>
      <x:c r="B1336" s="10" t="n">
        <x:v>2</x:v>
      </x:c>
      <x:c r="C1336" s="9" t="d">
        <x:v>2011-11-02T00:00:00.000Z</x:v>
      </x:c>
      <x:c r="D1336" s="9" t="d">
        <x:v>2011-11-03T00:00:00.000Z</x:v>
      </x:c>
      <x:c r="E1336" s="1" t="str">
        <x:v>ridge</x:v>
      </x:c>
      <x:c r="F1336" s="10" t="n">
        <x:v>255</x:v>
      </x:c>
      <x:c r="G1336" s="10" t="n">
        <x:v>25.4109351424</x:v>
      </x:c>
      <x:c r="H1336" s="10" t="n">
        <x:f>ABS(G1336-F1336)</x:f>
        <x:v>229.5890648576</x:v>
      </x:c>
      <x:c r="I1336" s="10" t="n">
        <x:f>G1336-F1336</x:f>
        <x:v>-229.5890648576</x:v>
      </x:c>
    </x:row>
    <x:row r="1337" ht="20" customHeight="1">
      <x:c r="A1337" s="1" t="str">
        <x:v>22470</x:v>
      </x:c>
      <x:c r="B1337" s="10" t="n">
        <x:v>2</x:v>
      </x:c>
      <x:c r="C1337" s="9" t="d">
        <x:v>2011-11-02T00:00:00.000Z</x:v>
      </x:c>
      <x:c r="D1337" s="9" t="d">
        <x:v>2011-11-04T00:00:00.000Z</x:v>
      </x:c>
      <x:c r="E1337" s="1" t="str">
        <x:v>ridge</x:v>
      </x:c>
      <x:c r="F1337" s="10" t="n">
        <x:v>135</x:v>
      </x:c>
      <x:c r="G1337" s="10" t="n">
        <x:v>8.6185916164</x:v>
      </x:c>
      <x:c r="H1337" s="10" t="n">
        <x:f>ABS(G1337-F1337)</x:f>
        <x:v>126.3814083836</x:v>
      </x:c>
      <x:c r="I1337" s="10" t="n">
        <x:f>G1337-F1337</x:f>
        <x:v>-126.3814083836</x:v>
      </x:c>
    </x:row>
    <x:row r="1338" ht="20" customHeight="1">
      <x:c r="A1338" s="1" t="str">
        <x:v>22470</x:v>
      </x:c>
      <x:c r="B1338" s="10" t="n">
        <x:v>2</x:v>
      </x:c>
      <x:c r="C1338" s="9" t="d">
        <x:v>2011-11-02T00:00:00.000Z</x:v>
      </x:c>
      <x:c r="D1338" s="9" t="d">
        <x:v>2011-11-05T00:00:00.000Z</x:v>
      </x:c>
      <x:c r="E1338" s="1" t="str">
        <x:v>ridge</x:v>
      </x:c>
      <x:c r="F1338" s="10" t="n">
        <x:v>0</x:v>
      </x:c>
      <x:c r="G1338" s="10" t="n">
        <x:v>4.6123962018</x:v>
      </x:c>
      <x:c r="H1338" s="10" t="n">
        <x:f>ABS(G1338-F1338)</x:f>
        <x:v>4.6123962018</x:v>
      </x:c>
      <x:c r="I1338" s="10" t="n">
        <x:f>G1338-F1338</x:f>
        <x:v>4.6123962018</x:v>
      </x:c>
    </x:row>
    <x:row r="1339" ht="20" customHeight="1">
      <x:c r="A1339" s="1" t="str">
        <x:v>22470</x:v>
      </x:c>
      <x:c r="B1339" s="10" t="n">
        <x:v>2</x:v>
      </x:c>
      <x:c r="C1339" s="9" t="d">
        <x:v>2011-11-02T00:00:00.000Z</x:v>
      </x:c>
      <x:c r="D1339" s="9" t="d">
        <x:v>2011-11-06T00:00:00.000Z</x:v>
      </x:c>
      <x:c r="E1339" s="1" t="str">
        <x:v>ridge</x:v>
      </x:c>
      <x:c r="F1339" s="10" t="n">
        <x:v>42</x:v>
      </x:c>
      <x:c r="G1339" s="10" t="n">
        <x:v>14.4949848288</x:v>
      </x:c>
      <x:c r="H1339" s="10" t="n">
        <x:f>ABS(G1339-F1339)</x:f>
        <x:v>27.5050151712</x:v>
      </x:c>
      <x:c r="I1339" s="10" t="n">
        <x:f>G1339-F1339</x:f>
        <x:v>-27.5050151712</x:v>
      </x:c>
    </x:row>
    <x:row r="1340" ht="20" customHeight="1">
      <x:c r="A1340" s="1" t="str">
        <x:v>22470</x:v>
      </x:c>
      <x:c r="B1340" s="10" t="n">
        <x:v>2</x:v>
      </x:c>
      <x:c r="C1340" s="9" t="d">
        <x:v>2011-11-02T00:00:00.000Z</x:v>
      </x:c>
      <x:c r="D1340" s="9" t="d">
        <x:v>2011-11-07T00:00:00.000Z</x:v>
      </x:c>
      <x:c r="E1340" s="1" t="str">
        <x:v>ridge</x:v>
      </x:c>
      <x:c r="F1340" s="10" t="n">
        <x:v>59</x:v>
      </x:c>
      <x:c r="G1340" s="10" t="n">
        <x:v>30.7185941449</x:v>
      </x:c>
      <x:c r="H1340" s="10" t="n">
        <x:f>ABS(G1340-F1340)</x:f>
        <x:v>28.2814058551</x:v>
      </x:c>
      <x:c r="I1340" s="10" t="n">
        <x:f>G1340-F1340</x:f>
        <x:v>-28.2814058551</x:v>
      </x:c>
    </x:row>
    <x:row r="1341" ht="20" customHeight="1">
      <x:c r="A1341" s="1" t="str">
        <x:v>22470</x:v>
      </x:c>
      <x:c r="B1341" s="10" t="n">
        <x:v>2</x:v>
      </x:c>
      <x:c r="C1341" s="9" t="d">
        <x:v>2011-11-02T00:00:00.000Z</x:v>
      </x:c>
      <x:c r="D1341" s="9" t="d">
        <x:v>2011-11-08T00:00:00.000Z</x:v>
      </x:c>
      <x:c r="E1341" s="1" t="str">
        <x:v>ridge</x:v>
      </x:c>
      <x:c r="F1341" s="10" t="n">
        <x:v>24</x:v>
      </x:c>
      <x:c r="G1341" s="10" t="n">
        <x:v>42.3315466824</x:v>
      </x:c>
      <x:c r="H1341" s="10" t="n">
        <x:f>ABS(G1341-F1341)</x:f>
        <x:v>18.331546682400003</x:v>
      </x:c>
      <x:c r="I1341" s="10" t="n">
        <x:f>G1341-F1341</x:f>
        <x:v>18.331546682400003</x:v>
      </x:c>
    </x:row>
    <x:row r="1342" ht="20" customHeight="1">
      <x:c r="A1342" s="1" t="str">
        <x:v>22470</x:v>
      </x:c>
      <x:c r="B1342" s="10" t="n">
        <x:v>2</x:v>
      </x:c>
      <x:c r="C1342" s="9" t="d">
        <x:v>2011-11-02T00:00:00.000Z</x:v>
      </x:c>
      <x:c r="D1342" s="9" t="d">
        <x:v>2011-11-09T00:00:00.000Z</x:v>
      </x:c>
      <x:c r="E1342" s="1" t="str">
        <x:v>ridge</x:v>
      </x:c>
      <x:c r="F1342" s="10" t="n">
        <x:v>6</x:v>
      </x:c>
      <x:c r="G1342" s="10" t="n">
        <x:v>38.8904981388</x:v>
      </x:c>
      <x:c r="H1342" s="10" t="n">
        <x:f>ABS(G1342-F1342)</x:f>
        <x:v>32.8904981388</x:v>
      </x:c>
      <x:c r="I1342" s="10" t="n">
        <x:f>G1342-F1342</x:f>
        <x:v>32.8904981388</x:v>
      </x:c>
    </x:row>
    <x:row r="1343" ht="20" customHeight="1">
      <x:c r="A1343" s="1" t="str">
        <x:v>22470</x:v>
      </x:c>
      <x:c r="B1343" s="10" t="n">
        <x:v>2</x:v>
      </x:c>
      <x:c r="C1343" s="9" t="d">
        <x:v>2011-11-02T00:00:00.000Z</x:v>
      </x:c>
      <x:c r="D1343" s="9" t="d">
        <x:v>2011-11-10T00:00:00.000Z</x:v>
      </x:c>
      <x:c r="E1343" s="1" t="str">
        <x:v>ridge</x:v>
      </x:c>
      <x:c r="F1343" s="10" t="n">
        <x:v>51</x:v>
      </x:c>
      <x:c r="G1343" s="10" t="n">
        <x:v>23.3332077611</x:v>
      </x:c>
      <x:c r="H1343" s="10" t="n">
        <x:f>ABS(G1343-F1343)</x:f>
        <x:v>27.6667922389</x:v>
      </x:c>
      <x:c r="I1343" s="10" t="n">
        <x:f>G1343-F1343</x:f>
        <x:v>-27.6667922389</x:v>
      </x:c>
    </x:row>
    <x:row r="1344" ht="20" customHeight="1">
      <x:c r="A1344" s="1" t="str">
        <x:v>22470</x:v>
      </x:c>
      <x:c r="B1344" s="10" t="n">
        <x:v>2</x:v>
      </x:c>
      <x:c r="C1344" s="9" t="d">
        <x:v>2011-11-02T00:00:00.000Z</x:v>
      </x:c>
      <x:c r="D1344" s="9" t="d">
        <x:v>2011-11-11T00:00:00.000Z</x:v>
      </x:c>
      <x:c r="E1344" s="1" t="str">
        <x:v>ridge</x:v>
      </x:c>
      <x:c r="F1344" s="10" t="n">
        <x:v>9</x:v>
      </x:c>
      <x:c r="G1344" s="10" t="n">
        <x:v>7.4517556409</x:v>
      </x:c>
      <x:c r="H1344" s="10" t="n">
        <x:f>ABS(G1344-F1344)</x:f>
        <x:v>1.5482443591</x:v>
      </x:c>
      <x:c r="I1344" s="10" t="n">
        <x:f>G1344-F1344</x:f>
        <x:v>-1.5482443591</x:v>
      </x:c>
    </x:row>
    <x:row r="1345" ht="20" customHeight="1">
      <x:c r="A1345" s="1" t="str">
        <x:v>22470</x:v>
      </x:c>
      <x:c r="B1345" s="10" t="n">
        <x:v>2</x:v>
      </x:c>
      <x:c r="C1345" s="9" t="d">
        <x:v>2011-11-02T00:00:00.000Z</x:v>
      </x:c>
      <x:c r="D1345" s="9" t="d">
        <x:v>2011-11-12T00:00:00.000Z</x:v>
      </x:c>
      <x:c r="E1345" s="1" t="str">
        <x:v>ridge</x:v>
      </x:c>
      <x:c r="F1345" s="10" t="n">
        <x:v>0</x:v>
      </x:c>
      <x:c r="G1345" s="10" t="n">
        <x:v>4.20618955</x:v>
      </x:c>
      <x:c r="H1345" s="10" t="n">
        <x:f>ABS(G1345-F1345)</x:f>
        <x:v>4.20618955</x:v>
      </x:c>
      <x:c r="I1345" s="10" t="n">
        <x:f>G1345-F1345</x:f>
        <x:v>4.20618955</x:v>
      </x:c>
    </x:row>
    <x:row r="1346" ht="20" customHeight="1">
      <x:c r="A1346" s="1" t="str">
        <x:v>22470</x:v>
      </x:c>
      <x:c r="B1346" s="10" t="n">
        <x:v>2</x:v>
      </x:c>
      <x:c r="C1346" s="9" t="d">
        <x:v>2011-11-02T00:00:00.000Z</x:v>
      </x:c>
      <x:c r="D1346" s="9" t="d">
        <x:v>2011-11-13T00:00:00.000Z</x:v>
      </x:c>
      <x:c r="E1346" s="1" t="str">
        <x:v>ridge</x:v>
      </x:c>
      <x:c r="F1346" s="10" t="n">
        <x:v>21</x:v>
      </x:c>
      <x:c r="G1346" s="10" t="n">
        <x:v>14.1262834951</x:v>
      </x:c>
      <x:c r="H1346" s="10" t="n">
        <x:f>ABS(G1346-F1346)</x:f>
        <x:v>6.873716504900001</x:v>
      </x:c>
      <x:c r="I1346" s="10" t="n">
        <x:f>G1346-F1346</x:f>
        <x:v>-6.873716504900001</x:v>
      </x:c>
    </x:row>
    <x:row r="1347" ht="20" customHeight="1">
      <x:c r="A1347" s="1" t="str">
        <x:v>22470</x:v>
      </x:c>
      <x:c r="B1347" s="10" t="n">
        <x:v>2</x:v>
      </x:c>
      <x:c r="C1347" s="9" t="d">
        <x:v>2011-11-02T00:00:00.000Z</x:v>
      </x:c>
      <x:c r="D1347" s="9" t="d">
        <x:v>2011-11-14T00:00:00.000Z</x:v>
      </x:c>
      <x:c r="E1347" s="1" t="str">
        <x:v>ridge</x:v>
      </x:c>
      <x:c r="F1347" s="10" t="n">
        <x:v>8</x:v>
      </x:c>
      <x:c r="G1347" s="10" t="n">
        <x:v>31.8656249255</x:v>
      </x:c>
      <x:c r="H1347" s="10" t="n">
        <x:f>ABS(G1347-F1347)</x:f>
        <x:v>23.8656249255</x:v>
      </x:c>
      <x:c r="I1347" s="10" t="n">
        <x:f>G1347-F1347</x:f>
        <x:v>23.8656249255</x:v>
      </x:c>
    </x:row>
    <x:row r="1348" ht="20" customHeight="1">
      <x:c r="A1348" s="1" t="str">
        <x:v>22470</x:v>
      </x:c>
      <x:c r="B1348" s="10" t="n">
        <x:v>2</x:v>
      </x:c>
      <x:c r="C1348" s="9" t="d">
        <x:v>2011-11-02T00:00:00.000Z</x:v>
      </x:c>
      <x:c r="D1348" s="9" t="d">
        <x:v>2011-11-15T00:00:00.000Z</x:v>
      </x:c>
      <x:c r="E1348" s="1" t="str">
        <x:v>ridge</x:v>
      </x:c>
      <x:c r="F1348" s="10" t="n">
        <x:v>27</x:v>
      </x:c>
      <x:c r="G1348" s="10" t="n">
        <x:v>42.7121987331</x:v>
      </x:c>
      <x:c r="H1348" s="10" t="n">
        <x:f>ABS(G1348-F1348)</x:f>
        <x:v>15.712198733100003</x:v>
      </x:c>
      <x:c r="I1348" s="10" t="n">
        <x:f>G1348-F1348</x:f>
        <x:v>15.712198733100003</x:v>
      </x:c>
    </x:row>
    <x:row r="1349" ht="20" customHeight="1">
      <x:c r="A1349" s="1" t="str">
        <x:v>22470</x:v>
      </x:c>
      <x:c r="B1349" s="10" t="n">
        <x:v>2</x:v>
      </x:c>
      <x:c r="C1349" s="9" t="d">
        <x:v>2011-11-02T00:00:00.000Z</x:v>
      </x:c>
      <x:c r="D1349" s="9" t="d">
        <x:v>2011-11-16T00:00:00.000Z</x:v>
      </x:c>
      <x:c r="E1349" s="1" t="str">
        <x:v>ridge</x:v>
      </x:c>
      <x:c r="F1349" s="10" t="n">
        <x:v>24</x:v>
      </x:c>
      <x:c r="G1349" s="10" t="n">
        <x:v>38.7282614085</x:v>
      </x:c>
      <x:c r="H1349" s="10" t="n">
        <x:f>ABS(G1349-F1349)</x:f>
        <x:v>14.728261408500003</x:v>
      </x:c>
      <x:c r="I1349" s="10" t="n">
        <x:f>G1349-F1349</x:f>
        <x:v>14.728261408500003</x:v>
      </x:c>
    </x:row>
    <x:row r="1350" ht="20" customHeight="1">
      <x:c r="A1350" s="1" t="str">
        <x:v>22470</x:v>
      </x:c>
      <x:c r="B1350" s="10" t="n">
        <x:v>3</x:v>
      </x:c>
      <x:c r="C1350" s="9" t="d">
        <x:v>2011-11-16T00:00:00.000Z</x:v>
      </x:c>
      <x:c r="D1350" s="9" t="d">
        <x:v>2011-11-17T00:00:00.000Z</x:v>
      </x:c>
      <x:c r="E1350" s="1" t="str">
        <x:v>naive</x:v>
      </x:c>
      <x:c r="F1350" s="10" t="n">
        <x:v>8</x:v>
      </x:c>
      <x:c r="G1350" s="10" t="n">
        <x:v>24</x:v>
      </x:c>
      <x:c r="H1350" s="10" t="n">
        <x:f>ABS(G1350-F1350)</x:f>
        <x:v>16</x:v>
      </x:c>
      <x:c r="I1350" s="10" t="n">
        <x:f>G1350-F1350</x:f>
        <x:v>16</x:v>
      </x:c>
    </x:row>
    <x:row r="1351" ht="20" customHeight="1">
      <x:c r="A1351" s="1" t="str">
        <x:v>22470</x:v>
      </x:c>
      <x:c r="B1351" s="10" t="n">
        <x:v>3</x:v>
      </x:c>
      <x:c r="C1351" s="9" t="d">
        <x:v>2011-11-16T00:00:00.000Z</x:v>
      </x:c>
      <x:c r="D1351" s="9" t="d">
        <x:v>2011-11-18T00:00:00.000Z</x:v>
      </x:c>
      <x:c r="E1351" s="1" t="str">
        <x:v>naive</x:v>
      </x:c>
      <x:c r="F1351" s="10" t="n">
        <x:v>19</x:v>
      </x:c>
      <x:c r="G1351" s="10" t="n">
        <x:v>24</x:v>
      </x:c>
      <x:c r="H1351" s="10" t="n">
        <x:f>ABS(G1351-F1351)</x:f>
        <x:v>5</x:v>
      </x:c>
      <x:c r="I1351" s="10" t="n">
        <x:f>G1351-F1351</x:f>
        <x:v>5</x:v>
      </x:c>
    </x:row>
    <x:row r="1352" ht="20" customHeight="1">
      <x:c r="A1352" s="1" t="str">
        <x:v>22470</x:v>
      </x:c>
      <x:c r="B1352" s="10" t="n">
        <x:v>3</x:v>
      </x:c>
      <x:c r="C1352" s="9" t="d">
        <x:v>2011-11-16T00:00:00.000Z</x:v>
      </x:c>
      <x:c r="D1352" s="9" t="d">
        <x:v>2011-11-19T00:00:00.000Z</x:v>
      </x:c>
      <x:c r="E1352" s="1" t="str">
        <x:v>naive</x:v>
      </x:c>
      <x:c r="F1352" s="10" t="n">
        <x:v>0</x:v>
      </x:c>
      <x:c r="G1352" s="10" t="n">
        <x:v>24</x:v>
      </x:c>
      <x:c r="H1352" s="10" t="n">
        <x:f>ABS(G1352-F1352)</x:f>
        <x:v>24</x:v>
      </x:c>
      <x:c r="I1352" s="10" t="n">
        <x:f>G1352-F1352</x:f>
        <x:v>24</x:v>
      </x:c>
    </x:row>
    <x:row r="1353" ht="20" customHeight="1">
      <x:c r="A1353" s="1" t="str">
        <x:v>22470</x:v>
      </x:c>
      <x:c r="B1353" s="10" t="n">
        <x:v>3</x:v>
      </x:c>
      <x:c r="C1353" s="9" t="d">
        <x:v>2011-11-16T00:00:00.000Z</x:v>
      </x:c>
      <x:c r="D1353" s="9" t="d">
        <x:v>2011-11-20T00:00:00.000Z</x:v>
      </x:c>
      <x:c r="E1353" s="1" t="str">
        <x:v>naive</x:v>
      </x:c>
      <x:c r="F1353" s="10" t="n">
        <x:v>17</x:v>
      </x:c>
      <x:c r="G1353" s="10" t="n">
        <x:v>24</x:v>
      </x:c>
      <x:c r="H1353" s="10" t="n">
        <x:f>ABS(G1353-F1353)</x:f>
        <x:v>7</x:v>
      </x:c>
      <x:c r="I1353" s="10" t="n">
        <x:f>G1353-F1353</x:f>
        <x:v>7</x:v>
      </x:c>
    </x:row>
    <x:row r="1354" ht="20" customHeight="1">
      <x:c r="A1354" s="1" t="str">
        <x:v>22470</x:v>
      </x:c>
      <x:c r="B1354" s="10" t="n">
        <x:v>3</x:v>
      </x:c>
      <x:c r="C1354" s="9" t="d">
        <x:v>2011-11-16T00:00:00.000Z</x:v>
      </x:c>
      <x:c r="D1354" s="9" t="d">
        <x:v>2011-11-21T00:00:00.000Z</x:v>
      </x:c>
      <x:c r="E1354" s="1" t="str">
        <x:v>naive</x:v>
      </x:c>
      <x:c r="F1354" s="10" t="n">
        <x:v>22</x:v>
      </x:c>
      <x:c r="G1354" s="10" t="n">
        <x:v>24</x:v>
      </x:c>
      <x:c r="H1354" s="10" t="n">
        <x:f>ABS(G1354-F1354)</x:f>
        <x:v>2</x:v>
      </x:c>
      <x:c r="I1354" s="10" t="n">
        <x:f>G1354-F1354</x:f>
        <x:v>2</x:v>
      </x:c>
    </x:row>
    <x:row r="1355" ht="20" customHeight="1">
      <x:c r="A1355" s="1" t="str">
        <x:v>22470</x:v>
      </x:c>
      <x:c r="B1355" s="10" t="n">
        <x:v>3</x:v>
      </x:c>
      <x:c r="C1355" s="9" t="d">
        <x:v>2011-11-16T00:00:00.000Z</x:v>
      </x:c>
      <x:c r="D1355" s="9" t="d">
        <x:v>2011-11-22T00:00:00.000Z</x:v>
      </x:c>
      <x:c r="E1355" s="1" t="str">
        <x:v>naive</x:v>
      </x:c>
      <x:c r="F1355" s="10" t="n">
        <x:v>103</x:v>
      </x:c>
      <x:c r="G1355" s="10" t="n">
        <x:v>24</x:v>
      </x:c>
      <x:c r="H1355" s="10" t="n">
        <x:f>ABS(G1355-F1355)</x:f>
        <x:v>79</x:v>
      </x:c>
      <x:c r="I1355" s="10" t="n">
        <x:f>G1355-F1355</x:f>
        <x:v>-79</x:v>
      </x:c>
    </x:row>
    <x:row r="1356" ht="20" customHeight="1">
      <x:c r="A1356" s="1" t="str">
        <x:v>22470</x:v>
      </x:c>
      <x:c r="B1356" s="10" t="n">
        <x:v>3</x:v>
      </x:c>
      <x:c r="C1356" s="9" t="d">
        <x:v>2011-11-16T00:00:00.000Z</x:v>
      </x:c>
      <x:c r="D1356" s="9" t="d">
        <x:v>2011-11-23T00:00:00.000Z</x:v>
      </x:c>
      <x:c r="E1356" s="1" t="str">
        <x:v>naive</x:v>
      </x:c>
      <x:c r="F1356" s="10" t="n">
        <x:v>19</x:v>
      </x:c>
      <x:c r="G1356" s="10" t="n">
        <x:v>24</x:v>
      </x:c>
      <x:c r="H1356" s="10" t="n">
        <x:f>ABS(G1356-F1356)</x:f>
        <x:v>5</x:v>
      </x:c>
      <x:c r="I1356" s="10" t="n">
        <x:f>G1356-F1356</x:f>
        <x:v>5</x:v>
      </x:c>
    </x:row>
    <x:row r="1357" ht="20" customHeight="1">
      <x:c r="A1357" s="1" t="str">
        <x:v>22470</x:v>
      </x:c>
      <x:c r="B1357" s="10" t="n">
        <x:v>3</x:v>
      </x:c>
      <x:c r="C1357" s="9" t="d">
        <x:v>2011-11-16T00:00:00.000Z</x:v>
      </x:c>
      <x:c r="D1357" s="9" t="d">
        <x:v>2011-11-24T00:00:00.000Z</x:v>
      </x:c>
      <x:c r="E1357" s="1" t="str">
        <x:v>naive</x:v>
      </x:c>
      <x:c r="F1357" s="10" t="n">
        <x:v>1</x:v>
      </x:c>
      <x:c r="G1357" s="10" t="n">
        <x:v>24</x:v>
      </x:c>
      <x:c r="H1357" s="10" t="n">
        <x:f>ABS(G1357-F1357)</x:f>
        <x:v>23</x:v>
      </x:c>
      <x:c r="I1357" s="10" t="n">
        <x:f>G1357-F1357</x:f>
        <x:v>23</x:v>
      </x:c>
    </x:row>
    <x:row r="1358" ht="20" customHeight="1">
      <x:c r="A1358" s="1" t="str">
        <x:v>22470</x:v>
      </x:c>
      <x:c r="B1358" s="10" t="n">
        <x:v>3</x:v>
      </x:c>
      <x:c r="C1358" s="9" t="d">
        <x:v>2011-11-16T00:00:00.000Z</x:v>
      </x:c>
      <x:c r="D1358" s="9" t="d">
        <x:v>2011-11-25T00:00:00.000Z</x:v>
      </x:c>
      <x:c r="E1358" s="1" t="str">
        <x:v>naive</x:v>
      </x:c>
      <x:c r="F1358" s="10" t="n">
        <x:v>7</x:v>
      </x:c>
      <x:c r="G1358" s="10" t="n">
        <x:v>24</x:v>
      </x:c>
      <x:c r="H1358" s="10" t="n">
        <x:f>ABS(G1358-F1358)</x:f>
        <x:v>17</x:v>
      </x:c>
      <x:c r="I1358" s="10" t="n">
        <x:f>G1358-F1358</x:f>
        <x:v>17</x:v>
      </x:c>
    </x:row>
    <x:row r="1359" ht="20" customHeight="1">
      <x:c r="A1359" s="1" t="str">
        <x:v>22470</x:v>
      </x:c>
      <x:c r="B1359" s="10" t="n">
        <x:v>3</x:v>
      </x:c>
      <x:c r="C1359" s="9" t="d">
        <x:v>2011-11-16T00:00:00.000Z</x:v>
      </x:c>
      <x:c r="D1359" s="9" t="d">
        <x:v>2011-11-26T00:00:00.000Z</x:v>
      </x:c>
      <x:c r="E1359" s="1" t="str">
        <x:v>naive</x:v>
      </x:c>
      <x:c r="F1359" s="10" t="n">
        <x:v>0</x:v>
      </x:c>
      <x:c r="G1359" s="10" t="n">
        <x:v>24</x:v>
      </x:c>
      <x:c r="H1359" s="10" t="n">
        <x:f>ABS(G1359-F1359)</x:f>
        <x:v>24</x:v>
      </x:c>
      <x:c r="I1359" s="10" t="n">
        <x:f>G1359-F1359</x:f>
        <x:v>24</x:v>
      </x:c>
    </x:row>
    <x:row r="1360" ht="20" customHeight="1">
      <x:c r="A1360" s="1" t="str">
        <x:v>22470</x:v>
      </x:c>
      <x:c r="B1360" s="10" t="n">
        <x:v>3</x:v>
      </x:c>
      <x:c r="C1360" s="9" t="d">
        <x:v>2011-11-16T00:00:00.000Z</x:v>
      </x:c>
      <x:c r="D1360" s="9" t="d">
        <x:v>2011-11-27T00:00:00.000Z</x:v>
      </x:c>
      <x:c r="E1360" s="1" t="str">
        <x:v>naive</x:v>
      </x:c>
      <x:c r="F1360" s="10" t="n">
        <x:v>3</x:v>
      </x:c>
      <x:c r="G1360" s="10" t="n">
        <x:v>24</x:v>
      </x:c>
      <x:c r="H1360" s="10" t="n">
        <x:f>ABS(G1360-F1360)</x:f>
        <x:v>21</x:v>
      </x:c>
      <x:c r="I1360" s="10" t="n">
        <x:f>G1360-F1360</x:f>
        <x:v>21</x:v>
      </x:c>
    </x:row>
    <x:row r="1361" ht="20" customHeight="1">
      <x:c r="A1361" s="1" t="str">
        <x:v>22470</x:v>
      </x:c>
      <x:c r="B1361" s="10" t="n">
        <x:v>3</x:v>
      </x:c>
      <x:c r="C1361" s="9" t="d">
        <x:v>2011-11-16T00:00:00.000Z</x:v>
      </x:c>
      <x:c r="D1361" s="9" t="d">
        <x:v>2011-11-28T00:00:00.000Z</x:v>
      </x:c>
      <x:c r="E1361" s="1" t="str">
        <x:v>naive</x:v>
      </x:c>
      <x:c r="F1361" s="10" t="n">
        <x:v>767</x:v>
      </x:c>
      <x:c r="G1361" s="10" t="n">
        <x:v>24</x:v>
      </x:c>
      <x:c r="H1361" s="10" t="n">
        <x:f>ABS(G1361-F1361)</x:f>
        <x:v>743</x:v>
      </x:c>
      <x:c r="I1361" s="10" t="n">
        <x:f>G1361-F1361</x:f>
        <x:v>-743</x:v>
      </x:c>
    </x:row>
    <x:row r="1362" ht="20" customHeight="1">
      <x:c r="A1362" s="1" t="str">
        <x:v>22470</x:v>
      </x:c>
      <x:c r="B1362" s="10" t="n">
        <x:v>3</x:v>
      </x:c>
      <x:c r="C1362" s="9" t="d">
        <x:v>2011-11-16T00:00:00.000Z</x:v>
      </x:c>
      <x:c r="D1362" s="9" t="d">
        <x:v>2011-11-29T00:00:00.000Z</x:v>
      </x:c>
      <x:c r="E1362" s="1" t="str">
        <x:v>naive</x:v>
      </x:c>
      <x:c r="F1362" s="10" t="n">
        <x:v>36</x:v>
      </x:c>
      <x:c r="G1362" s="10" t="n">
        <x:v>24</x:v>
      </x:c>
      <x:c r="H1362" s="10" t="n">
        <x:f>ABS(G1362-F1362)</x:f>
        <x:v>12</x:v>
      </x:c>
      <x:c r="I1362" s="10" t="n">
        <x:f>G1362-F1362</x:f>
        <x:v>-12</x:v>
      </x:c>
    </x:row>
    <x:row r="1363" ht="20" customHeight="1">
      <x:c r="A1363" s="1" t="str">
        <x:v>22470</x:v>
      </x:c>
      <x:c r="B1363" s="10" t="n">
        <x:v>3</x:v>
      </x:c>
      <x:c r="C1363" s="9" t="d">
        <x:v>2011-11-16T00:00:00.000Z</x:v>
      </x:c>
      <x:c r="D1363" s="9" t="d">
        <x:v>2011-11-30T00:00:00.000Z</x:v>
      </x:c>
      <x:c r="E1363" s="1" t="str">
        <x:v>naive</x:v>
      </x:c>
      <x:c r="F1363" s="10" t="n">
        <x:v>14</x:v>
      </x:c>
      <x:c r="G1363" s="10" t="n">
        <x:v>24</x:v>
      </x:c>
      <x:c r="H1363" s="10" t="n">
        <x:f>ABS(G1363-F1363)</x:f>
        <x:v>10</x:v>
      </x:c>
      <x:c r="I1363" s="10" t="n">
        <x:f>G1363-F1363</x:f>
        <x:v>10</x:v>
      </x:c>
    </x:row>
    <x:row r="1364" ht="20" customHeight="1">
      <x:c r="A1364" s="1" t="str">
        <x:v>22470</x:v>
      </x:c>
      <x:c r="B1364" s="10" t="n">
        <x:v>3</x:v>
      </x:c>
      <x:c r="C1364" s="9" t="d">
        <x:v>2011-11-16T00:00:00.000Z</x:v>
      </x:c>
      <x:c r="D1364" s="9" t="d">
        <x:v>2011-11-17T00:00:00.000Z</x:v>
      </x:c>
      <x:c r="E1364" s="1" t="str">
        <x:v>seasonal_naive</x:v>
      </x:c>
      <x:c r="F1364" s="10" t="n">
        <x:v>8</x:v>
      </x:c>
      <x:c r="G1364" s="10" t="n">
        <x:v>51</x:v>
      </x:c>
      <x:c r="H1364" s="10" t="n">
        <x:f>ABS(G1364-F1364)</x:f>
        <x:v>43</x:v>
      </x:c>
      <x:c r="I1364" s="10" t="n">
        <x:f>G1364-F1364</x:f>
        <x:v>43</x:v>
      </x:c>
    </x:row>
    <x:row r="1365" ht="20" customHeight="1">
      <x:c r="A1365" s="1" t="str">
        <x:v>22470</x:v>
      </x:c>
      <x:c r="B1365" s="10" t="n">
        <x:v>3</x:v>
      </x:c>
      <x:c r="C1365" s="9" t="d">
        <x:v>2011-11-16T00:00:00.000Z</x:v>
      </x:c>
      <x:c r="D1365" s="9" t="d">
        <x:v>2011-11-18T00:00:00.000Z</x:v>
      </x:c>
      <x:c r="E1365" s="1" t="str">
        <x:v>seasonal_naive</x:v>
      </x:c>
      <x:c r="F1365" s="10" t="n">
        <x:v>19</x:v>
      </x:c>
      <x:c r="G1365" s="10" t="n">
        <x:v>9</x:v>
      </x:c>
      <x:c r="H1365" s="10" t="n">
        <x:f>ABS(G1365-F1365)</x:f>
        <x:v>10</x:v>
      </x:c>
      <x:c r="I1365" s="10" t="n">
        <x:f>G1365-F1365</x:f>
        <x:v>-10</x:v>
      </x:c>
    </x:row>
    <x:row r="1366" ht="20" customHeight="1">
      <x:c r="A1366" s="1" t="str">
        <x:v>22470</x:v>
      </x:c>
      <x:c r="B1366" s="10" t="n">
        <x:v>3</x:v>
      </x:c>
      <x:c r="C1366" s="9" t="d">
        <x:v>2011-11-16T00:00:00.000Z</x:v>
      </x:c>
      <x:c r="D1366" s="9" t="d">
        <x:v>2011-11-19T00:00:00.000Z</x:v>
      </x:c>
      <x:c r="E1366" s="1" t="str">
        <x:v>seasonal_naive</x:v>
      </x:c>
      <x:c r="F1366" s="10" t="n">
        <x:v>0</x:v>
      </x:c>
      <x:c r="G1366" s="10" t="n">
        <x:v>0</x:v>
      </x:c>
      <x:c r="H1366" s="10" t="n">
        <x:f>ABS(G1366-F1366)</x:f>
        <x:v>0</x:v>
      </x:c>
      <x:c r="I1366" s="10" t="n">
        <x:f>G1366-F1366</x:f>
        <x:v>0</x:v>
      </x:c>
    </x:row>
    <x:row r="1367" ht="20" customHeight="1">
      <x:c r="A1367" s="1" t="str">
        <x:v>22470</x:v>
      </x:c>
      <x:c r="B1367" s="10" t="n">
        <x:v>3</x:v>
      </x:c>
      <x:c r="C1367" s="9" t="d">
        <x:v>2011-11-16T00:00:00.000Z</x:v>
      </x:c>
      <x:c r="D1367" s="9" t="d">
        <x:v>2011-11-20T00:00:00.000Z</x:v>
      </x:c>
      <x:c r="E1367" s="1" t="str">
        <x:v>seasonal_naive</x:v>
      </x:c>
      <x:c r="F1367" s="10" t="n">
        <x:v>17</x:v>
      </x:c>
      <x:c r="G1367" s="10" t="n">
        <x:v>21</x:v>
      </x:c>
      <x:c r="H1367" s="10" t="n">
        <x:f>ABS(G1367-F1367)</x:f>
        <x:v>4</x:v>
      </x:c>
      <x:c r="I1367" s="10" t="n">
        <x:f>G1367-F1367</x:f>
        <x:v>4</x:v>
      </x:c>
    </x:row>
    <x:row r="1368" ht="20" customHeight="1">
      <x:c r="A1368" s="1" t="str">
        <x:v>22470</x:v>
      </x:c>
      <x:c r="B1368" s="10" t="n">
        <x:v>3</x:v>
      </x:c>
      <x:c r="C1368" s="9" t="d">
        <x:v>2011-11-16T00:00:00.000Z</x:v>
      </x:c>
      <x:c r="D1368" s="9" t="d">
        <x:v>2011-11-21T00:00:00.000Z</x:v>
      </x:c>
      <x:c r="E1368" s="1" t="str">
        <x:v>seasonal_naive</x:v>
      </x:c>
      <x:c r="F1368" s="10" t="n">
        <x:v>22</x:v>
      </x:c>
      <x:c r="G1368" s="10" t="n">
        <x:v>8</x:v>
      </x:c>
      <x:c r="H1368" s="10" t="n">
        <x:f>ABS(G1368-F1368)</x:f>
        <x:v>14</x:v>
      </x:c>
      <x:c r="I1368" s="10" t="n">
        <x:f>G1368-F1368</x:f>
        <x:v>-14</x:v>
      </x:c>
    </x:row>
    <x:row r="1369" ht="20" customHeight="1">
      <x:c r="A1369" s="1" t="str">
        <x:v>22470</x:v>
      </x:c>
      <x:c r="B1369" s="10" t="n">
        <x:v>3</x:v>
      </x:c>
      <x:c r="C1369" s="9" t="d">
        <x:v>2011-11-16T00:00:00.000Z</x:v>
      </x:c>
      <x:c r="D1369" s="9" t="d">
        <x:v>2011-11-22T00:00:00.000Z</x:v>
      </x:c>
      <x:c r="E1369" s="1" t="str">
        <x:v>seasonal_naive</x:v>
      </x:c>
      <x:c r="F1369" s="10" t="n">
        <x:v>103</x:v>
      </x:c>
      <x:c r="G1369" s="10" t="n">
        <x:v>27</x:v>
      </x:c>
      <x:c r="H1369" s="10" t="n">
        <x:f>ABS(G1369-F1369)</x:f>
        <x:v>76</x:v>
      </x:c>
      <x:c r="I1369" s="10" t="n">
        <x:f>G1369-F1369</x:f>
        <x:v>-76</x:v>
      </x:c>
    </x:row>
    <x:row r="1370" ht="20" customHeight="1">
      <x:c r="A1370" s="1" t="str">
        <x:v>22470</x:v>
      </x:c>
      <x:c r="B1370" s="10" t="n">
        <x:v>3</x:v>
      </x:c>
      <x:c r="C1370" s="9" t="d">
        <x:v>2011-11-16T00:00:00.000Z</x:v>
      </x:c>
      <x:c r="D1370" s="9" t="d">
        <x:v>2011-11-23T00:00:00.000Z</x:v>
      </x:c>
      <x:c r="E1370" s="1" t="str">
        <x:v>seasonal_naive</x:v>
      </x:c>
      <x:c r="F1370" s="10" t="n">
        <x:v>19</x:v>
      </x:c>
      <x:c r="G1370" s="10" t="n">
        <x:v>24</x:v>
      </x:c>
      <x:c r="H1370" s="10" t="n">
        <x:f>ABS(G1370-F1370)</x:f>
        <x:v>5</x:v>
      </x:c>
      <x:c r="I1370" s="10" t="n">
        <x:f>G1370-F1370</x:f>
        <x:v>5</x:v>
      </x:c>
    </x:row>
    <x:row r="1371" ht="20" customHeight="1">
      <x:c r="A1371" s="1" t="str">
        <x:v>22470</x:v>
      </x:c>
      <x:c r="B1371" s="10" t="n">
        <x:v>3</x:v>
      </x:c>
      <x:c r="C1371" s="9" t="d">
        <x:v>2011-11-16T00:00:00.000Z</x:v>
      </x:c>
      <x:c r="D1371" s="9" t="d">
        <x:v>2011-11-24T00:00:00.000Z</x:v>
      </x:c>
      <x:c r="E1371" s="1" t="str">
        <x:v>seasonal_naive</x:v>
      </x:c>
      <x:c r="F1371" s="10" t="n">
        <x:v>1</x:v>
      </x:c>
      <x:c r="G1371" s="10" t="n">
        <x:v>51</x:v>
      </x:c>
      <x:c r="H1371" s="10" t="n">
        <x:f>ABS(G1371-F1371)</x:f>
        <x:v>50</x:v>
      </x:c>
      <x:c r="I1371" s="10" t="n">
        <x:f>G1371-F1371</x:f>
        <x:v>50</x:v>
      </x:c>
    </x:row>
    <x:row r="1372" ht="20" customHeight="1">
      <x:c r="A1372" s="1" t="str">
        <x:v>22470</x:v>
      </x:c>
      <x:c r="B1372" s="10" t="n">
        <x:v>3</x:v>
      </x:c>
      <x:c r="C1372" s="9" t="d">
        <x:v>2011-11-16T00:00:00.000Z</x:v>
      </x:c>
      <x:c r="D1372" s="9" t="d">
        <x:v>2011-11-25T00:00:00.000Z</x:v>
      </x:c>
      <x:c r="E1372" s="1" t="str">
        <x:v>seasonal_naive</x:v>
      </x:c>
      <x:c r="F1372" s="10" t="n">
        <x:v>7</x:v>
      </x:c>
      <x:c r="G1372" s="10" t="n">
        <x:v>9</x:v>
      </x:c>
      <x:c r="H1372" s="10" t="n">
        <x:f>ABS(G1372-F1372)</x:f>
        <x:v>2</x:v>
      </x:c>
      <x:c r="I1372" s="10" t="n">
        <x:f>G1372-F1372</x:f>
        <x:v>2</x:v>
      </x:c>
    </x:row>
    <x:row r="1373" ht="20" customHeight="1">
      <x:c r="A1373" s="1" t="str">
        <x:v>22470</x:v>
      </x:c>
      <x:c r="B1373" s="10" t="n">
        <x:v>3</x:v>
      </x:c>
      <x:c r="C1373" s="9" t="d">
        <x:v>2011-11-16T00:00:00.000Z</x:v>
      </x:c>
      <x:c r="D1373" s="9" t="d">
        <x:v>2011-11-26T00:00:00.000Z</x:v>
      </x:c>
      <x:c r="E1373" s="1" t="str">
        <x:v>seasonal_naive</x:v>
      </x:c>
      <x:c r="F1373" s="10" t="n">
        <x:v>0</x:v>
      </x:c>
      <x:c r="G1373" s="10" t="n">
        <x:v>0</x:v>
      </x:c>
      <x:c r="H1373" s="10" t="n">
        <x:f>ABS(G1373-F1373)</x:f>
        <x:v>0</x:v>
      </x:c>
      <x:c r="I1373" s="10" t="n">
        <x:f>G1373-F1373</x:f>
        <x:v>0</x:v>
      </x:c>
    </x:row>
    <x:row r="1374" ht="20" customHeight="1">
      <x:c r="A1374" s="1" t="str">
        <x:v>22470</x:v>
      </x:c>
      <x:c r="B1374" s="10" t="n">
        <x:v>3</x:v>
      </x:c>
      <x:c r="C1374" s="9" t="d">
        <x:v>2011-11-16T00:00:00.000Z</x:v>
      </x:c>
      <x:c r="D1374" s="9" t="d">
        <x:v>2011-11-27T00:00:00.000Z</x:v>
      </x:c>
      <x:c r="E1374" s="1" t="str">
        <x:v>seasonal_naive</x:v>
      </x:c>
      <x:c r="F1374" s="10" t="n">
        <x:v>3</x:v>
      </x:c>
      <x:c r="G1374" s="10" t="n">
        <x:v>21</x:v>
      </x:c>
      <x:c r="H1374" s="10" t="n">
        <x:f>ABS(G1374-F1374)</x:f>
        <x:v>18</x:v>
      </x:c>
      <x:c r="I1374" s="10" t="n">
        <x:f>G1374-F1374</x:f>
        <x:v>18</x:v>
      </x:c>
    </x:row>
    <x:row r="1375" ht="20" customHeight="1">
      <x:c r="A1375" s="1" t="str">
        <x:v>22470</x:v>
      </x:c>
      <x:c r="B1375" s="10" t="n">
        <x:v>3</x:v>
      </x:c>
      <x:c r="C1375" s="9" t="d">
        <x:v>2011-11-16T00:00:00.000Z</x:v>
      </x:c>
      <x:c r="D1375" s="9" t="d">
        <x:v>2011-11-28T00:00:00.000Z</x:v>
      </x:c>
      <x:c r="E1375" s="1" t="str">
        <x:v>seasonal_naive</x:v>
      </x:c>
      <x:c r="F1375" s="10" t="n">
        <x:v>767</x:v>
      </x:c>
      <x:c r="G1375" s="10" t="n">
        <x:v>8</x:v>
      </x:c>
      <x:c r="H1375" s="10" t="n">
        <x:f>ABS(G1375-F1375)</x:f>
        <x:v>759</x:v>
      </x:c>
      <x:c r="I1375" s="10" t="n">
        <x:f>G1375-F1375</x:f>
        <x:v>-759</x:v>
      </x:c>
    </x:row>
    <x:row r="1376" ht="20" customHeight="1">
      <x:c r="A1376" s="1" t="str">
        <x:v>22470</x:v>
      </x:c>
      <x:c r="B1376" s="10" t="n">
        <x:v>3</x:v>
      </x:c>
      <x:c r="C1376" s="9" t="d">
        <x:v>2011-11-16T00:00:00.000Z</x:v>
      </x:c>
      <x:c r="D1376" s="9" t="d">
        <x:v>2011-11-29T00:00:00.000Z</x:v>
      </x:c>
      <x:c r="E1376" s="1" t="str">
        <x:v>seasonal_naive</x:v>
      </x:c>
      <x:c r="F1376" s="10" t="n">
        <x:v>36</x:v>
      </x:c>
      <x:c r="G1376" s="10" t="n">
        <x:v>27</x:v>
      </x:c>
      <x:c r="H1376" s="10" t="n">
        <x:f>ABS(G1376-F1376)</x:f>
        <x:v>9</x:v>
      </x:c>
      <x:c r="I1376" s="10" t="n">
        <x:f>G1376-F1376</x:f>
        <x:v>-9</x:v>
      </x:c>
    </x:row>
    <x:row r="1377" ht="20" customHeight="1">
      <x:c r="A1377" s="1" t="str">
        <x:v>22470</x:v>
      </x:c>
      <x:c r="B1377" s="10" t="n">
        <x:v>3</x:v>
      </x:c>
      <x:c r="C1377" s="9" t="d">
        <x:v>2011-11-16T00:00:00.000Z</x:v>
      </x:c>
      <x:c r="D1377" s="9" t="d">
        <x:v>2011-11-30T00:00:00.000Z</x:v>
      </x:c>
      <x:c r="E1377" s="1" t="str">
        <x:v>seasonal_naive</x:v>
      </x:c>
      <x:c r="F1377" s="10" t="n">
        <x:v>14</x:v>
      </x:c>
      <x:c r="G1377" s="10" t="n">
        <x:v>24</x:v>
      </x:c>
      <x:c r="H1377" s="10" t="n">
        <x:f>ABS(G1377-F1377)</x:f>
        <x:v>10</x:v>
      </x:c>
      <x:c r="I1377" s="10" t="n">
        <x:f>G1377-F1377</x:f>
        <x:v>10</x:v>
      </x:c>
    </x:row>
    <x:row r="1378" ht="20" customHeight="1">
      <x:c r="A1378" s="1" t="str">
        <x:v>22470</x:v>
      </x:c>
      <x:c r="B1378" s="10" t="n">
        <x:v>3</x:v>
      </x:c>
      <x:c r="C1378" s="9" t="d">
        <x:v>2011-11-16T00:00:00.000Z</x:v>
      </x:c>
      <x:c r="D1378" s="9" t="d">
        <x:v>2011-11-17T00:00:00.000Z</x:v>
      </x:c>
      <x:c r="E1378" s="1" t="str">
        <x:v>ridge</x:v>
      </x:c>
      <x:c r="F1378" s="10" t="n">
        <x:v>8</x:v>
      </x:c>
      <x:c r="G1378" s="10" t="n">
        <x:v>20.3235701641</x:v>
      </x:c>
      <x:c r="H1378" s="10" t="n">
        <x:f>ABS(G1378-F1378)</x:f>
        <x:v>12.323570164100001</x:v>
      </x:c>
      <x:c r="I1378" s="10" t="n">
        <x:f>G1378-F1378</x:f>
        <x:v>12.323570164100001</x:v>
      </x:c>
    </x:row>
    <x:row r="1379" ht="20" customHeight="1">
      <x:c r="A1379" s="1" t="str">
        <x:v>22470</x:v>
      </x:c>
      <x:c r="B1379" s="10" t="n">
        <x:v>3</x:v>
      </x:c>
      <x:c r="C1379" s="9" t="d">
        <x:v>2011-11-16T00:00:00.000Z</x:v>
      </x:c>
      <x:c r="D1379" s="9" t="d">
        <x:v>2011-11-18T00:00:00.000Z</x:v>
      </x:c>
      <x:c r="E1379" s="1" t="str">
        <x:v>ridge</x:v>
      </x:c>
      <x:c r="F1379" s="10" t="n">
        <x:v>19</x:v>
      </x:c>
      <x:c r="G1379" s="10" t="n">
        <x:v>5.4787483087</x:v>
      </x:c>
      <x:c r="H1379" s="10" t="n">
        <x:f>ABS(G1379-F1379)</x:f>
        <x:v>13.5212516913</x:v>
      </x:c>
      <x:c r="I1379" s="10" t="n">
        <x:f>G1379-F1379</x:f>
        <x:v>-13.5212516913</x:v>
      </x:c>
    </x:row>
    <x:row r="1380" ht="20" customHeight="1">
      <x:c r="A1380" s="1" t="str">
        <x:v>22470</x:v>
      </x:c>
      <x:c r="B1380" s="10" t="n">
        <x:v>3</x:v>
      </x:c>
      <x:c r="C1380" s="9" t="d">
        <x:v>2011-11-16T00:00:00.000Z</x:v>
      </x:c>
      <x:c r="D1380" s="9" t="d">
        <x:v>2011-11-19T00:00:00.000Z</x:v>
      </x:c>
      <x:c r="E1380" s="1" t="str">
        <x:v>ridge</x:v>
      </x:c>
      <x:c r="F1380" s="10" t="n">
        <x:v>0</x:v>
      </x:c>
      <x:c r="G1380" s="10" t="n">
        <x:v>2.1410789309</x:v>
      </x:c>
      <x:c r="H1380" s="10" t="n">
        <x:f>ABS(G1380-F1380)</x:f>
        <x:v>2.1410789309</x:v>
      </x:c>
      <x:c r="I1380" s="10" t="n">
        <x:f>G1380-F1380</x:f>
        <x:v>2.1410789309</x:v>
      </x:c>
    </x:row>
    <x:row r="1381" ht="20" customHeight="1">
      <x:c r="A1381" s="1" t="str">
        <x:v>22470</x:v>
      </x:c>
      <x:c r="B1381" s="10" t="n">
        <x:v>3</x:v>
      </x:c>
      <x:c r="C1381" s="9" t="d">
        <x:v>2011-11-16T00:00:00.000Z</x:v>
      </x:c>
      <x:c r="D1381" s="9" t="d">
        <x:v>2011-11-20T00:00:00.000Z</x:v>
      </x:c>
      <x:c r="E1381" s="1" t="str">
        <x:v>ridge</x:v>
      </x:c>
      <x:c r="F1381" s="10" t="n">
        <x:v>17</x:v>
      </x:c>
      <x:c r="G1381" s="10" t="n">
        <x:v>10.5096085823</x:v>
      </x:c>
      <x:c r="H1381" s="10" t="n">
        <x:f>ABS(G1381-F1381)</x:f>
        <x:v>6.4903914177</x:v>
      </x:c>
      <x:c r="I1381" s="10" t="n">
        <x:f>G1381-F1381</x:f>
        <x:v>-6.4903914177</x:v>
      </x:c>
    </x:row>
    <x:row r="1382" ht="20" customHeight="1">
      <x:c r="A1382" s="1" t="str">
        <x:v>22470</x:v>
      </x:c>
      <x:c r="B1382" s="10" t="n">
        <x:v>3</x:v>
      </x:c>
      <x:c r="C1382" s="9" t="d">
        <x:v>2011-11-16T00:00:00.000Z</x:v>
      </x:c>
      <x:c r="D1382" s="9" t="d">
        <x:v>2011-11-21T00:00:00.000Z</x:v>
      </x:c>
      <x:c r="E1382" s="1" t="str">
        <x:v>ridge</x:v>
      </x:c>
      <x:c r="F1382" s="10" t="n">
        <x:v>22</x:v>
      </x:c>
      <x:c r="G1382" s="10" t="n">
        <x:v>26.6951272208</x:v>
      </x:c>
      <x:c r="H1382" s="10" t="n">
        <x:f>ABS(G1382-F1382)</x:f>
        <x:v>4.6951272208</x:v>
      </x:c>
      <x:c r="I1382" s="10" t="n">
        <x:f>G1382-F1382</x:f>
        <x:v>4.6951272208</x:v>
      </x:c>
    </x:row>
    <x:row r="1383" ht="20" customHeight="1">
      <x:c r="A1383" s="1" t="str">
        <x:v>22470</x:v>
      </x:c>
      <x:c r="B1383" s="10" t="n">
        <x:v>3</x:v>
      </x:c>
      <x:c r="C1383" s="9" t="d">
        <x:v>2011-11-16T00:00:00.000Z</x:v>
      </x:c>
      <x:c r="D1383" s="9" t="d">
        <x:v>2011-11-22T00:00:00.000Z</x:v>
      </x:c>
      <x:c r="E1383" s="1" t="str">
        <x:v>ridge</x:v>
      </x:c>
      <x:c r="F1383" s="10" t="n">
        <x:v>103</x:v>
      </x:c>
      <x:c r="G1383" s="10" t="n">
        <x:v>39.0343685255</x:v>
      </x:c>
      <x:c r="H1383" s="10" t="n">
        <x:f>ABS(G1383-F1383)</x:f>
        <x:v>63.9656314745</x:v>
      </x:c>
      <x:c r="I1383" s="10" t="n">
        <x:f>G1383-F1383</x:f>
        <x:v>-63.9656314745</x:v>
      </x:c>
    </x:row>
    <x:row r="1384" ht="20" customHeight="1">
      <x:c r="A1384" s="1" t="str">
        <x:v>22470</x:v>
      </x:c>
      <x:c r="B1384" s="10" t="n">
        <x:v>3</x:v>
      </x:c>
      <x:c r="C1384" s="9" t="d">
        <x:v>2011-11-16T00:00:00.000Z</x:v>
      </x:c>
      <x:c r="D1384" s="9" t="d">
        <x:v>2011-11-23T00:00:00.000Z</x:v>
      </x:c>
      <x:c r="E1384" s="1" t="str">
        <x:v>ridge</x:v>
      </x:c>
      <x:c r="F1384" s="10" t="n">
        <x:v>19</x:v>
      </x:c>
      <x:c r="G1384" s="10" t="n">
        <x:v>37.1816055769</x:v>
      </x:c>
      <x:c r="H1384" s="10" t="n">
        <x:f>ABS(G1384-F1384)</x:f>
        <x:v>18.181605576899997</x:v>
      </x:c>
      <x:c r="I1384" s="10" t="n">
        <x:f>G1384-F1384</x:f>
        <x:v>18.181605576899997</x:v>
      </x:c>
    </x:row>
    <x:row r="1385" ht="20" customHeight="1">
      <x:c r="A1385" s="1" t="str">
        <x:v>22470</x:v>
      </x:c>
      <x:c r="B1385" s="10" t="n">
        <x:v>3</x:v>
      </x:c>
      <x:c r="C1385" s="9" t="d">
        <x:v>2011-11-16T00:00:00.000Z</x:v>
      </x:c>
      <x:c r="D1385" s="9" t="d">
        <x:v>2011-11-24T00:00:00.000Z</x:v>
      </x:c>
      <x:c r="E1385" s="1" t="str">
        <x:v>ridge</x:v>
      </x:c>
      <x:c r="F1385" s="10" t="n">
        <x:v>1</x:v>
      </x:c>
      <x:c r="G1385" s="10" t="n">
        <x:v>22.6038928792</x:v>
      </x:c>
      <x:c r="H1385" s="10" t="n">
        <x:f>ABS(G1385-F1385)</x:f>
        <x:v>21.6038928792</x:v>
      </x:c>
      <x:c r="I1385" s="10" t="n">
        <x:f>G1385-F1385</x:f>
        <x:v>21.6038928792</x:v>
      </x:c>
    </x:row>
    <x:row r="1386" ht="20" customHeight="1">
      <x:c r="A1386" s="1" t="str">
        <x:v>22470</x:v>
      </x:c>
      <x:c r="B1386" s="10" t="n">
        <x:v>3</x:v>
      </x:c>
      <x:c r="C1386" s="9" t="d">
        <x:v>2011-11-16T00:00:00.000Z</x:v>
      </x:c>
      <x:c r="D1386" s="9" t="d">
        <x:v>2011-11-25T00:00:00.000Z</x:v>
      </x:c>
      <x:c r="E1386" s="1" t="str">
        <x:v>ridge</x:v>
      </x:c>
      <x:c r="F1386" s="10" t="n">
        <x:v>7</x:v>
      </x:c>
      <x:c r="G1386" s="10" t="n">
        <x:v>7.8794892348</x:v>
      </x:c>
      <x:c r="H1386" s="10" t="n">
        <x:f>ABS(G1386-F1386)</x:f>
        <x:v>0.8794892348000003</x:v>
      </x:c>
      <x:c r="I1386" s="10" t="n">
        <x:f>G1386-F1386</x:f>
        <x:v>0.8794892348000003</x:v>
      </x:c>
    </x:row>
    <x:row r="1387" ht="20" customHeight="1">
      <x:c r="A1387" s="1" t="str">
        <x:v>22470</x:v>
      </x:c>
      <x:c r="B1387" s="10" t="n">
        <x:v>3</x:v>
      </x:c>
      <x:c r="C1387" s="9" t="d">
        <x:v>2011-11-16T00:00:00.000Z</x:v>
      </x:c>
      <x:c r="D1387" s="9" t="d">
        <x:v>2011-11-26T00:00:00.000Z</x:v>
      </x:c>
      <x:c r="E1387" s="1" t="str">
        <x:v>ridge</x:v>
      </x:c>
      <x:c r="F1387" s="10" t="n">
        <x:v>0</x:v>
      </x:c>
      <x:c r="G1387" s="10" t="n">
        <x:v>3.179594031</x:v>
      </x:c>
      <x:c r="H1387" s="10" t="n">
        <x:f>ABS(G1387-F1387)</x:f>
        <x:v>3.179594031</x:v>
      </x:c>
      <x:c r="I1387" s="10" t="n">
        <x:f>G1387-F1387</x:f>
        <x:v>3.179594031</x:v>
      </x:c>
    </x:row>
    <x:row r="1388" ht="20" customHeight="1">
      <x:c r="A1388" s="1" t="str">
        <x:v>22470</x:v>
      </x:c>
      <x:c r="B1388" s="10" t="n">
        <x:v>3</x:v>
      </x:c>
      <x:c r="C1388" s="9" t="d">
        <x:v>2011-11-16T00:00:00.000Z</x:v>
      </x:c>
      <x:c r="D1388" s="9" t="d">
        <x:v>2011-11-27T00:00:00.000Z</x:v>
      </x:c>
      <x:c r="E1388" s="1" t="str">
        <x:v>ridge</x:v>
      </x:c>
      <x:c r="F1388" s="10" t="n">
        <x:v>3</x:v>
      </x:c>
      <x:c r="G1388" s="10" t="n">
        <x:v>11.9964508819</x:v>
      </x:c>
      <x:c r="H1388" s="10" t="n">
        <x:f>ABS(G1388-F1388)</x:f>
        <x:v>8.9964508819</x:v>
      </x:c>
      <x:c r="I1388" s="10" t="n">
        <x:f>G1388-F1388</x:f>
        <x:v>8.9964508819</x:v>
      </x:c>
    </x:row>
    <x:row r="1389" ht="20" customHeight="1">
      <x:c r="A1389" s="1" t="str">
        <x:v>22470</x:v>
      </x:c>
      <x:c r="B1389" s="10" t="n">
        <x:v>3</x:v>
      </x:c>
      <x:c r="C1389" s="9" t="d">
        <x:v>2011-11-16T00:00:00.000Z</x:v>
      </x:c>
      <x:c r="D1389" s="9" t="d">
        <x:v>2011-11-28T00:00:00.000Z</x:v>
      </x:c>
      <x:c r="E1389" s="1" t="str">
        <x:v>ridge</x:v>
      </x:c>
      <x:c r="F1389" s="10" t="n">
        <x:v>767</x:v>
      </x:c>
      <x:c r="G1389" s="10" t="n">
        <x:v>28.8118580385</x:v>
      </x:c>
      <x:c r="H1389" s="10" t="n">
        <x:f>ABS(G1389-F1389)</x:f>
        <x:v>738.1881419615</x:v>
      </x:c>
      <x:c r="I1389" s="10" t="n">
        <x:f>G1389-F1389</x:f>
        <x:v>-738.1881419615</x:v>
      </x:c>
    </x:row>
    <x:row r="1390" ht="20" customHeight="1">
      <x:c r="A1390" s="1" t="str">
        <x:v>22470</x:v>
      </x:c>
      <x:c r="B1390" s="10" t="n">
        <x:v>3</x:v>
      </x:c>
      <x:c r="C1390" s="9" t="d">
        <x:v>2011-11-16T00:00:00.000Z</x:v>
      </x:c>
      <x:c r="D1390" s="9" t="d">
        <x:v>2011-11-29T00:00:00.000Z</x:v>
      </x:c>
      <x:c r="E1390" s="1" t="str">
        <x:v>ridge</x:v>
      </x:c>
      <x:c r="F1390" s="10" t="n">
        <x:v>36</x:v>
      </x:c>
      <x:c r="G1390" s="10" t="n">
        <x:v>39.8876906432</x:v>
      </x:c>
      <x:c r="H1390" s="10" t="n">
        <x:f>ABS(G1390-F1390)</x:f>
        <x:v>3.8876906432000027</x:v>
      </x:c>
      <x:c r="I1390" s="10" t="n">
        <x:f>G1390-F1390</x:f>
        <x:v>3.8876906432000027</x:v>
      </x:c>
    </x:row>
    <x:row r="1391" ht="20" customHeight="1">
      <x:c r="A1391" s="1" t="str">
        <x:v>22470</x:v>
      </x:c>
      <x:c r="B1391" s="10" t="n">
        <x:v>3</x:v>
      </x:c>
      <x:c r="C1391" s="9" t="d">
        <x:v>2011-11-16T00:00:00.000Z</x:v>
      </x:c>
      <x:c r="D1391" s="9" t="d">
        <x:v>2011-11-30T00:00:00.000Z</x:v>
      </x:c>
      <x:c r="E1391" s="1" t="str">
        <x:v>ridge</x:v>
      </x:c>
      <x:c r="F1391" s="10" t="n">
        <x:v>14</x:v>
      </x:c>
      <x:c r="G1391" s="10" t="n">
        <x:v>37.5982916539</x:v>
      </x:c>
      <x:c r="H1391" s="10" t="n">
        <x:f>ABS(G1391-F1391)</x:f>
        <x:v>23.5982916539</x:v>
      </x:c>
      <x:c r="I1391" s="10" t="n">
        <x:f>G1391-F1391</x:f>
        <x:v>23.5982916539</x:v>
      </x:c>
    </x:row>
    <x:row r="1392" ht="20" customHeight="1">
      <x:c r="A1392" s="1" t="str">
        <x:v>22666</x:v>
      </x:c>
      <x:c r="B1392" s="10" t="n">
        <x:v>1</x:v>
      </x:c>
      <x:c r="C1392" s="9" t="d">
        <x:v>2011-10-19T00:00:00.000Z</x:v>
      </x:c>
      <x:c r="D1392" s="9" t="d">
        <x:v>2011-10-20T00:00:00.000Z</x:v>
      </x:c>
      <x:c r="E1392" s="1" t="str">
        <x:v>naive</x:v>
      </x:c>
      <x:c r="F1392" s="10" t="n">
        <x:v>6</x:v>
      </x:c>
      <x:c r="G1392" s="10" t="n">
        <x:v>30</x:v>
      </x:c>
      <x:c r="H1392" s="10" t="n">
        <x:f>ABS(G1392-F1392)</x:f>
        <x:v>24</x:v>
      </x:c>
      <x:c r="I1392" s="10" t="n">
        <x:f>G1392-F1392</x:f>
        <x:v>24</x:v>
      </x:c>
    </x:row>
    <x:row r="1393" ht="20" customHeight="1">
      <x:c r="A1393" s="1" t="str">
        <x:v>22666</x:v>
      </x:c>
      <x:c r="B1393" s="10" t="n">
        <x:v>1</x:v>
      </x:c>
      <x:c r="C1393" s="9" t="d">
        <x:v>2011-10-19T00:00:00.000Z</x:v>
      </x:c>
      <x:c r="D1393" s="9" t="d">
        <x:v>2011-10-21T00:00:00.000Z</x:v>
      </x:c>
      <x:c r="E1393" s="1" t="str">
        <x:v>naive</x:v>
      </x:c>
      <x:c r="F1393" s="10" t="n">
        <x:v>11</x:v>
      </x:c>
      <x:c r="G1393" s="10" t="n">
        <x:v>30</x:v>
      </x:c>
      <x:c r="H1393" s="10" t="n">
        <x:f>ABS(G1393-F1393)</x:f>
        <x:v>19</x:v>
      </x:c>
      <x:c r="I1393" s="10" t="n">
        <x:f>G1393-F1393</x:f>
        <x:v>19</x:v>
      </x:c>
    </x:row>
    <x:row r="1394" ht="20" customHeight="1">
      <x:c r="A1394" s="1" t="str">
        <x:v>22666</x:v>
      </x:c>
      <x:c r="B1394" s="10" t="n">
        <x:v>1</x:v>
      </x:c>
      <x:c r="C1394" s="9" t="d">
        <x:v>2011-10-19T00:00:00.000Z</x:v>
      </x:c>
      <x:c r="D1394" s="9" t="d">
        <x:v>2011-10-22T00:00:00.000Z</x:v>
      </x:c>
      <x:c r="E1394" s="1" t="str">
        <x:v>naive</x:v>
      </x:c>
      <x:c r="F1394" s="10" t="n">
        <x:v>0</x:v>
      </x:c>
      <x:c r="G1394" s="10" t="n">
        <x:v>30</x:v>
      </x:c>
      <x:c r="H1394" s="10" t="n">
        <x:f>ABS(G1394-F1394)</x:f>
        <x:v>30</x:v>
      </x:c>
      <x:c r="I1394" s="10" t="n">
        <x:f>G1394-F1394</x:f>
        <x:v>30</x:v>
      </x:c>
    </x:row>
    <x:row r="1395" ht="20" customHeight="1">
      <x:c r="A1395" s="1" t="str">
        <x:v>22666</x:v>
      </x:c>
      <x:c r="B1395" s="10" t="n">
        <x:v>1</x:v>
      </x:c>
      <x:c r="C1395" s="9" t="d">
        <x:v>2011-10-19T00:00:00.000Z</x:v>
      </x:c>
      <x:c r="D1395" s="9" t="d">
        <x:v>2011-10-23T00:00:00.000Z</x:v>
      </x:c>
      <x:c r="E1395" s="1" t="str">
        <x:v>naive</x:v>
      </x:c>
      <x:c r="F1395" s="10" t="n">
        <x:v>11</x:v>
      </x:c>
      <x:c r="G1395" s="10" t="n">
        <x:v>30</x:v>
      </x:c>
      <x:c r="H1395" s="10" t="n">
        <x:f>ABS(G1395-F1395)</x:f>
        <x:v>19</x:v>
      </x:c>
      <x:c r="I1395" s="10" t="n">
        <x:f>G1395-F1395</x:f>
        <x:v>19</x:v>
      </x:c>
    </x:row>
    <x:row r="1396" ht="20" customHeight="1">
      <x:c r="A1396" s="1" t="str">
        <x:v>22666</x:v>
      </x:c>
      <x:c r="B1396" s="10" t="n">
        <x:v>1</x:v>
      </x:c>
      <x:c r="C1396" s="9" t="d">
        <x:v>2011-10-19T00:00:00.000Z</x:v>
      </x:c>
      <x:c r="D1396" s="9" t="d">
        <x:v>2011-10-24T00:00:00.000Z</x:v>
      </x:c>
      <x:c r="E1396" s="1" t="str">
        <x:v>naive</x:v>
      </x:c>
      <x:c r="F1396" s="10" t="n">
        <x:v>12</x:v>
      </x:c>
      <x:c r="G1396" s="10" t="n">
        <x:v>30</x:v>
      </x:c>
      <x:c r="H1396" s="10" t="n">
        <x:f>ABS(G1396-F1396)</x:f>
        <x:v>18</x:v>
      </x:c>
      <x:c r="I1396" s="10" t="n">
        <x:f>G1396-F1396</x:f>
        <x:v>18</x:v>
      </x:c>
    </x:row>
    <x:row r="1397" ht="20" customHeight="1">
      <x:c r="A1397" s="1" t="str">
        <x:v>22666</x:v>
      </x:c>
      <x:c r="B1397" s="10" t="n">
        <x:v>1</x:v>
      </x:c>
      <x:c r="C1397" s="9" t="d">
        <x:v>2011-10-19T00:00:00.000Z</x:v>
      </x:c>
      <x:c r="D1397" s="9" t="d">
        <x:v>2011-10-25T00:00:00.000Z</x:v>
      </x:c>
      <x:c r="E1397" s="1" t="str">
        <x:v>naive</x:v>
      </x:c>
      <x:c r="F1397" s="10" t="n">
        <x:v>29</x:v>
      </x:c>
      <x:c r="G1397" s="10" t="n">
        <x:v>30</x:v>
      </x:c>
      <x:c r="H1397" s="10" t="n">
        <x:f>ABS(G1397-F1397)</x:f>
        <x:v>1</x:v>
      </x:c>
      <x:c r="I1397" s="10" t="n">
        <x:f>G1397-F1397</x:f>
        <x:v>1</x:v>
      </x:c>
    </x:row>
    <x:row r="1398" ht="20" customHeight="1">
      <x:c r="A1398" s="1" t="str">
        <x:v>22666</x:v>
      </x:c>
      <x:c r="B1398" s="10" t="n">
        <x:v>1</x:v>
      </x:c>
      <x:c r="C1398" s="9" t="d">
        <x:v>2011-10-19T00:00:00.000Z</x:v>
      </x:c>
      <x:c r="D1398" s="9" t="d">
        <x:v>2011-10-26T00:00:00.000Z</x:v>
      </x:c>
      <x:c r="E1398" s="1" t="str">
        <x:v>naive</x:v>
      </x:c>
      <x:c r="F1398" s="10" t="n">
        <x:v>4</x:v>
      </x:c>
      <x:c r="G1398" s="10" t="n">
        <x:v>30</x:v>
      </x:c>
      <x:c r="H1398" s="10" t="n">
        <x:f>ABS(G1398-F1398)</x:f>
        <x:v>26</x:v>
      </x:c>
      <x:c r="I1398" s="10" t="n">
        <x:f>G1398-F1398</x:f>
        <x:v>26</x:v>
      </x:c>
    </x:row>
    <x:row r="1399" ht="20" customHeight="1">
      <x:c r="A1399" s="1" t="str">
        <x:v>22666</x:v>
      </x:c>
      <x:c r="B1399" s="10" t="n">
        <x:v>1</x:v>
      </x:c>
      <x:c r="C1399" s="9" t="d">
        <x:v>2011-10-19T00:00:00.000Z</x:v>
      </x:c>
      <x:c r="D1399" s="9" t="d">
        <x:v>2011-10-27T00:00:00.000Z</x:v>
      </x:c>
      <x:c r="E1399" s="1" t="str">
        <x:v>naive</x:v>
      </x:c>
      <x:c r="F1399" s="10" t="n">
        <x:v>25</x:v>
      </x:c>
      <x:c r="G1399" s="10" t="n">
        <x:v>30</x:v>
      </x:c>
      <x:c r="H1399" s="10" t="n">
        <x:f>ABS(G1399-F1399)</x:f>
        <x:v>5</x:v>
      </x:c>
      <x:c r="I1399" s="10" t="n">
        <x:f>G1399-F1399</x:f>
        <x:v>5</x:v>
      </x:c>
    </x:row>
    <x:row r="1400" ht="20" customHeight="1">
      <x:c r="A1400" s="1" t="str">
        <x:v>22666</x:v>
      </x:c>
      <x:c r="B1400" s="10" t="n">
        <x:v>1</x:v>
      </x:c>
      <x:c r="C1400" s="9" t="d">
        <x:v>2011-10-19T00:00:00.000Z</x:v>
      </x:c>
      <x:c r="D1400" s="9" t="d">
        <x:v>2011-10-28T00:00:00.000Z</x:v>
      </x:c>
      <x:c r="E1400" s="1" t="str">
        <x:v>naive</x:v>
      </x:c>
      <x:c r="F1400" s="10" t="n">
        <x:v>7</x:v>
      </x:c>
      <x:c r="G1400" s="10" t="n">
        <x:v>30</x:v>
      </x:c>
      <x:c r="H1400" s="10" t="n">
        <x:f>ABS(G1400-F1400)</x:f>
        <x:v>23</x:v>
      </x:c>
      <x:c r="I1400" s="10" t="n">
        <x:f>G1400-F1400</x:f>
        <x:v>23</x:v>
      </x:c>
    </x:row>
    <x:row r="1401" ht="20" customHeight="1">
      <x:c r="A1401" s="1" t="str">
        <x:v>22666</x:v>
      </x:c>
      <x:c r="B1401" s="10" t="n">
        <x:v>1</x:v>
      </x:c>
      <x:c r="C1401" s="9" t="d">
        <x:v>2011-10-19T00:00:00.000Z</x:v>
      </x:c>
      <x:c r="D1401" s="9" t="d">
        <x:v>2011-10-29T00:00:00.000Z</x:v>
      </x:c>
      <x:c r="E1401" s="1" t="str">
        <x:v>naive</x:v>
      </x:c>
      <x:c r="F1401" s="10" t="n">
        <x:v>0</x:v>
      </x:c>
      <x:c r="G1401" s="10" t="n">
        <x:v>30</x:v>
      </x:c>
      <x:c r="H1401" s="10" t="n">
        <x:f>ABS(G1401-F1401)</x:f>
        <x:v>30</x:v>
      </x:c>
      <x:c r="I1401" s="10" t="n">
        <x:f>G1401-F1401</x:f>
        <x:v>30</x:v>
      </x:c>
    </x:row>
    <x:row r="1402" ht="20" customHeight="1">
      <x:c r="A1402" s="1" t="str">
        <x:v>22666</x:v>
      </x:c>
      <x:c r="B1402" s="10" t="n">
        <x:v>1</x:v>
      </x:c>
      <x:c r="C1402" s="9" t="d">
        <x:v>2011-10-19T00:00:00.000Z</x:v>
      </x:c>
      <x:c r="D1402" s="9" t="d">
        <x:v>2011-10-30T00:00:00.000Z</x:v>
      </x:c>
      <x:c r="E1402" s="1" t="str">
        <x:v>naive</x:v>
      </x:c>
      <x:c r="F1402" s="10" t="n">
        <x:v>26</x:v>
      </x:c>
      <x:c r="G1402" s="10" t="n">
        <x:v>30</x:v>
      </x:c>
      <x:c r="H1402" s="10" t="n">
        <x:f>ABS(G1402-F1402)</x:f>
        <x:v>4</x:v>
      </x:c>
      <x:c r="I1402" s="10" t="n">
        <x:f>G1402-F1402</x:f>
        <x:v>4</x:v>
      </x:c>
    </x:row>
    <x:row r="1403" ht="20" customHeight="1">
      <x:c r="A1403" s="1" t="str">
        <x:v>22666</x:v>
      </x:c>
      <x:c r="B1403" s="10" t="n">
        <x:v>1</x:v>
      </x:c>
      <x:c r="C1403" s="9" t="d">
        <x:v>2011-10-19T00:00:00.000Z</x:v>
      </x:c>
      <x:c r="D1403" s="9" t="d">
        <x:v>2011-10-31T00:00:00.000Z</x:v>
      </x:c>
      <x:c r="E1403" s="1" t="str">
        <x:v>naive</x:v>
      </x:c>
      <x:c r="F1403" s="10" t="n">
        <x:v>22</x:v>
      </x:c>
      <x:c r="G1403" s="10" t="n">
        <x:v>30</x:v>
      </x:c>
      <x:c r="H1403" s="10" t="n">
        <x:f>ABS(G1403-F1403)</x:f>
        <x:v>8</x:v>
      </x:c>
      <x:c r="I1403" s="10" t="n">
        <x:f>G1403-F1403</x:f>
        <x:v>8</x:v>
      </x:c>
    </x:row>
    <x:row r="1404" ht="20" customHeight="1">
      <x:c r="A1404" s="1" t="str">
        <x:v>22666</x:v>
      </x:c>
      <x:c r="B1404" s="10" t="n">
        <x:v>1</x:v>
      </x:c>
      <x:c r="C1404" s="9" t="d">
        <x:v>2011-10-19T00:00:00.000Z</x:v>
      </x:c>
      <x:c r="D1404" s="9" t="d">
        <x:v>2011-11-01T00:00:00.000Z</x:v>
      </x:c>
      <x:c r="E1404" s="1" t="str">
        <x:v>naive</x:v>
      </x:c>
      <x:c r="F1404" s="10" t="n">
        <x:v>41</x:v>
      </x:c>
      <x:c r="G1404" s="10" t="n">
        <x:v>30</x:v>
      </x:c>
      <x:c r="H1404" s="10" t="n">
        <x:f>ABS(G1404-F1404)</x:f>
        <x:v>11</x:v>
      </x:c>
      <x:c r="I1404" s="10" t="n">
        <x:f>G1404-F1404</x:f>
        <x:v>-11</x:v>
      </x:c>
    </x:row>
    <x:row r="1405" ht="20" customHeight="1">
      <x:c r="A1405" s="1" t="str">
        <x:v>22666</x:v>
      </x:c>
      <x:c r="B1405" s="10" t="n">
        <x:v>1</x:v>
      </x:c>
      <x:c r="C1405" s="9" t="d">
        <x:v>2011-10-19T00:00:00.000Z</x:v>
      </x:c>
      <x:c r="D1405" s="9" t="d">
        <x:v>2011-11-02T00:00:00.000Z</x:v>
      </x:c>
      <x:c r="E1405" s="1" t="str">
        <x:v>naive</x:v>
      </x:c>
      <x:c r="F1405" s="10" t="n">
        <x:v>56</x:v>
      </x:c>
      <x:c r="G1405" s="10" t="n">
        <x:v>30</x:v>
      </x:c>
      <x:c r="H1405" s="10" t="n">
        <x:f>ABS(G1405-F1405)</x:f>
        <x:v>26</x:v>
      </x:c>
      <x:c r="I1405" s="10" t="n">
        <x:f>G1405-F1405</x:f>
        <x:v>-26</x:v>
      </x:c>
    </x:row>
    <x:row r="1406" ht="20" customHeight="1">
      <x:c r="A1406" s="1" t="str">
        <x:v>22666</x:v>
      </x:c>
      <x:c r="B1406" s="10" t="n">
        <x:v>1</x:v>
      </x:c>
      <x:c r="C1406" s="9" t="d">
        <x:v>2011-10-19T00:00:00.000Z</x:v>
      </x:c>
      <x:c r="D1406" s="9" t="d">
        <x:v>2011-10-20T00:00:00.000Z</x:v>
      </x:c>
      <x:c r="E1406" s="1" t="str">
        <x:v>seasonal_naive</x:v>
      </x:c>
      <x:c r="F1406" s="10" t="n">
        <x:v>6</x:v>
      </x:c>
      <x:c r="G1406" s="10" t="n">
        <x:v>29</x:v>
      </x:c>
      <x:c r="H1406" s="10" t="n">
        <x:f>ABS(G1406-F1406)</x:f>
        <x:v>23</x:v>
      </x:c>
      <x:c r="I1406" s="10" t="n">
        <x:f>G1406-F1406</x:f>
        <x:v>23</x:v>
      </x:c>
    </x:row>
    <x:row r="1407" ht="20" customHeight="1">
      <x:c r="A1407" s="1" t="str">
        <x:v>22666</x:v>
      </x:c>
      <x:c r="B1407" s="10" t="n">
        <x:v>1</x:v>
      </x:c>
      <x:c r="C1407" s="9" t="d">
        <x:v>2011-10-19T00:00:00.000Z</x:v>
      </x:c>
      <x:c r="D1407" s="9" t="d">
        <x:v>2011-10-21T00:00:00.000Z</x:v>
      </x:c>
      <x:c r="E1407" s="1" t="str">
        <x:v>seasonal_naive</x:v>
      </x:c>
      <x:c r="F1407" s="10" t="n">
        <x:v>11</x:v>
      </x:c>
      <x:c r="G1407" s="10" t="n">
        <x:v>14</x:v>
      </x:c>
      <x:c r="H1407" s="10" t="n">
        <x:f>ABS(G1407-F1407)</x:f>
        <x:v>3</x:v>
      </x:c>
      <x:c r="I1407" s="10" t="n">
        <x:f>G1407-F1407</x:f>
        <x:v>3</x:v>
      </x:c>
    </x:row>
    <x:row r="1408" ht="20" customHeight="1">
      <x:c r="A1408" s="1" t="str">
        <x:v>22666</x:v>
      </x:c>
      <x:c r="B1408" s="10" t="n">
        <x:v>1</x:v>
      </x:c>
      <x:c r="C1408" s="9" t="d">
        <x:v>2011-10-19T00:00:00.000Z</x:v>
      </x:c>
      <x:c r="D1408" s="9" t="d">
        <x:v>2011-10-22T00:00:00.000Z</x:v>
      </x:c>
      <x:c r="E1408" s="1" t="str">
        <x:v>seasonal_naive</x:v>
      </x:c>
      <x:c r="F1408" s="10" t="n">
        <x:v>0</x:v>
      </x:c>
      <x:c r="G1408" s="10" t="n">
        <x:v>0</x:v>
      </x:c>
      <x:c r="H1408" s="10" t="n">
        <x:f>ABS(G1408-F1408)</x:f>
        <x:v>0</x:v>
      </x:c>
      <x:c r="I1408" s="10" t="n">
        <x:f>G1408-F1408</x:f>
        <x:v>0</x:v>
      </x:c>
    </x:row>
    <x:row r="1409" ht="20" customHeight="1">
      <x:c r="A1409" s="1" t="str">
        <x:v>22666</x:v>
      </x:c>
      <x:c r="B1409" s="10" t="n">
        <x:v>1</x:v>
      </x:c>
      <x:c r="C1409" s="9" t="d">
        <x:v>2011-10-19T00:00:00.000Z</x:v>
      </x:c>
      <x:c r="D1409" s="9" t="d">
        <x:v>2011-10-23T00:00:00.000Z</x:v>
      </x:c>
      <x:c r="E1409" s="1" t="str">
        <x:v>seasonal_naive</x:v>
      </x:c>
      <x:c r="F1409" s="10" t="n">
        <x:v>11</x:v>
      </x:c>
      <x:c r="G1409" s="10" t="n">
        <x:v>6</x:v>
      </x:c>
      <x:c r="H1409" s="10" t="n">
        <x:f>ABS(G1409-F1409)</x:f>
        <x:v>5</x:v>
      </x:c>
      <x:c r="I1409" s="10" t="n">
        <x:f>G1409-F1409</x:f>
        <x:v>-5</x:v>
      </x:c>
    </x:row>
    <x:row r="1410" ht="20" customHeight="1">
      <x:c r="A1410" s="1" t="str">
        <x:v>22666</x:v>
      </x:c>
      <x:c r="B1410" s="10" t="n">
        <x:v>1</x:v>
      </x:c>
      <x:c r="C1410" s="9" t="d">
        <x:v>2011-10-19T00:00:00.000Z</x:v>
      </x:c>
      <x:c r="D1410" s="9" t="d">
        <x:v>2011-10-24T00:00:00.000Z</x:v>
      </x:c>
      <x:c r="E1410" s="1" t="str">
        <x:v>seasonal_naive</x:v>
      </x:c>
      <x:c r="F1410" s="10" t="n">
        <x:v>12</x:v>
      </x:c>
      <x:c r="G1410" s="10" t="n">
        <x:v>11</x:v>
      </x:c>
      <x:c r="H1410" s="10" t="n">
        <x:f>ABS(G1410-F1410)</x:f>
        <x:v>1</x:v>
      </x:c>
      <x:c r="I1410" s="10" t="n">
        <x:f>G1410-F1410</x:f>
        <x:v>-1</x:v>
      </x:c>
    </x:row>
    <x:row r="1411" ht="20" customHeight="1">
      <x:c r="A1411" s="1" t="str">
        <x:v>22666</x:v>
      </x:c>
      <x:c r="B1411" s="10" t="n">
        <x:v>1</x:v>
      </x:c>
      <x:c r="C1411" s="9" t="d">
        <x:v>2011-10-19T00:00:00.000Z</x:v>
      </x:c>
      <x:c r="D1411" s="9" t="d">
        <x:v>2011-10-25T00:00:00.000Z</x:v>
      </x:c>
      <x:c r="E1411" s="1" t="str">
        <x:v>seasonal_naive</x:v>
      </x:c>
      <x:c r="F1411" s="10" t="n">
        <x:v>29</x:v>
      </x:c>
      <x:c r="G1411" s="10" t="n">
        <x:v>17</x:v>
      </x:c>
      <x:c r="H1411" s="10" t="n">
        <x:f>ABS(G1411-F1411)</x:f>
        <x:v>12</x:v>
      </x:c>
      <x:c r="I1411" s="10" t="n">
        <x:f>G1411-F1411</x:f>
        <x:v>-12</x:v>
      </x:c>
    </x:row>
    <x:row r="1412" ht="20" customHeight="1">
      <x:c r="A1412" s="1" t="str">
        <x:v>22666</x:v>
      </x:c>
      <x:c r="B1412" s="10" t="n">
        <x:v>1</x:v>
      </x:c>
      <x:c r="C1412" s="9" t="d">
        <x:v>2011-10-19T00:00:00.000Z</x:v>
      </x:c>
      <x:c r="D1412" s="9" t="d">
        <x:v>2011-10-26T00:00:00.000Z</x:v>
      </x:c>
      <x:c r="E1412" s="1" t="str">
        <x:v>seasonal_naive</x:v>
      </x:c>
      <x:c r="F1412" s="10" t="n">
        <x:v>4</x:v>
      </x:c>
      <x:c r="G1412" s="10" t="n">
        <x:v>30</x:v>
      </x:c>
      <x:c r="H1412" s="10" t="n">
        <x:f>ABS(G1412-F1412)</x:f>
        <x:v>26</x:v>
      </x:c>
      <x:c r="I1412" s="10" t="n">
        <x:f>G1412-F1412</x:f>
        <x:v>26</x:v>
      </x:c>
    </x:row>
    <x:row r="1413" ht="20" customHeight="1">
      <x:c r="A1413" s="1" t="str">
        <x:v>22666</x:v>
      </x:c>
      <x:c r="B1413" s="10" t="n">
        <x:v>1</x:v>
      </x:c>
      <x:c r="C1413" s="9" t="d">
        <x:v>2011-10-19T00:00:00.000Z</x:v>
      </x:c>
      <x:c r="D1413" s="9" t="d">
        <x:v>2011-10-27T00:00:00.000Z</x:v>
      </x:c>
      <x:c r="E1413" s="1" t="str">
        <x:v>seasonal_naive</x:v>
      </x:c>
      <x:c r="F1413" s="10" t="n">
        <x:v>25</x:v>
      </x:c>
      <x:c r="G1413" s="10" t="n">
        <x:v>29</x:v>
      </x:c>
      <x:c r="H1413" s="10" t="n">
        <x:f>ABS(G1413-F1413)</x:f>
        <x:v>4</x:v>
      </x:c>
      <x:c r="I1413" s="10" t="n">
        <x:f>G1413-F1413</x:f>
        <x:v>4</x:v>
      </x:c>
    </x:row>
    <x:row r="1414" ht="20" customHeight="1">
      <x:c r="A1414" s="1" t="str">
        <x:v>22666</x:v>
      </x:c>
      <x:c r="B1414" s="10" t="n">
        <x:v>1</x:v>
      </x:c>
      <x:c r="C1414" s="9" t="d">
        <x:v>2011-10-19T00:00:00.000Z</x:v>
      </x:c>
      <x:c r="D1414" s="9" t="d">
        <x:v>2011-10-28T00:00:00.000Z</x:v>
      </x:c>
      <x:c r="E1414" s="1" t="str">
        <x:v>seasonal_naive</x:v>
      </x:c>
      <x:c r="F1414" s="10" t="n">
        <x:v>7</x:v>
      </x:c>
      <x:c r="G1414" s="10" t="n">
        <x:v>14</x:v>
      </x:c>
      <x:c r="H1414" s="10" t="n">
        <x:f>ABS(G1414-F1414)</x:f>
        <x:v>7</x:v>
      </x:c>
      <x:c r="I1414" s="10" t="n">
        <x:f>G1414-F1414</x:f>
        <x:v>7</x:v>
      </x:c>
    </x:row>
    <x:row r="1415" ht="20" customHeight="1">
      <x:c r="A1415" s="1" t="str">
        <x:v>22666</x:v>
      </x:c>
      <x:c r="B1415" s="10" t="n">
        <x:v>1</x:v>
      </x:c>
      <x:c r="C1415" s="9" t="d">
        <x:v>2011-10-19T00:00:00.000Z</x:v>
      </x:c>
      <x:c r="D1415" s="9" t="d">
        <x:v>2011-10-29T00:00:00.000Z</x:v>
      </x:c>
      <x:c r="E1415" s="1" t="str">
        <x:v>seasonal_naive</x:v>
      </x:c>
      <x:c r="F1415" s="10" t="n">
        <x:v>0</x:v>
      </x:c>
      <x:c r="G1415" s="10" t="n">
        <x:v>0</x:v>
      </x:c>
      <x:c r="H1415" s="10" t="n">
        <x:f>ABS(G1415-F1415)</x:f>
        <x:v>0</x:v>
      </x:c>
      <x:c r="I1415" s="10" t="n">
        <x:f>G1415-F1415</x:f>
        <x:v>0</x:v>
      </x:c>
    </x:row>
    <x:row r="1416" ht="20" customHeight="1">
      <x:c r="A1416" s="1" t="str">
        <x:v>22666</x:v>
      </x:c>
      <x:c r="B1416" s="10" t="n">
        <x:v>1</x:v>
      </x:c>
      <x:c r="C1416" s="9" t="d">
        <x:v>2011-10-19T00:00:00.000Z</x:v>
      </x:c>
      <x:c r="D1416" s="9" t="d">
        <x:v>2011-10-30T00:00:00.000Z</x:v>
      </x:c>
      <x:c r="E1416" s="1" t="str">
        <x:v>seasonal_naive</x:v>
      </x:c>
      <x:c r="F1416" s="10" t="n">
        <x:v>26</x:v>
      </x:c>
      <x:c r="G1416" s="10" t="n">
        <x:v>6</x:v>
      </x:c>
      <x:c r="H1416" s="10" t="n">
        <x:f>ABS(G1416-F1416)</x:f>
        <x:v>20</x:v>
      </x:c>
      <x:c r="I1416" s="10" t="n">
        <x:f>G1416-F1416</x:f>
        <x:v>-20</x:v>
      </x:c>
    </x:row>
    <x:row r="1417" ht="20" customHeight="1">
      <x:c r="A1417" s="1" t="str">
        <x:v>22666</x:v>
      </x:c>
      <x:c r="B1417" s="10" t="n">
        <x:v>1</x:v>
      </x:c>
      <x:c r="C1417" s="9" t="d">
        <x:v>2011-10-19T00:00:00.000Z</x:v>
      </x:c>
      <x:c r="D1417" s="9" t="d">
        <x:v>2011-10-31T00:00:00.000Z</x:v>
      </x:c>
      <x:c r="E1417" s="1" t="str">
        <x:v>seasonal_naive</x:v>
      </x:c>
      <x:c r="F1417" s="10" t="n">
        <x:v>22</x:v>
      </x:c>
      <x:c r="G1417" s="10" t="n">
        <x:v>11</x:v>
      </x:c>
      <x:c r="H1417" s="10" t="n">
        <x:f>ABS(G1417-F1417)</x:f>
        <x:v>11</x:v>
      </x:c>
      <x:c r="I1417" s="10" t="n">
        <x:f>G1417-F1417</x:f>
        <x:v>-11</x:v>
      </x:c>
    </x:row>
    <x:row r="1418" ht="20" customHeight="1">
      <x:c r="A1418" s="1" t="str">
        <x:v>22666</x:v>
      </x:c>
      <x:c r="B1418" s="10" t="n">
        <x:v>1</x:v>
      </x:c>
      <x:c r="C1418" s="9" t="d">
        <x:v>2011-10-19T00:00:00.000Z</x:v>
      </x:c>
      <x:c r="D1418" s="9" t="d">
        <x:v>2011-11-01T00:00:00.000Z</x:v>
      </x:c>
      <x:c r="E1418" s="1" t="str">
        <x:v>seasonal_naive</x:v>
      </x:c>
      <x:c r="F1418" s="10" t="n">
        <x:v>41</x:v>
      </x:c>
      <x:c r="G1418" s="10" t="n">
        <x:v>17</x:v>
      </x:c>
      <x:c r="H1418" s="10" t="n">
        <x:f>ABS(G1418-F1418)</x:f>
        <x:v>24</x:v>
      </x:c>
      <x:c r="I1418" s="10" t="n">
        <x:f>G1418-F1418</x:f>
        <x:v>-24</x:v>
      </x:c>
    </x:row>
    <x:row r="1419" ht="20" customHeight="1">
      <x:c r="A1419" s="1" t="str">
        <x:v>22666</x:v>
      </x:c>
      <x:c r="B1419" s="10" t="n">
        <x:v>1</x:v>
      </x:c>
      <x:c r="C1419" s="9" t="d">
        <x:v>2011-10-19T00:00:00.000Z</x:v>
      </x:c>
      <x:c r="D1419" s="9" t="d">
        <x:v>2011-11-02T00:00:00.000Z</x:v>
      </x:c>
      <x:c r="E1419" s="1" t="str">
        <x:v>seasonal_naive</x:v>
      </x:c>
      <x:c r="F1419" s="10" t="n">
        <x:v>56</x:v>
      </x:c>
      <x:c r="G1419" s="10" t="n">
        <x:v>30</x:v>
      </x:c>
      <x:c r="H1419" s="10" t="n">
        <x:f>ABS(G1419-F1419)</x:f>
        <x:v>26</x:v>
      </x:c>
      <x:c r="I1419" s="10" t="n">
        <x:f>G1419-F1419</x:f>
        <x:v>-26</x:v>
      </x:c>
    </x:row>
    <x:row r="1420" ht="20" customHeight="1">
      <x:c r="A1420" s="1" t="str">
        <x:v>22666</x:v>
      </x:c>
      <x:c r="B1420" s="10" t="n">
        <x:v>1</x:v>
      </x:c>
      <x:c r="C1420" s="9" t="d">
        <x:v>2011-10-19T00:00:00.000Z</x:v>
      </x:c>
      <x:c r="D1420" s="9" t="d">
        <x:v>2011-10-20T00:00:00.000Z</x:v>
      </x:c>
      <x:c r="E1420" s="1" t="str">
        <x:v>ridge</x:v>
      </x:c>
      <x:c r="F1420" s="10" t="n">
        <x:v>6</x:v>
      </x:c>
      <x:c r="G1420" s="10" t="n">
        <x:v>18.489087889</x:v>
      </x:c>
      <x:c r="H1420" s="10" t="n">
        <x:f>ABS(G1420-F1420)</x:f>
        <x:v>12.489087889</x:v>
      </x:c>
      <x:c r="I1420" s="10" t="n">
        <x:f>G1420-F1420</x:f>
        <x:v>12.489087889</x:v>
      </x:c>
    </x:row>
    <x:row r="1421" ht="20" customHeight="1">
      <x:c r="A1421" s="1" t="str">
        <x:v>22666</x:v>
      </x:c>
      <x:c r="B1421" s="10" t="n">
        <x:v>1</x:v>
      </x:c>
      <x:c r="C1421" s="9" t="d">
        <x:v>2011-10-19T00:00:00.000Z</x:v>
      </x:c>
      <x:c r="D1421" s="9" t="d">
        <x:v>2011-10-21T00:00:00.000Z</x:v>
      </x:c>
      <x:c r="E1421" s="1" t="str">
        <x:v>ridge</x:v>
      </x:c>
      <x:c r="F1421" s="10" t="n">
        <x:v>11</x:v>
      </x:c>
      <x:c r="G1421" s="10" t="n">
        <x:v>10.1078526035</x:v>
      </x:c>
      <x:c r="H1421" s="10" t="n">
        <x:f>ABS(G1421-F1421)</x:f>
        <x:v>0.8921473965000004</x:v>
      </x:c>
      <x:c r="I1421" s="10" t="n">
        <x:f>G1421-F1421</x:f>
        <x:v>-0.8921473965000004</x:v>
      </x:c>
    </x:row>
    <x:row r="1422" ht="20" customHeight="1">
      <x:c r="A1422" s="1" t="str">
        <x:v>22666</x:v>
      </x:c>
      <x:c r="B1422" s="10" t="n">
        <x:v>1</x:v>
      </x:c>
      <x:c r="C1422" s="9" t="d">
        <x:v>2011-10-19T00:00:00.000Z</x:v>
      </x:c>
      <x:c r="D1422" s="9" t="d">
        <x:v>2011-10-22T00:00:00.000Z</x:v>
      </x:c>
      <x:c r="E1422" s="1" t="str">
        <x:v>ridge</x:v>
      </x:c>
      <x:c r="F1422" s="10" t="n">
        <x:v>0</x:v>
      </x:c>
      <x:c r="G1422" s="10" t="n">
        <x:v>6.7940227057</x:v>
      </x:c>
      <x:c r="H1422" s="10" t="n">
        <x:f>ABS(G1422-F1422)</x:f>
        <x:v>6.7940227057</x:v>
      </x:c>
      <x:c r="I1422" s="10" t="n">
        <x:f>G1422-F1422</x:f>
        <x:v>6.7940227057</x:v>
      </x:c>
    </x:row>
    <x:row r="1423" ht="20" customHeight="1">
      <x:c r="A1423" s="1" t="str">
        <x:v>22666</x:v>
      </x:c>
      <x:c r="B1423" s="10" t="n">
        <x:v>1</x:v>
      </x:c>
      <x:c r="C1423" s="9" t="d">
        <x:v>2011-10-19T00:00:00.000Z</x:v>
      </x:c>
      <x:c r="D1423" s="9" t="d">
        <x:v>2011-10-23T00:00:00.000Z</x:v>
      </x:c>
      <x:c r="E1423" s="1" t="str">
        <x:v>ridge</x:v>
      </x:c>
      <x:c r="F1423" s="10" t="n">
        <x:v>11</x:v>
      </x:c>
      <x:c r="G1423" s="10" t="n">
        <x:v>11.7417381639</x:v>
      </x:c>
      <x:c r="H1423" s="10" t="n">
        <x:f>ABS(G1423-F1423)</x:f>
        <x:v>0.7417381638999991</x:v>
      </x:c>
      <x:c r="I1423" s="10" t="n">
        <x:f>G1423-F1423</x:f>
        <x:v>0.7417381638999991</x:v>
      </x:c>
    </x:row>
    <x:row r="1424" ht="20" customHeight="1">
      <x:c r="A1424" s="1" t="str">
        <x:v>22666</x:v>
      </x:c>
      <x:c r="B1424" s="10" t="n">
        <x:v>1</x:v>
      </x:c>
      <x:c r="C1424" s="9" t="d">
        <x:v>2011-10-19T00:00:00.000Z</x:v>
      </x:c>
      <x:c r="D1424" s="9" t="d">
        <x:v>2011-10-24T00:00:00.000Z</x:v>
      </x:c>
      <x:c r="E1424" s="1" t="str">
        <x:v>ridge</x:v>
      </x:c>
      <x:c r="F1424" s="10" t="n">
        <x:v>12</x:v>
      </x:c>
      <x:c r="G1424" s="10" t="n">
        <x:v>21.7162964342</x:v>
      </x:c>
      <x:c r="H1424" s="10" t="n">
        <x:f>ABS(G1424-F1424)</x:f>
        <x:v>9.7162964342</x:v>
      </x:c>
      <x:c r="I1424" s="10" t="n">
        <x:f>G1424-F1424</x:f>
        <x:v>9.7162964342</x:v>
      </x:c>
    </x:row>
    <x:row r="1425" ht="20" customHeight="1">
      <x:c r="A1425" s="1" t="str">
        <x:v>22666</x:v>
      </x:c>
      <x:c r="B1425" s="10" t="n">
        <x:v>1</x:v>
      </x:c>
      <x:c r="C1425" s="9" t="d">
        <x:v>2011-10-19T00:00:00.000Z</x:v>
      </x:c>
      <x:c r="D1425" s="9" t="d">
        <x:v>2011-10-25T00:00:00.000Z</x:v>
      </x:c>
      <x:c r="E1425" s="1" t="str">
        <x:v>ridge</x:v>
      </x:c>
      <x:c r="F1425" s="10" t="n">
        <x:v>29</x:v>
      </x:c>
      <x:c r="G1425" s="10" t="n">
        <x:v>31.7890974471</x:v>
      </x:c>
      <x:c r="H1425" s="10" t="n">
        <x:f>ABS(G1425-F1425)</x:f>
        <x:v>2.7890974471000014</x:v>
      </x:c>
      <x:c r="I1425" s="10" t="n">
        <x:f>G1425-F1425</x:f>
        <x:v>2.7890974471000014</x:v>
      </x:c>
    </x:row>
    <x:row r="1426" ht="20" customHeight="1">
      <x:c r="A1426" s="1" t="str">
        <x:v>22666</x:v>
      </x:c>
      <x:c r="B1426" s="10" t="n">
        <x:v>1</x:v>
      </x:c>
      <x:c r="C1426" s="9" t="d">
        <x:v>2011-10-19T00:00:00.000Z</x:v>
      </x:c>
      <x:c r="D1426" s="9" t="d">
        <x:v>2011-10-26T00:00:00.000Z</x:v>
      </x:c>
      <x:c r="E1426" s="1" t="str">
        <x:v>ridge</x:v>
      </x:c>
      <x:c r="F1426" s="10" t="n">
        <x:v>4</x:v>
      </x:c>
      <x:c r="G1426" s="10" t="n">
        <x:v>30.9367631058</x:v>
      </x:c>
      <x:c r="H1426" s="10" t="n">
        <x:f>ABS(G1426-F1426)</x:f>
        <x:v>26.9367631058</x:v>
      </x:c>
      <x:c r="I1426" s="10" t="n">
        <x:f>G1426-F1426</x:f>
        <x:v>26.9367631058</x:v>
      </x:c>
    </x:row>
    <x:row r="1427" ht="20" customHeight="1">
      <x:c r="A1427" s="1" t="str">
        <x:v>22666</x:v>
      </x:c>
      <x:c r="B1427" s="10" t="n">
        <x:v>1</x:v>
      </x:c>
      <x:c r="C1427" s="9" t="d">
        <x:v>2011-10-19T00:00:00.000Z</x:v>
      </x:c>
      <x:c r="D1427" s="9" t="d">
        <x:v>2011-10-27T00:00:00.000Z</x:v>
      </x:c>
      <x:c r="E1427" s="1" t="str">
        <x:v>ridge</x:v>
      </x:c>
      <x:c r="F1427" s="10" t="n">
        <x:v>25</x:v>
      </x:c>
      <x:c r="G1427" s="10" t="n">
        <x:v>22.7619584531</x:v>
      </x:c>
      <x:c r="H1427" s="10" t="n">
        <x:f>ABS(G1427-F1427)</x:f>
        <x:v>2.2380415469</x:v>
      </x:c>
      <x:c r="I1427" s="10" t="n">
        <x:f>G1427-F1427</x:f>
        <x:v>-2.2380415469</x:v>
      </x:c>
    </x:row>
    <x:row r="1428" ht="20" customHeight="1">
      <x:c r="A1428" s="1" t="str">
        <x:v>22666</x:v>
      </x:c>
      <x:c r="B1428" s="10" t="n">
        <x:v>1</x:v>
      </x:c>
      <x:c r="C1428" s="9" t="d">
        <x:v>2011-10-19T00:00:00.000Z</x:v>
      </x:c>
      <x:c r="D1428" s="9" t="d">
        <x:v>2011-10-28T00:00:00.000Z</x:v>
      </x:c>
      <x:c r="E1428" s="1" t="str">
        <x:v>ridge</x:v>
      </x:c>
      <x:c r="F1428" s="10" t="n">
        <x:v>7</x:v>
      </x:c>
      <x:c r="G1428" s="10" t="n">
        <x:v>13.9917999991</x:v>
      </x:c>
      <x:c r="H1428" s="10" t="n">
        <x:f>ABS(G1428-F1428)</x:f>
        <x:v>6.9917999990999995</x:v>
      </x:c>
      <x:c r="I1428" s="10" t="n">
        <x:f>G1428-F1428</x:f>
        <x:v>6.9917999990999995</x:v>
      </x:c>
    </x:row>
    <x:row r="1429" ht="20" customHeight="1">
      <x:c r="A1429" s="1" t="str">
        <x:v>22666</x:v>
      </x:c>
      <x:c r="B1429" s="10" t="n">
        <x:v>1</x:v>
      </x:c>
      <x:c r="C1429" s="9" t="d">
        <x:v>2011-10-19T00:00:00.000Z</x:v>
      </x:c>
      <x:c r="D1429" s="9" t="d">
        <x:v>2011-10-29T00:00:00.000Z</x:v>
      </x:c>
      <x:c r="E1429" s="1" t="str">
        <x:v>ridge</x:v>
      </x:c>
      <x:c r="F1429" s="10" t="n">
        <x:v>0</x:v>
      </x:c>
      <x:c r="G1429" s="10" t="n">
        <x:v>10.5365257794</x:v>
      </x:c>
      <x:c r="H1429" s="10" t="n">
        <x:f>ABS(G1429-F1429)</x:f>
        <x:v>10.5365257794</x:v>
      </x:c>
      <x:c r="I1429" s="10" t="n">
        <x:f>G1429-F1429</x:f>
        <x:v>10.5365257794</x:v>
      </x:c>
    </x:row>
    <x:row r="1430" ht="20" customHeight="1">
      <x:c r="A1430" s="1" t="str">
        <x:v>22666</x:v>
      </x:c>
      <x:c r="B1430" s="10" t="n">
        <x:v>1</x:v>
      </x:c>
      <x:c r="C1430" s="9" t="d">
        <x:v>2011-10-19T00:00:00.000Z</x:v>
      </x:c>
      <x:c r="D1430" s="9" t="d">
        <x:v>2011-10-30T00:00:00.000Z</x:v>
      </x:c>
      <x:c r="E1430" s="1" t="str">
        <x:v>ridge</x:v>
      </x:c>
      <x:c r="F1430" s="10" t="n">
        <x:v>26</x:v>
      </x:c>
      <x:c r="G1430" s="10" t="n">
        <x:v>15.4005952763</x:v>
      </x:c>
      <x:c r="H1430" s="10" t="n">
        <x:f>ABS(G1430-F1430)</x:f>
        <x:v>10.5994047237</x:v>
      </x:c>
      <x:c r="I1430" s="10" t="n">
        <x:f>G1430-F1430</x:f>
        <x:v>-10.5994047237</x:v>
      </x:c>
    </x:row>
    <x:row r="1431" ht="20" customHeight="1">
      <x:c r="A1431" s="1" t="str">
        <x:v>22666</x:v>
      </x:c>
      <x:c r="B1431" s="10" t="n">
        <x:v>1</x:v>
      </x:c>
      <x:c r="C1431" s="9" t="d">
        <x:v>2011-10-19T00:00:00.000Z</x:v>
      </x:c>
      <x:c r="D1431" s="9" t="d">
        <x:v>2011-10-31T00:00:00.000Z</x:v>
      </x:c>
      <x:c r="E1431" s="1" t="str">
        <x:v>ridge</x:v>
      </x:c>
      <x:c r="F1431" s="10" t="n">
        <x:v>22</x:v>
      </x:c>
      <x:c r="G1431" s="10" t="n">
        <x:v>25.0100085543</x:v>
      </x:c>
      <x:c r="H1431" s="10" t="n">
        <x:f>ABS(G1431-F1431)</x:f>
        <x:v>3.0100085543000006</x:v>
      </x:c>
      <x:c r="I1431" s="10" t="n">
        <x:f>G1431-F1431</x:f>
        <x:v>3.0100085543000006</x:v>
      </x:c>
    </x:row>
    <x:row r="1432" ht="20" customHeight="1">
      <x:c r="A1432" s="1" t="str">
        <x:v>22666</x:v>
      </x:c>
      <x:c r="B1432" s="10" t="n">
        <x:v>1</x:v>
      </x:c>
      <x:c r="C1432" s="9" t="d">
        <x:v>2011-10-19T00:00:00.000Z</x:v>
      </x:c>
      <x:c r="D1432" s="9" t="d">
        <x:v>2011-11-01T00:00:00.000Z</x:v>
      </x:c>
      <x:c r="E1432" s="1" t="str">
        <x:v>ridge</x:v>
      </x:c>
      <x:c r="F1432" s="10" t="n">
        <x:v>41</x:v>
      </x:c>
      <x:c r="G1432" s="10" t="n">
        <x:v>32.1626088867</x:v>
      </x:c>
      <x:c r="H1432" s="10" t="n">
        <x:f>ABS(G1432-F1432)</x:f>
        <x:v>8.8373911133</x:v>
      </x:c>
      <x:c r="I1432" s="10" t="n">
        <x:f>G1432-F1432</x:f>
        <x:v>-8.8373911133</x:v>
      </x:c>
    </x:row>
    <x:row r="1433" ht="20" customHeight="1">
      <x:c r="A1433" s="1" t="str">
        <x:v>22666</x:v>
      </x:c>
      <x:c r="B1433" s="10" t="n">
        <x:v>1</x:v>
      </x:c>
      <x:c r="C1433" s="9" t="d">
        <x:v>2011-10-19T00:00:00.000Z</x:v>
      </x:c>
      <x:c r="D1433" s="9" t="d">
        <x:v>2011-11-02T00:00:00.000Z</x:v>
      </x:c>
      <x:c r="E1433" s="1" t="str">
        <x:v>ridge</x:v>
      </x:c>
      <x:c r="F1433" s="10" t="n">
        <x:v>56</x:v>
      </x:c>
      <x:c r="G1433" s="10" t="n">
        <x:v>31.1324964171</x:v>
      </x:c>
      <x:c r="H1433" s="10" t="n">
        <x:f>ABS(G1433-F1433)</x:f>
        <x:v>24.8675035829</x:v>
      </x:c>
      <x:c r="I1433" s="10" t="n">
        <x:f>G1433-F1433</x:f>
        <x:v>-24.8675035829</x:v>
      </x:c>
    </x:row>
    <x:row r="1434" ht="20" customHeight="1">
      <x:c r="A1434" s="1" t="str">
        <x:v>22666</x:v>
      </x:c>
      <x:c r="B1434" s="10" t="n">
        <x:v>2</x:v>
      </x:c>
      <x:c r="C1434" s="9" t="d">
        <x:v>2011-11-02T00:00:00.000Z</x:v>
      </x:c>
      <x:c r="D1434" s="9" t="d">
        <x:v>2011-11-03T00:00:00.000Z</x:v>
      </x:c>
      <x:c r="E1434" s="1" t="str">
        <x:v>naive</x:v>
      </x:c>
      <x:c r="F1434" s="10" t="n">
        <x:v>355</x:v>
      </x:c>
      <x:c r="G1434" s="10" t="n">
        <x:v>56</x:v>
      </x:c>
      <x:c r="H1434" s="10" t="n">
        <x:f>ABS(G1434-F1434)</x:f>
        <x:v>299</x:v>
      </x:c>
      <x:c r="I1434" s="10" t="n">
        <x:f>G1434-F1434</x:f>
        <x:v>-299</x:v>
      </x:c>
    </x:row>
    <x:row r="1435" ht="20" customHeight="1">
      <x:c r="A1435" s="1" t="str">
        <x:v>22666</x:v>
      </x:c>
      <x:c r="B1435" s="10" t="n">
        <x:v>2</x:v>
      </x:c>
      <x:c r="C1435" s="9" t="d">
        <x:v>2011-11-02T00:00:00.000Z</x:v>
      </x:c>
      <x:c r="D1435" s="9" t="d">
        <x:v>2011-11-04T00:00:00.000Z</x:v>
      </x:c>
      <x:c r="E1435" s="1" t="str">
        <x:v>naive</x:v>
      </x:c>
      <x:c r="F1435" s="10" t="n">
        <x:v>7</x:v>
      </x:c>
      <x:c r="G1435" s="10" t="n">
        <x:v>56</x:v>
      </x:c>
      <x:c r="H1435" s="10" t="n">
        <x:f>ABS(G1435-F1435)</x:f>
        <x:v>49</x:v>
      </x:c>
      <x:c r="I1435" s="10" t="n">
        <x:f>G1435-F1435</x:f>
        <x:v>49</x:v>
      </x:c>
    </x:row>
    <x:row r="1436" ht="20" customHeight="1">
      <x:c r="A1436" s="1" t="str">
        <x:v>22666</x:v>
      </x:c>
      <x:c r="B1436" s="10" t="n">
        <x:v>2</x:v>
      </x:c>
      <x:c r="C1436" s="9" t="d">
        <x:v>2011-11-02T00:00:00.000Z</x:v>
      </x:c>
      <x:c r="D1436" s="9" t="d">
        <x:v>2011-11-05T00:00:00.000Z</x:v>
      </x:c>
      <x:c r="E1436" s="1" t="str">
        <x:v>naive</x:v>
      </x:c>
      <x:c r="F1436" s="10" t="n">
        <x:v>0</x:v>
      </x:c>
      <x:c r="G1436" s="10" t="n">
        <x:v>56</x:v>
      </x:c>
      <x:c r="H1436" s="10" t="n">
        <x:f>ABS(G1436-F1436)</x:f>
        <x:v>56</x:v>
      </x:c>
      <x:c r="I1436" s="10" t="n">
        <x:f>G1436-F1436</x:f>
        <x:v>56</x:v>
      </x:c>
    </x:row>
    <x:row r="1437" ht="20" customHeight="1">
      <x:c r="A1437" s="1" t="str">
        <x:v>22666</x:v>
      </x:c>
      <x:c r="B1437" s="10" t="n">
        <x:v>2</x:v>
      </x:c>
      <x:c r="C1437" s="9" t="d">
        <x:v>2011-11-02T00:00:00.000Z</x:v>
      </x:c>
      <x:c r="D1437" s="9" t="d">
        <x:v>2011-11-06T00:00:00.000Z</x:v>
      </x:c>
      <x:c r="E1437" s="1" t="str">
        <x:v>naive</x:v>
      </x:c>
      <x:c r="F1437" s="10" t="n">
        <x:v>26</x:v>
      </x:c>
      <x:c r="G1437" s="10" t="n">
        <x:v>56</x:v>
      </x:c>
      <x:c r="H1437" s="10" t="n">
        <x:f>ABS(G1437-F1437)</x:f>
        <x:v>30</x:v>
      </x:c>
      <x:c r="I1437" s="10" t="n">
        <x:f>G1437-F1437</x:f>
        <x:v>30</x:v>
      </x:c>
    </x:row>
    <x:row r="1438" ht="20" customHeight="1">
      <x:c r="A1438" s="1" t="str">
        <x:v>22666</x:v>
      </x:c>
      <x:c r="B1438" s="10" t="n">
        <x:v>2</x:v>
      </x:c>
      <x:c r="C1438" s="9" t="d">
        <x:v>2011-11-02T00:00:00.000Z</x:v>
      </x:c>
      <x:c r="D1438" s="9" t="d">
        <x:v>2011-11-07T00:00:00.000Z</x:v>
      </x:c>
      <x:c r="E1438" s="1" t="str">
        <x:v>naive</x:v>
      </x:c>
      <x:c r="F1438" s="10" t="n">
        <x:v>9</x:v>
      </x:c>
      <x:c r="G1438" s="10" t="n">
        <x:v>56</x:v>
      </x:c>
      <x:c r="H1438" s="10" t="n">
        <x:f>ABS(G1438-F1438)</x:f>
        <x:v>47</x:v>
      </x:c>
      <x:c r="I1438" s="10" t="n">
        <x:f>G1438-F1438</x:f>
        <x:v>47</x:v>
      </x:c>
    </x:row>
    <x:row r="1439" ht="20" customHeight="1">
      <x:c r="A1439" s="1" t="str">
        <x:v>22666</x:v>
      </x:c>
      <x:c r="B1439" s="10" t="n">
        <x:v>2</x:v>
      </x:c>
      <x:c r="C1439" s="9" t="d">
        <x:v>2011-11-02T00:00:00.000Z</x:v>
      </x:c>
      <x:c r="D1439" s="9" t="d">
        <x:v>2011-11-08T00:00:00.000Z</x:v>
      </x:c>
      <x:c r="E1439" s="1" t="str">
        <x:v>naive</x:v>
      </x:c>
      <x:c r="F1439" s="10" t="n">
        <x:v>23</x:v>
      </x:c>
      <x:c r="G1439" s="10" t="n">
        <x:v>56</x:v>
      </x:c>
      <x:c r="H1439" s="10" t="n">
        <x:f>ABS(G1439-F1439)</x:f>
        <x:v>33</x:v>
      </x:c>
      <x:c r="I1439" s="10" t="n">
        <x:f>G1439-F1439</x:f>
        <x:v>33</x:v>
      </x:c>
    </x:row>
    <x:row r="1440" ht="20" customHeight="1">
      <x:c r="A1440" s="1" t="str">
        <x:v>22666</x:v>
      </x:c>
      <x:c r="B1440" s="10" t="n">
        <x:v>2</x:v>
      </x:c>
      <x:c r="C1440" s="9" t="d">
        <x:v>2011-11-02T00:00:00.000Z</x:v>
      </x:c>
      <x:c r="D1440" s="9" t="d">
        <x:v>2011-11-09T00:00:00.000Z</x:v>
      </x:c>
      <x:c r="E1440" s="1" t="str">
        <x:v>naive</x:v>
      </x:c>
      <x:c r="F1440" s="10" t="n">
        <x:v>7</x:v>
      </x:c>
      <x:c r="G1440" s="10" t="n">
        <x:v>56</x:v>
      </x:c>
      <x:c r="H1440" s="10" t="n">
        <x:f>ABS(G1440-F1440)</x:f>
        <x:v>49</x:v>
      </x:c>
      <x:c r="I1440" s="10" t="n">
        <x:f>G1440-F1440</x:f>
        <x:v>49</x:v>
      </x:c>
    </x:row>
    <x:row r="1441" ht="20" customHeight="1">
      <x:c r="A1441" s="1" t="str">
        <x:v>22666</x:v>
      </x:c>
      <x:c r="B1441" s="10" t="n">
        <x:v>2</x:v>
      </x:c>
      <x:c r="C1441" s="9" t="d">
        <x:v>2011-11-02T00:00:00.000Z</x:v>
      </x:c>
      <x:c r="D1441" s="9" t="d">
        <x:v>2011-11-10T00:00:00.000Z</x:v>
      </x:c>
      <x:c r="E1441" s="1" t="str">
        <x:v>naive</x:v>
      </x:c>
      <x:c r="F1441" s="10" t="n">
        <x:v>215</x:v>
      </x:c>
      <x:c r="G1441" s="10" t="n">
        <x:v>56</x:v>
      </x:c>
      <x:c r="H1441" s="10" t="n">
        <x:f>ABS(G1441-F1441)</x:f>
        <x:v>159</x:v>
      </x:c>
      <x:c r="I1441" s="10" t="n">
        <x:f>G1441-F1441</x:f>
        <x:v>-159</x:v>
      </x:c>
    </x:row>
    <x:row r="1442" ht="20" customHeight="1">
      <x:c r="A1442" s="1" t="str">
        <x:v>22666</x:v>
      </x:c>
      <x:c r="B1442" s="10" t="n">
        <x:v>2</x:v>
      </x:c>
      <x:c r="C1442" s="9" t="d">
        <x:v>2011-11-02T00:00:00.000Z</x:v>
      </x:c>
      <x:c r="D1442" s="9" t="d">
        <x:v>2011-11-11T00:00:00.000Z</x:v>
      </x:c>
      <x:c r="E1442" s="1" t="str">
        <x:v>naive</x:v>
      </x:c>
      <x:c r="F1442" s="10" t="n">
        <x:v>13</x:v>
      </x:c>
      <x:c r="G1442" s="10" t="n">
        <x:v>56</x:v>
      </x:c>
      <x:c r="H1442" s="10" t="n">
        <x:f>ABS(G1442-F1442)</x:f>
        <x:v>43</x:v>
      </x:c>
      <x:c r="I1442" s="10" t="n">
        <x:f>G1442-F1442</x:f>
        <x:v>43</x:v>
      </x:c>
    </x:row>
    <x:row r="1443" ht="20" customHeight="1">
      <x:c r="A1443" s="1" t="str">
        <x:v>22666</x:v>
      </x:c>
      <x:c r="B1443" s="10" t="n">
        <x:v>2</x:v>
      </x:c>
      <x:c r="C1443" s="9" t="d">
        <x:v>2011-11-02T00:00:00.000Z</x:v>
      </x:c>
      <x:c r="D1443" s="9" t="d">
        <x:v>2011-11-12T00:00:00.000Z</x:v>
      </x:c>
      <x:c r="E1443" s="1" t="str">
        <x:v>naive</x:v>
      </x:c>
      <x:c r="F1443" s="10" t="n">
        <x:v>0</x:v>
      </x:c>
      <x:c r="G1443" s="10" t="n">
        <x:v>56</x:v>
      </x:c>
      <x:c r="H1443" s="10" t="n">
        <x:f>ABS(G1443-F1443)</x:f>
        <x:v>56</x:v>
      </x:c>
      <x:c r="I1443" s="10" t="n">
        <x:f>G1443-F1443</x:f>
        <x:v>56</x:v>
      </x:c>
    </x:row>
    <x:row r="1444" ht="20" customHeight="1">
      <x:c r="A1444" s="1" t="str">
        <x:v>22666</x:v>
      </x:c>
      <x:c r="B1444" s="10" t="n">
        <x:v>2</x:v>
      </x:c>
      <x:c r="C1444" s="9" t="d">
        <x:v>2011-11-02T00:00:00.000Z</x:v>
      </x:c>
      <x:c r="D1444" s="9" t="d">
        <x:v>2011-11-13T00:00:00.000Z</x:v>
      </x:c>
      <x:c r="E1444" s="1" t="str">
        <x:v>naive</x:v>
      </x:c>
      <x:c r="F1444" s="10" t="n">
        <x:v>28</x:v>
      </x:c>
      <x:c r="G1444" s="10" t="n">
        <x:v>56</x:v>
      </x:c>
      <x:c r="H1444" s="10" t="n">
        <x:f>ABS(G1444-F1444)</x:f>
        <x:v>28</x:v>
      </x:c>
      <x:c r="I1444" s="10" t="n">
        <x:f>G1444-F1444</x:f>
        <x:v>28</x:v>
      </x:c>
    </x:row>
    <x:row r="1445" ht="20" customHeight="1">
      <x:c r="A1445" s="1" t="str">
        <x:v>22666</x:v>
      </x:c>
      <x:c r="B1445" s="10" t="n">
        <x:v>2</x:v>
      </x:c>
      <x:c r="C1445" s="9" t="d">
        <x:v>2011-11-02T00:00:00.000Z</x:v>
      </x:c>
      <x:c r="D1445" s="9" t="d">
        <x:v>2011-11-14T00:00:00.000Z</x:v>
      </x:c>
      <x:c r="E1445" s="1" t="str">
        <x:v>naive</x:v>
      </x:c>
      <x:c r="F1445" s="10" t="n">
        <x:v>5</x:v>
      </x:c>
      <x:c r="G1445" s="10" t="n">
        <x:v>56</x:v>
      </x:c>
      <x:c r="H1445" s="10" t="n">
        <x:f>ABS(G1445-F1445)</x:f>
        <x:v>51</x:v>
      </x:c>
      <x:c r="I1445" s="10" t="n">
        <x:f>G1445-F1445</x:f>
        <x:v>51</x:v>
      </x:c>
    </x:row>
    <x:row r="1446" ht="20" customHeight="1">
      <x:c r="A1446" s="1" t="str">
        <x:v>22666</x:v>
      </x:c>
      <x:c r="B1446" s="10" t="n">
        <x:v>2</x:v>
      </x:c>
      <x:c r="C1446" s="9" t="d">
        <x:v>2011-11-02T00:00:00.000Z</x:v>
      </x:c>
      <x:c r="D1446" s="9" t="d">
        <x:v>2011-11-15T00:00:00.000Z</x:v>
      </x:c>
      <x:c r="E1446" s="1" t="str">
        <x:v>naive</x:v>
      </x:c>
      <x:c r="F1446" s="10" t="n">
        <x:v>10</x:v>
      </x:c>
      <x:c r="G1446" s="10" t="n">
        <x:v>56</x:v>
      </x:c>
      <x:c r="H1446" s="10" t="n">
        <x:f>ABS(G1446-F1446)</x:f>
        <x:v>46</x:v>
      </x:c>
      <x:c r="I1446" s="10" t="n">
        <x:f>G1446-F1446</x:f>
        <x:v>46</x:v>
      </x:c>
    </x:row>
    <x:row r="1447" ht="20" customHeight="1">
      <x:c r="A1447" s="1" t="str">
        <x:v>22666</x:v>
      </x:c>
      <x:c r="B1447" s="10" t="n">
        <x:v>2</x:v>
      </x:c>
      <x:c r="C1447" s="9" t="d">
        <x:v>2011-11-02T00:00:00.000Z</x:v>
      </x:c>
      <x:c r="D1447" s="9" t="d">
        <x:v>2011-11-16T00:00:00.000Z</x:v>
      </x:c>
      <x:c r="E1447" s="1" t="str">
        <x:v>naive</x:v>
      </x:c>
      <x:c r="F1447" s="10" t="n">
        <x:v>43</x:v>
      </x:c>
      <x:c r="G1447" s="10" t="n">
        <x:v>56</x:v>
      </x:c>
      <x:c r="H1447" s="10" t="n">
        <x:f>ABS(G1447-F1447)</x:f>
        <x:v>13</x:v>
      </x:c>
      <x:c r="I1447" s="10" t="n">
        <x:f>G1447-F1447</x:f>
        <x:v>13</x:v>
      </x:c>
    </x:row>
    <x:row r="1448" ht="20" customHeight="1">
      <x:c r="A1448" s="1" t="str">
        <x:v>22666</x:v>
      </x:c>
      <x:c r="B1448" s="10" t="n">
        <x:v>2</x:v>
      </x:c>
      <x:c r="C1448" s="9" t="d">
        <x:v>2011-11-02T00:00:00.000Z</x:v>
      </x:c>
      <x:c r="D1448" s="9" t="d">
        <x:v>2011-11-03T00:00:00.000Z</x:v>
      </x:c>
      <x:c r="E1448" s="1" t="str">
        <x:v>seasonal_naive</x:v>
      </x:c>
      <x:c r="F1448" s="10" t="n">
        <x:v>355</x:v>
      </x:c>
      <x:c r="G1448" s="10" t="n">
        <x:v>25</x:v>
      </x:c>
      <x:c r="H1448" s="10" t="n">
        <x:f>ABS(G1448-F1448)</x:f>
        <x:v>330</x:v>
      </x:c>
      <x:c r="I1448" s="10" t="n">
        <x:f>G1448-F1448</x:f>
        <x:v>-330</x:v>
      </x:c>
    </x:row>
    <x:row r="1449" ht="20" customHeight="1">
      <x:c r="A1449" s="1" t="str">
        <x:v>22666</x:v>
      </x:c>
      <x:c r="B1449" s="10" t="n">
        <x:v>2</x:v>
      </x:c>
      <x:c r="C1449" s="9" t="d">
        <x:v>2011-11-02T00:00:00.000Z</x:v>
      </x:c>
      <x:c r="D1449" s="9" t="d">
        <x:v>2011-11-04T00:00:00.000Z</x:v>
      </x:c>
      <x:c r="E1449" s="1" t="str">
        <x:v>seasonal_naive</x:v>
      </x:c>
      <x:c r="F1449" s="10" t="n">
        <x:v>7</x:v>
      </x:c>
      <x:c r="G1449" s="10" t="n">
        <x:v>7</x:v>
      </x:c>
      <x:c r="H1449" s="10" t="n">
        <x:f>ABS(G1449-F1449)</x:f>
        <x:v>0</x:v>
      </x:c>
      <x:c r="I1449" s="10" t="n">
        <x:f>G1449-F1449</x:f>
        <x:v>0</x:v>
      </x:c>
    </x:row>
    <x:row r="1450" ht="20" customHeight="1">
      <x:c r="A1450" s="1" t="str">
        <x:v>22666</x:v>
      </x:c>
      <x:c r="B1450" s="10" t="n">
        <x:v>2</x:v>
      </x:c>
      <x:c r="C1450" s="9" t="d">
        <x:v>2011-11-02T00:00:00.000Z</x:v>
      </x:c>
      <x:c r="D1450" s="9" t="d">
        <x:v>2011-11-05T00:00:00.000Z</x:v>
      </x:c>
      <x:c r="E1450" s="1" t="str">
        <x:v>seasonal_naive</x:v>
      </x:c>
      <x:c r="F1450" s="10" t="n">
        <x:v>0</x:v>
      </x:c>
      <x:c r="G1450" s="10" t="n">
        <x:v>0</x:v>
      </x:c>
      <x:c r="H1450" s="10" t="n">
        <x:f>ABS(G1450-F1450)</x:f>
        <x:v>0</x:v>
      </x:c>
      <x:c r="I1450" s="10" t="n">
        <x:f>G1450-F1450</x:f>
        <x:v>0</x:v>
      </x:c>
    </x:row>
    <x:row r="1451" ht="20" customHeight="1">
      <x:c r="A1451" s="1" t="str">
        <x:v>22666</x:v>
      </x:c>
      <x:c r="B1451" s="10" t="n">
        <x:v>2</x:v>
      </x:c>
      <x:c r="C1451" s="9" t="d">
        <x:v>2011-11-02T00:00:00.000Z</x:v>
      </x:c>
      <x:c r="D1451" s="9" t="d">
        <x:v>2011-11-06T00:00:00.000Z</x:v>
      </x:c>
      <x:c r="E1451" s="1" t="str">
        <x:v>seasonal_naive</x:v>
      </x:c>
      <x:c r="F1451" s="10" t="n">
        <x:v>26</x:v>
      </x:c>
      <x:c r="G1451" s="10" t="n">
        <x:v>26</x:v>
      </x:c>
      <x:c r="H1451" s="10" t="n">
        <x:f>ABS(G1451-F1451)</x:f>
        <x:v>0</x:v>
      </x:c>
      <x:c r="I1451" s="10" t="n">
        <x:f>G1451-F1451</x:f>
        <x:v>0</x:v>
      </x:c>
    </x:row>
    <x:row r="1452" ht="20" customHeight="1">
      <x:c r="A1452" s="1" t="str">
        <x:v>22666</x:v>
      </x:c>
      <x:c r="B1452" s="10" t="n">
        <x:v>2</x:v>
      </x:c>
      <x:c r="C1452" s="9" t="d">
        <x:v>2011-11-02T00:00:00.000Z</x:v>
      </x:c>
      <x:c r="D1452" s="9" t="d">
        <x:v>2011-11-07T00:00:00.000Z</x:v>
      </x:c>
      <x:c r="E1452" s="1" t="str">
        <x:v>seasonal_naive</x:v>
      </x:c>
      <x:c r="F1452" s="10" t="n">
        <x:v>9</x:v>
      </x:c>
      <x:c r="G1452" s="10" t="n">
        <x:v>22</x:v>
      </x:c>
      <x:c r="H1452" s="10" t="n">
        <x:f>ABS(G1452-F1452)</x:f>
        <x:v>13</x:v>
      </x:c>
      <x:c r="I1452" s="10" t="n">
        <x:f>G1452-F1452</x:f>
        <x:v>13</x:v>
      </x:c>
    </x:row>
    <x:row r="1453" ht="20" customHeight="1">
      <x:c r="A1453" s="1" t="str">
        <x:v>22666</x:v>
      </x:c>
      <x:c r="B1453" s="10" t="n">
        <x:v>2</x:v>
      </x:c>
      <x:c r="C1453" s="9" t="d">
        <x:v>2011-11-02T00:00:00.000Z</x:v>
      </x:c>
      <x:c r="D1453" s="9" t="d">
        <x:v>2011-11-08T00:00:00.000Z</x:v>
      </x:c>
      <x:c r="E1453" s="1" t="str">
        <x:v>seasonal_naive</x:v>
      </x:c>
      <x:c r="F1453" s="10" t="n">
        <x:v>23</x:v>
      </x:c>
      <x:c r="G1453" s="10" t="n">
        <x:v>41</x:v>
      </x:c>
      <x:c r="H1453" s="10" t="n">
        <x:f>ABS(G1453-F1453)</x:f>
        <x:v>18</x:v>
      </x:c>
      <x:c r="I1453" s="10" t="n">
        <x:f>G1453-F1453</x:f>
        <x:v>18</x:v>
      </x:c>
    </x:row>
    <x:row r="1454" ht="20" customHeight="1">
      <x:c r="A1454" s="1" t="str">
        <x:v>22666</x:v>
      </x:c>
      <x:c r="B1454" s="10" t="n">
        <x:v>2</x:v>
      </x:c>
      <x:c r="C1454" s="9" t="d">
        <x:v>2011-11-02T00:00:00.000Z</x:v>
      </x:c>
      <x:c r="D1454" s="9" t="d">
        <x:v>2011-11-09T00:00:00.000Z</x:v>
      </x:c>
      <x:c r="E1454" s="1" t="str">
        <x:v>seasonal_naive</x:v>
      </x:c>
      <x:c r="F1454" s="10" t="n">
        <x:v>7</x:v>
      </x:c>
      <x:c r="G1454" s="10" t="n">
        <x:v>56</x:v>
      </x:c>
      <x:c r="H1454" s="10" t="n">
        <x:f>ABS(G1454-F1454)</x:f>
        <x:v>49</x:v>
      </x:c>
      <x:c r="I1454" s="10" t="n">
        <x:f>G1454-F1454</x:f>
        <x:v>49</x:v>
      </x:c>
    </x:row>
    <x:row r="1455" ht="20" customHeight="1">
      <x:c r="A1455" s="1" t="str">
        <x:v>22666</x:v>
      </x:c>
      <x:c r="B1455" s="10" t="n">
        <x:v>2</x:v>
      </x:c>
      <x:c r="C1455" s="9" t="d">
        <x:v>2011-11-02T00:00:00.000Z</x:v>
      </x:c>
      <x:c r="D1455" s="9" t="d">
        <x:v>2011-11-10T00:00:00.000Z</x:v>
      </x:c>
      <x:c r="E1455" s="1" t="str">
        <x:v>seasonal_naive</x:v>
      </x:c>
      <x:c r="F1455" s="10" t="n">
        <x:v>215</x:v>
      </x:c>
      <x:c r="G1455" s="10" t="n">
        <x:v>25</x:v>
      </x:c>
      <x:c r="H1455" s="10" t="n">
        <x:f>ABS(G1455-F1455)</x:f>
        <x:v>190</x:v>
      </x:c>
      <x:c r="I1455" s="10" t="n">
        <x:f>G1455-F1455</x:f>
        <x:v>-190</x:v>
      </x:c>
    </x:row>
    <x:row r="1456" ht="20" customHeight="1">
      <x:c r="A1456" s="1" t="str">
        <x:v>22666</x:v>
      </x:c>
      <x:c r="B1456" s="10" t="n">
        <x:v>2</x:v>
      </x:c>
      <x:c r="C1456" s="9" t="d">
        <x:v>2011-11-02T00:00:00.000Z</x:v>
      </x:c>
      <x:c r="D1456" s="9" t="d">
        <x:v>2011-11-11T00:00:00.000Z</x:v>
      </x:c>
      <x:c r="E1456" s="1" t="str">
        <x:v>seasonal_naive</x:v>
      </x:c>
      <x:c r="F1456" s="10" t="n">
        <x:v>13</x:v>
      </x:c>
      <x:c r="G1456" s="10" t="n">
        <x:v>7</x:v>
      </x:c>
      <x:c r="H1456" s="10" t="n">
        <x:f>ABS(G1456-F1456)</x:f>
        <x:v>6</x:v>
      </x:c>
      <x:c r="I1456" s="10" t="n">
        <x:f>G1456-F1456</x:f>
        <x:v>-6</x:v>
      </x:c>
    </x:row>
    <x:row r="1457" ht="20" customHeight="1">
      <x:c r="A1457" s="1" t="str">
        <x:v>22666</x:v>
      </x:c>
      <x:c r="B1457" s="10" t="n">
        <x:v>2</x:v>
      </x:c>
      <x:c r="C1457" s="9" t="d">
        <x:v>2011-11-02T00:00:00.000Z</x:v>
      </x:c>
      <x:c r="D1457" s="9" t="d">
        <x:v>2011-11-12T00:00:00.000Z</x:v>
      </x:c>
      <x:c r="E1457" s="1" t="str">
        <x:v>seasonal_naive</x:v>
      </x:c>
      <x:c r="F1457" s="10" t="n">
        <x:v>0</x:v>
      </x:c>
      <x:c r="G1457" s="10" t="n">
        <x:v>0</x:v>
      </x:c>
      <x:c r="H1457" s="10" t="n">
        <x:f>ABS(G1457-F1457)</x:f>
        <x:v>0</x:v>
      </x:c>
      <x:c r="I1457" s="10" t="n">
        <x:f>G1457-F1457</x:f>
        <x:v>0</x:v>
      </x:c>
    </x:row>
    <x:row r="1458" ht="20" customHeight="1">
      <x:c r="A1458" s="1" t="str">
        <x:v>22666</x:v>
      </x:c>
      <x:c r="B1458" s="10" t="n">
        <x:v>2</x:v>
      </x:c>
      <x:c r="C1458" s="9" t="d">
        <x:v>2011-11-02T00:00:00.000Z</x:v>
      </x:c>
      <x:c r="D1458" s="9" t="d">
        <x:v>2011-11-13T00:00:00.000Z</x:v>
      </x:c>
      <x:c r="E1458" s="1" t="str">
        <x:v>seasonal_naive</x:v>
      </x:c>
      <x:c r="F1458" s="10" t="n">
        <x:v>28</x:v>
      </x:c>
      <x:c r="G1458" s="10" t="n">
        <x:v>26</x:v>
      </x:c>
      <x:c r="H1458" s="10" t="n">
        <x:f>ABS(G1458-F1458)</x:f>
        <x:v>2</x:v>
      </x:c>
      <x:c r="I1458" s="10" t="n">
        <x:f>G1458-F1458</x:f>
        <x:v>-2</x:v>
      </x:c>
    </x:row>
    <x:row r="1459" ht="20" customHeight="1">
      <x:c r="A1459" s="1" t="str">
        <x:v>22666</x:v>
      </x:c>
      <x:c r="B1459" s="10" t="n">
        <x:v>2</x:v>
      </x:c>
      <x:c r="C1459" s="9" t="d">
        <x:v>2011-11-02T00:00:00.000Z</x:v>
      </x:c>
      <x:c r="D1459" s="9" t="d">
        <x:v>2011-11-14T00:00:00.000Z</x:v>
      </x:c>
      <x:c r="E1459" s="1" t="str">
        <x:v>seasonal_naive</x:v>
      </x:c>
      <x:c r="F1459" s="10" t="n">
        <x:v>5</x:v>
      </x:c>
      <x:c r="G1459" s="10" t="n">
        <x:v>22</x:v>
      </x:c>
      <x:c r="H1459" s="10" t="n">
        <x:f>ABS(G1459-F1459)</x:f>
        <x:v>17</x:v>
      </x:c>
      <x:c r="I1459" s="10" t="n">
        <x:f>G1459-F1459</x:f>
        <x:v>17</x:v>
      </x:c>
    </x:row>
    <x:row r="1460" ht="20" customHeight="1">
      <x:c r="A1460" s="1" t="str">
        <x:v>22666</x:v>
      </x:c>
      <x:c r="B1460" s="10" t="n">
        <x:v>2</x:v>
      </x:c>
      <x:c r="C1460" s="9" t="d">
        <x:v>2011-11-02T00:00:00.000Z</x:v>
      </x:c>
      <x:c r="D1460" s="9" t="d">
        <x:v>2011-11-15T00:00:00.000Z</x:v>
      </x:c>
      <x:c r="E1460" s="1" t="str">
        <x:v>seasonal_naive</x:v>
      </x:c>
      <x:c r="F1460" s="10" t="n">
        <x:v>10</x:v>
      </x:c>
      <x:c r="G1460" s="10" t="n">
        <x:v>41</x:v>
      </x:c>
      <x:c r="H1460" s="10" t="n">
        <x:f>ABS(G1460-F1460)</x:f>
        <x:v>31</x:v>
      </x:c>
      <x:c r="I1460" s="10" t="n">
        <x:f>G1460-F1460</x:f>
        <x:v>31</x:v>
      </x:c>
    </x:row>
    <x:row r="1461" ht="20" customHeight="1">
      <x:c r="A1461" s="1" t="str">
        <x:v>22666</x:v>
      </x:c>
      <x:c r="B1461" s="10" t="n">
        <x:v>2</x:v>
      </x:c>
      <x:c r="C1461" s="9" t="d">
        <x:v>2011-11-02T00:00:00.000Z</x:v>
      </x:c>
      <x:c r="D1461" s="9" t="d">
        <x:v>2011-11-16T00:00:00.000Z</x:v>
      </x:c>
      <x:c r="E1461" s="1" t="str">
        <x:v>seasonal_naive</x:v>
      </x:c>
      <x:c r="F1461" s="10" t="n">
        <x:v>43</x:v>
      </x:c>
      <x:c r="G1461" s="10" t="n">
        <x:v>56</x:v>
      </x:c>
      <x:c r="H1461" s="10" t="n">
        <x:f>ABS(G1461-F1461)</x:f>
        <x:v>13</x:v>
      </x:c>
      <x:c r="I1461" s="10" t="n">
        <x:f>G1461-F1461</x:f>
        <x:v>13</x:v>
      </x:c>
    </x:row>
    <x:row r="1462" ht="20" customHeight="1">
      <x:c r="A1462" s="1" t="str">
        <x:v>22666</x:v>
      </x:c>
      <x:c r="B1462" s="10" t="n">
        <x:v>2</x:v>
      </x:c>
      <x:c r="C1462" s="9" t="d">
        <x:v>2011-11-02T00:00:00.000Z</x:v>
      </x:c>
      <x:c r="D1462" s="9" t="d">
        <x:v>2011-11-03T00:00:00.000Z</x:v>
      </x:c>
      <x:c r="E1462" s="1" t="str">
        <x:v>ridge</x:v>
      </x:c>
      <x:c r="F1462" s="10" t="n">
        <x:v>355</x:v>
      </x:c>
      <x:c r="G1462" s="10" t="n">
        <x:v>22.7736847411</x:v>
      </x:c>
      <x:c r="H1462" s="10" t="n">
        <x:f>ABS(G1462-F1462)</x:f>
        <x:v>332.2263152589</x:v>
      </x:c>
      <x:c r="I1462" s="10" t="n">
        <x:f>G1462-F1462</x:f>
        <x:v>-332.2263152589</x:v>
      </x:c>
    </x:row>
    <x:row r="1463" ht="20" customHeight="1">
      <x:c r="A1463" s="1" t="str">
        <x:v>22666</x:v>
      </x:c>
      <x:c r="B1463" s="10" t="n">
        <x:v>2</x:v>
      </x:c>
      <x:c r="C1463" s="9" t="d">
        <x:v>2011-11-02T00:00:00.000Z</x:v>
      </x:c>
      <x:c r="D1463" s="9" t="d">
        <x:v>2011-11-04T00:00:00.000Z</x:v>
      </x:c>
      <x:c r="E1463" s="1" t="str">
        <x:v>ridge</x:v>
      </x:c>
      <x:c r="F1463" s="10" t="n">
        <x:v>7</x:v>
      </x:c>
      <x:c r="G1463" s="10" t="n">
        <x:v>14.9357319761</x:v>
      </x:c>
      <x:c r="H1463" s="10" t="n">
        <x:f>ABS(G1463-F1463)</x:f>
        <x:v>7.9357319761</x:v>
      </x:c>
      <x:c r="I1463" s="10" t="n">
        <x:f>G1463-F1463</x:f>
        <x:v>7.9357319761</x:v>
      </x:c>
    </x:row>
    <x:row r="1464" ht="20" customHeight="1">
      <x:c r="A1464" s="1" t="str">
        <x:v>22666</x:v>
      </x:c>
      <x:c r="B1464" s="10" t="n">
        <x:v>2</x:v>
      </x:c>
      <x:c r="C1464" s="9" t="d">
        <x:v>2011-11-02T00:00:00.000Z</x:v>
      </x:c>
      <x:c r="D1464" s="9" t="d">
        <x:v>2011-11-05T00:00:00.000Z</x:v>
      </x:c>
      <x:c r="E1464" s="1" t="str">
        <x:v>ridge</x:v>
      </x:c>
      <x:c r="F1464" s="10" t="n">
        <x:v>0</x:v>
      </x:c>
      <x:c r="G1464" s="10" t="n">
        <x:v>11.7102077488</x:v>
      </x:c>
      <x:c r="H1464" s="10" t="n">
        <x:f>ABS(G1464-F1464)</x:f>
        <x:v>11.7102077488</x:v>
      </x:c>
      <x:c r="I1464" s="10" t="n">
        <x:f>G1464-F1464</x:f>
        <x:v>11.7102077488</x:v>
      </x:c>
    </x:row>
    <x:row r="1465" ht="20" customHeight="1">
      <x:c r="A1465" s="1" t="str">
        <x:v>22666</x:v>
      </x:c>
      <x:c r="B1465" s="10" t="n">
        <x:v>2</x:v>
      </x:c>
      <x:c r="C1465" s="9" t="d">
        <x:v>2011-11-02T00:00:00.000Z</x:v>
      </x:c>
      <x:c r="D1465" s="9" t="d">
        <x:v>2011-11-06T00:00:00.000Z</x:v>
      </x:c>
      <x:c r="E1465" s="1" t="str">
        <x:v>ridge</x:v>
      </x:c>
      <x:c r="F1465" s="10" t="n">
        <x:v>26</x:v>
      </x:c>
      <x:c r="G1465" s="10" t="n">
        <x:v>16.3868355497</x:v>
      </x:c>
      <x:c r="H1465" s="10" t="n">
        <x:f>ABS(G1465-F1465)</x:f>
        <x:v>9.613164450300001</x:v>
      </x:c>
      <x:c r="I1465" s="10" t="n">
        <x:f>G1465-F1465</x:f>
        <x:v>-9.613164450300001</x:v>
      </x:c>
    </x:row>
    <x:row r="1466" ht="20" customHeight="1">
      <x:c r="A1466" s="1" t="str">
        <x:v>22666</x:v>
      </x:c>
      <x:c r="B1466" s="10" t="n">
        <x:v>2</x:v>
      </x:c>
      <x:c r="C1466" s="9" t="d">
        <x:v>2011-11-02T00:00:00.000Z</x:v>
      </x:c>
      <x:c r="D1466" s="9" t="d">
        <x:v>2011-11-07T00:00:00.000Z</x:v>
      </x:c>
      <x:c r="E1466" s="1" t="str">
        <x:v>ridge</x:v>
      </x:c>
      <x:c r="F1466" s="10" t="n">
        <x:v>9</x:v>
      </x:c>
      <x:c r="G1466" s="10" t="n">
        <x:v>26.0881131194</x:v>
      </x:c>
      <x:c r="H1466" s="10" t="n">
        <x:f>ABS(G1466-F1466)</x:f>
        <x:v>17.0881131194</x:v>
      </x:c>
      <x:c r="I1466" s="10" t="n">
        <x:f>G1466-F1466</x:f>
        <x:v>17.0881131194</x:v>
      </x:c>
    </x:row>
    <x:row r="1467" ht="20" customHeight="1">
      <x:c r="A1467" s="1" t="str">
        <x:v>22666</x:v>
      </x:c>
      <x:c r="B1467" s="10" t="n">
        <x:v>2</x:v>
      </x:c>
      <x:c r="C1467" s="9" t="d">
        <x:v>2011-11-02T00:00:00.000Z</x:v>
      </x:c>
      <x:c r="D1467" s="9" t="d">
        <x:v>2011-11-08T00:00:00.000Z</x:v>
      </x:c>
      <x:c r="E1467" s="1" t="str">
        <x:v>ridge</x:v>
      </x:c>
      <x:c r="F1467" s="10" t="n">
        <x:v>23</x:v>
      </x:c>
      <x:c r="G1467" s="10" t="n">
        <x:v>33.1684214185</x:v>
      </x:c>
      <x:c r="H1467" s="10" t="n">
        <x:f>ABS(G1467-F1467)</x:f>
        <x:v>10.168421418500003</x:v>
      </x:c>
      <x:c r="I1467" s="10" t="n">
        <x:f>G1467-F1467</x:f>
        <x:v>10.168421418500003</x:v>
      </x:c>
    </x:row>
    <x:row r="1468" ht="20" customHeight="1">
      <x:c r="A1468" s="1" t="str">
        <x:v>22666</x:v>
      </x:c>
      <x:c r="B1468" s="10" t="n">
        <x:v>2</x:v>
      </x:c>
      <x:c r="C1468" s="9" t="d">
        <x:v>2011-11-02T00:00:00.000Z</x:v>
      </x:c>
      <x:c r="D1468" s="9" t="d">
        <x:v>2011-11-09T00:00:00.000Z</x:v>
      </x:c>
      <x:c r="E1468" s="1" t="str">
        <x:v>ridge</x:v>
      </x:c>
      <x:c r="F1468" s="10" t="n">
        <x:v>7</x:v>
      </x:c>
      <x:c r="G1468" s="10" t="n">
        <x:v>31.5168874141</x:v>
      </x:c>
      <x:c r="H1468" s="10" t="n">
        <x:f>ABS(G1468-F1468)</x:f>
        <x:v>24.5168874141</x:v>
      </x:c>
      <x:c r="I1468" s="10" t="n">
        <x:f>G1468-F1468</x:f>
        <x:v>24.5168874141</x:v>
      </x:c>
    </x:row>
    <x:row r="1469" ht="20" customHeight="1">
      <x:c r="A1469" s="1" t="str">
        <x:v>22666</x:v>
      </x:c>
      <x:c r="B1469" s="10" t="n">
        <x:v>2</x:v>
      </x:c>
      <x:c r="C1469" s="9" t="d">
        <x:v>2011-11-02T00:00:00.000Z</x:v>
      </x:c>
      <x:c r="D1469" s="9" t="d">
        <x:v>2011-11-10T00:00:00.000Z</x:v>
      </x:c>
      <x:c r="E1469" s="1" t="str">
        <x:v>ridge</x:v>
      </x:c>
      <x:c r="F1469" s="10" t="n">
        <x:v>215</x:v>
      </x:c>
      <x:c r="G1469" s="10" t="n">
        <x:v>22.8100001277</x:v>
      </x:c>
      <x:c r="H1469" s="10" t="n">
        <x:f>ABS(G1469-F1469)</x:f>
        <x:v>192.1899998723</x:v>
      </x:c>
      <x:c r="I1469" s="10" t="n">
        <x:f>G1469-F1469</x:f>
        <x:v>-192.1899998723</x:v>
      </x:c>
    </x:row>
    <x:row r="1470" ht="20" customHeight="1">
      <x:c r="A1470" s="1" t="str">
        <x:v>22666</x:v>
      </x:c>
      <x:c r="B1470" s="10" t="n">
        <x:v>2</x:v>
      </x:c>
      <x:c r="C1470" s="9" t="d">
        <x:v>2011-11-02T00:00:00.000Z</x:v>
      </x:c>
      <x:c r="D1470" s="9" t="d">
        <x:v>2011-11-11T00:00:00.000Z</x:v>
      </x:c>
      <x:c r="E1470" s="1" t="str">
        <x:v>ridge</x:v>
      </x:c>
      <x:c r="F1470" s="10" t="n">
        <x:v>13</x:v>
      </x:c>
      <x:c r="G1470" s="10" t="n">
        <x:v>13.5950032577</x:v>
      </x:c>
      <x:c r="H1470" s="10" t="n">
        <x:f>ABS(G1470-F1470)</x:f>
        <x:v>0.5950032577000002</x:v>
      </x:c>
      <x:c r="I1470" s="10" t="n">
        <x:f>G1470-F1470</x:f>
        <x:v>0.5950032577000002</x:v>
      </x:c>
    </x:row>
    <x:row r="1471" ht="20" customHeight="1">
      <x:c r="A1471" s="1" t="str">
        <x:v>22666</x:v>
      </x:c>
      <x:c r="B1471" s="10" t="n">
        <x:v>2</x:v>
      </x:c>
      <x:c r="C1471" s="9" t="d">
        <x:v>2011-11-02T00:00:00.000Z</x:v>
      </x:c>
      <x:c r="D1471" s="9" t="d">
        <x:v>2011-11-12T00:00:00.000Z</x:v>
      </x:c>
      <x:c r="E1471" s="1" t="str">
        <x:v>ridge</x:v>
      </x:c>
      <x:c r="F1471" s="10" t="n">
        <x:v>0</x:v>
      </x:c>
      <x:c r="G1471" s="10" t="n">
        <x:v>10.0353001651</x:v>
      </x:c>
      <x:c r="H1471" s="10" t="n">
        <x:f>ABS(G1471-F1471)</x:f>
        <x:v>10.0353001651</x:v>
      </x:c>
      <x:c r="I1471" s="10" t="n">
        <x:f>G1471-F1471</x:f>
        <x:v>10.0353001651</x:v>
      </x:c>
    </x:row>
    <x:row r="1472" ht="20" customHeight="1">
      <x:c r="A1472" s="1" t="str">
        <x:v>22666</x:v>
      </x:c>
      <x:c r="B1472" s="10" t="n">
        <x:v>2</x:v>
      </x:c>
      <x:c r="C1472" s="9" t="d">
        <x:v>2011-11-02T00:00:00.000Z</x:v>
      </x:c>
      <x:c r="D1472" s="9" t="d">
        <x:v>2011-11-13T00:00:00.000Z</x:v>
      </x:c>
      <x:c r="E1472" s="1" t="str">
        <x:v>ridge</x:v>
      </x:c>
      <x:c r="F1472" s="10" t="n">
        <x:v>28</x:v>
      </x:c>
      <x:c r="G1472" s="10" t="n">
        <x:v>14.6777527767</x:v>
      </x:c>
      <x:c r="H1472" s="10" t="n">
        <x:f>ABS(G1472-F1472)</x:f>
        <x:v>13.3222472233</x:v>
      </x:c>
      <x:c r="I1472" s="10" t="n">
        <x:f>G1472-F1472</x:f>
        <x:v>-13.3222472233</x:v>
      </x:c>
    </x:row>
    <x:row r="1473" ht="20" customHeight="1">
      <x:c r="A1473" s="1" t="str">
        <x:v>22666</x:v>
      </x:c>
      <x:c r="B1473" s="10" t="n">
        <x:v>2</x:v>
      </x:c>
      <x:c r="C1473" s="9" t="d">
        <x:v>2011-11-02T00:00:00.000Z</x:v>
      </x:c>
      <x:c r="D1473" s="9" t="d">
        <x:v>2011-11-14T00:00:00.000Z</x:v>
      </x:c>
      <x:c r="E1473" s="1" t="str">
        <x:v>ridge</x:v>
      </x:c>
      <x:c r="F1473" s="10" t="n">
        <x:v>5</x:v>
      </x:c>
      <x:c r="G1473" s="10" t="n">
        <x:v>24.2934972422</x:v>
      </x:c>
      <x:c r="H1473" s="10" t="n">
        <x:f>ABS(G1473-F1473)</x:f>
        <x:v>19.2934972422</x:v>
      </x:c>
      <x:c r="I1473" s="10" t="n">
        <x:f>G1473-F1473</x:f>
        <x:v>19.2934972422</x:v>
      </x:c>
    </x:row>
    <x:row r="1474" ht="20" customHeight="1">
      <x:c r="A1474" s="1" t="str">
        <x:v>22666</x:v>
      </x:c>
      <x:c r="B1474" s="10" t="n">
        <x:v>2</x:v>
      </x:c>
      <x:c r="C1474" s="9" t="d">
        <x:v>2011-11-02T00:00:00.000Z</x:v>
      </x:c>
      <x:c r="D1474" s="9" t="d">
        <x:v>2011-11-15T00:00:00.000Z</x:v>
      </x:c>
      <x:c r="E1474" s="1" t="str">
        <x:v>ridge</x:v>
      </x:c>
      <x:c r="F1474" s="10" t="n">
        <x:v>10</x:v>
      </x:c>
      <x:c r="G1474" s="10" t="n">
        <x:v>31.1210300808</x:v>
      </x:c>
      <x:c r="H1474" s="10" t="n">
        <x:f>ABS(G1474-F1474)</x:f>
        <x:v>21.1210300808</x:v>
      </x:c>
      <x:c r="I1474" s="10" t="n">
        <x:f>G1474-F1474</x:f>
        <x:v>21.1210300808</x:v>
      </x:c>
    </x:row>
    <x:row r="1475" ht="20" customHeight="1">
      <x:c r="A1475" s="1" t="str">
        <x:v>22666</x:v>
      </x:c>
      <x:c r="B1475" s="10" t="n">
        <x:v>2</x:v>
      </x:c>
      <x:c r="C1475" s="9" t="d">
        <x:v>2011-11-02T00:00:00.000Z</x:v>
      </x:c>
      <x:c r="D1475" s="9" t="d">
        <x:v>2011-11-16T00:00:00.000Z</x:v>
      </x:c>
      <x:c r="E1475" s="1" t="str">
        <x:v>ridge</x:v>
      </x:c>
      <x:c r="F1475" s="10" t="n">
        <x:v>43</x:v>
      </x:c>
      <x:c r="G1475" s="10" t="n">
        <x:v>30.0070245572</x:v>
      </x:c>
      <x:c r="H1475" s="10" t="n">
        <x:f>ABS(G1475-F1475)</x:f>
        <x:v>12.992975442799999</x:v>
      </x:c>
      <x:c r="I1475" s="10" t="n">
        <x:f>G1475-F1475</x:f>
        <x:v>-12.992975442799999</x:v>
      </x:c>
    </x:row>
    <x:row r="1476" ht="20" customHeight="1">
      <x:c r="A1476" s="1" t="str">
        <x:v>22666</x:v>
      </x:c>
      <x:c r="B1476" s="10" t="n">
        <x:v>3</x:v>
      </x:c>
      <x:c r="C1476" s="9" t="d">
        <x:v>2011-11-16T00:00:00.000Z</x:v>
      </x:c>
      <x:c r="D1476" s="9" t="d">
        <x:v>2011-11-17T00:00:00.000Z</x:v>
      </x:c>
      <x:c r="E1476" s="1" t="str">
        <x:v>naive</x:v>
      </x:c>
      <x:c r="F1476" s="10" t="n">
        <x:v>2</x:v>
      </x:c>
      <x:c r="G1476" s="10" t="n">
        <x:v>43</x:v>
      </x:c>
      <x:c r="H1476" s="10" t="n">
        <x:f>ABS(G1476-F1476)</x:f>
        <x:v>41</x:v>
      </x:c>
      <x:c r="I1476" s="10" t="n">
        <x:f>G1476-F1476</x:f>
        <x:v>41</x:v>
      </x:c>
    </x:row>
    <x:row r="1477" ht="20" customHeight="1">
      <x:c r="A1477" s="1" t="str">
        <x:v>22666</x:v>
      </x:c>
      <x:c r="B1477" s="10" t="n">
        <x:v>3</x:v>
      </x:c>
      <x:c r="C1477" s="9" t="d">
        <x:v>2011-11-16T00:00:00.000Z</x:v>
      </x:c>
      <x:c r="D1477" s="9" t="d">
        <x:v>2011-11-18T00:00:00.000Z</x:v>
      </x:c>
      <x:c r="E1477" s="1" t="str">
        <x:v>naive</x:v>
      </x:c>
      <x:c r="F1477" s="10" t="n">
        <x:v>36</x:v>
      </x:c>
      <x:c r="G1477" s="10" t="n">
        <x:v>43</x:v>
      </x:c>
      <x:c r="H1477" s="10" t="n">
        <x:f>ABS(G1477-F1477)</x:f>
        <x:v>7</x:v>
      </x:c>
      <x:c r="I1477" s="10" t="n">
        <x:f>G1477-F1477</x:f>
        <x:v>7</x:v>
      </x:c>
    </x:row>
    <x:row r="1478" ht="20" customHeight="1">
      <x:c r="A1478" s="1" t="str">
        <x:v>22666</x:v>
      </x:c>
      <x:c r="B1478" s="10" t="n">
        <x:v>3</x:v>
      </x:c>
      <x:c r="C1478" s="9" t="d">
        <x:v>2011-11-16T00:00:00.000Z</x:v>
      </x:c>
      <x:c r="D1478" s="9" t="d">
        <x:v>2011-11-19T00:00:00.000Z</x:v>
      </x:c>
      <x:c r="E1478" s="1" t="str">
        <x:v>naive</x:v>
      </x:c>
      <x:c r="F1478" s="10" t="n">
        <x:v>0</x:v>
      </x:c>
      <x:c r="G1478" s="10" t="n">
        <x:v>43</x:v>
      </x:c>
      <x:c r="H1478" s="10" t="n">
        <x:f>ABS(G1478-F1478)</x:f>
        <x:v>43</x:v>
      </x:c>
      <x:c r="I1478" s="10" t="n">
        <x:f>G1478-F1478</x:f>
        <x:v>43</x:v>
      </x:c>
    </x:row>
    <x:row r="1479" ht="20" customHeight="1">
      <x:c r="A1479" s="1" t="str">
        <x:v>22666</x:v>
      </x:c>
      <x:c r="B1479" s="10" t="n">
        <x:v>3</x:v>
      </x:c>
      <x:c r="C1479" s="9" t="d">
        <x:v>2011-11-16T00:00:00.000Z</x:v>
      </x:c>
      <x:c r="D1479" s="9" t="d">
        <x:v>2011-11-20T00:00:00.000Z</x:v>
      </x:c>
      <x:c r="E1479" s="1" t="str">
        <x:v>naive</x:v>
      </x:c>
      <x:c r="F1479" s="10" t="n">
        <x:v>23</x:v>
      </x:c>
      <x:c r="G1479" s="10" t="n">
        <x:v>43</x:v>
      </x:c>
      <x:c r="H1479" s="10" t="n">
        <x:f>ABS(G1479-F1479)</x:f>
        <x:v>20</x:v>
      </x:c>
      <x:c r="I1479" s="10" t="n">
        <x:f>G1479-F1479</x:f>
        <x:v>20</x:v>
      </x:c>
    </x:row>
    <x:row r="1480" ht="20" customHeight="1">
      <x:c r="A1480" s="1" t="str">
        <x:v>22666</x:v>
      </x:c>
      <x:c r="B1480" s="10" t="n">
        <x:v>3</x:v>
      </x:c>
      <x:c r="C1480" s="9" t="d">
        <x:v>2011-11-16T00:00:00.000Z</x:v>
      </x:c>
      <x:c r="D1480" s="9" t="d">
        <x:v>2011-11-21T00:00:00.000Z</x:v>
      </x:c>
      <x:c r="E1480" s="1" t="str">
        <x:v>naive</x:v>
      </x:c>
      <x:c r="F1480" s="10" t="n">
        <x:v>32</x:v>
      </x:c>
      <x:c r="G1480" s="10" t="n">
        <x:v>43</x:v>
      </x:c>
      <x:c r="H1480" s="10" t="n">
        <x:f>ABS(G1480-F1480)</x:f>
        <x:v>11</x:v>
      </x:c>
      <x:c r="I1480" s="10" t="n">
        <x:f>G1480-F1480</x:f>
        <x:v>11</x:v>
      </x:c>
    </x:row>
    <x:row r="1481" ht="20" customHeight="1">
      <x:c r="A1481" s="1" t="str">
        <x:v>22666</x:v>
      </x:c>
      <x:c r="B1481" s="10" t="n">
        <x:v>3</x:v>
      </x:c>
      <x:c r="C1481" s="9" t="d">
        <x:v>2011-11-16T00:00:00.000Z</x:v>
      </x:c>
      <x:c r="D1481" s="9" t="d">
        <x:v>2011-11-22T00:00:00.000Z</x:v>
      </x:c>
      <x:c r="E1481" s="1" t="str">
        <x:v>naive</x:v>
      </x:c>
      <x:c r="F1481" s="10" t="n">
        <x:v>37</x:v>
      </x:c>
      <x:c r="G1481" s="10" t="n">
        <x:v>43</x:v>
      </x:c>
      <x:c r="H1481" s="10" t="n">
        <x:f>ABS(G1481-F1481)</x:f>
        <x:v>6</x:v>
      </x:c>
      <x:c r="I1481" s="10" t="n">
        <x:f>G1481-F1481</x:f>
        <x:v>6</x:v>
      </x:c>
    </x:row>
    <x:row r="1482" ht="20" customHeight="1">
      <x:c r="A1482" s="1" t="str">
        <x:v>22666</x:v>
      </x:c>
      <x:c r="B1482" s="10" t="n">
        <x:v>3</x:v>
      </x:c>
      <x:c r="C1482" s="9" t="d">
        <x:v>2011-11-16T00:00:00.000Z</x:v>
      </x:c>
      <x:c r="D1482" s="9" t="d">
        <x:v>2011-11-23T00:00:00.000Z</x:v>
      </x:c>
      <x:c r="E1482" s="1" t="str">
        <x:v>naive</x:v>
      </x:c>
      <x:c r="F1482" s="10" t="n">
        <x:v>75</x:v>
      </x:c>
      <x:c r="G1482" s="10" t="n">
        <x:v>43</x:v>
      </x:c>
      <x:c r="H1482" s="10" t="n">
        <x:f>ABS(G1482-F1482)</x:f>
        <x:v>32</x:v>
      </x:c>
      <x:c r="I1482" s="10" t="n">
        <x:f>G1482-F1482</x:f>
        <x:v>-32</x:v>
      </x:c>
    </x:row>
    <x:row r="1483" ht="20" customHeight="1">
      <x:c r="A1483" s="1" t="str">
        <x:v>22666</x:v>
      </x:c>
      <x:c r="B1483" s="10" t="n">
        <x:v>3</x:v>
      </x:c>
      <x:c r="C1483" s="9" t="d">
        <x:v>2011-11-16T00:00:00.000Z</x:v>
      </x:c>
      <x:c r="D1483" s="9" t="d">
        <x:v>2011-11-24T00:00:00.000Z</x:v>
      </x:c>
      <x:c r="E1483" s="1" t="str">
        <x:v>naive</x:v>
      </x:c>
      <x:c r="F1483" s="10" t="n">
        <x:v>11</x:v>
      </x:c>
      <x:c r="G1483" s="10" t="n">
        <x:v>43</x:v>
      </x:c>
      <x:c r="H1483" s="10" t="n">
        <x:f>ABS(G1483-F1483)</x:f>
        <x:v>32</x:v>
      </x:c>
      <x:c r="I1483" s="10" t="n">
        <x:f>G1483-F1483</x:f>
        <x:v>32</x:v>
      </x:c>
    </x:row>
    <x:row r="1484" ht="20" customHeight="1">
      <x:c r="A1484" s="1" t="str">
        <x:v>22666</x:v>
      </x:c>
      <x:c r="B1484" s="10" t="n">
        <x:v>3</x:v>
      </x:c>
      <x:c r="C1484" s="9" t="d">
        <x:v>2011-11-16T00:00:00.000Z</x:v>
      </x:c>
      <x:c r="D1484" s="9" t="d">
        <x:v>2011-11-25T00:00:00.000Z</x:v>
      </x:c>
      <x:c r="E1484" s="1" t="str">
        <x:v>naive</x:v>
      </x:c>
      <x:c r="F1484" s="10" t="n">
        <x:v>25</x:v>
      </x:c>
      <x:c r="G1484" s="10" t="n">
        <x:v>43</x:v>
      </x:c>
      <x:c r="H1484" s="10" t="n">
        <x:f>ABS(G1484-F1484)</x:f>
        <x:v>18</x:v>
      </x:c>
      <x:c r="I1484" s="10" t="n">
        <x:f>G1484-F1484</x:f>
        <x:v>18</x:v>
      </x:c>
    </x:row>
    <x:row r="1485" ht="20" customHeight="1">
      <x:c r="A1485" s="1" t="str">
        <x:v>22666</x:v>
      </x:c>
      <x:c r="B1485" s="10" t="n">
        <x:v>3</x:v>
      </x:c>
      <x:c r="C1485" s="9" t="d">
        <x:v>2011-11-16T00:00:00.000Z</x:v>
      </x:c>
      <x:c r="D1485" s="9" t="d">
        <x:v>2011-11-26T00:00:00.000Z</x:v>
      </x:c>
      <x:c r="E1485" s="1" t="str">
        <x:v>naive</x:v>
      </x:c>
      <x:c r="F1485" s="10" t="n">
        <x:v>0</x:v>
      </x:c>
      <x:c r="G1485" s="10" t="n">
        <x:v>43</x:v>
      </x:c>
      <x:c r="H1485" s="10" t="n">
        <x:f>ABS(G1485-F1485)</x:f>
        <x:v>43</x:v>
      </x:c>
      <x:c r="I1485" s="10" t="n">
        <x:f>G1485-F1485</x:f>
        <x:v>43</x:v>
      </x:c>
    </x:row>
    <x:row r="1486" ht="20" customHeight="1">
      <x:c r="A1486" s="1" t="str">
        <x:v>22666</x:v>
      </x:c>
      <x:c r="B1486" s="10" t="n">
        <x:v>3</x:v>
      </x:c>
      <x:c r="C1486" s="9" t="d">
        <x:v>2011-11-16T00:00:00.000Z</x:v>
      </x:c>
      <x:c r="D1486" s="9" t="d">
        <x:v>2011-11-27T00:00:00.000Z</x:v>
      </x:c>
      <x:c r="E1486" s="1" t="str">
        <x:v>naive</x:v>
      </x:c>
      <x:c r="F1486" s="10" t="n">
        <x:v>21</x:v>
      </x:c>
      <x:c r="G1486" s="10" t="n">
        <x:v>43</x:v>
      </x:c>
      <x:c r="H1486" s="10" t="n">
        <x:f>ABS(G1486-F1486)</x:f>
        <x:v>22</x:v>
      </x:c>
      <x:c r="I1486" s="10" t="n">
        <x:f>G1486-F1486</x:f>
        <x:v>22</x:v>
      </x:c>
    </x:row>
    <x:row r="1487" ht="20" customHeight="1">
      <x:c r="A1487" s="1" t="str">
        <x:v>22666</x:v>
      </x:c>
      <x:c r="B1487" s="10" t="n">
        <x:v>3</x:v>
      </x:c>
      <x:c r="C1487" s="9" t="d">
        <x:v>2011-11-16T00:00:00.000Z</x:v>
      </x:c>
      <x:c r="D1487" s="9" t="d">
        <x:v>2011-11-28T00:00:00.000Z</x:v>
      </x:c>
      <x:c r="E1487" s="1" t="str">
        <x:v>naive</x:v>
      </x:c>
      <x:c r="F1487" s="10" t="n">
        <x:v>22</x:v>
      </x:c>
      <x:c r="G1487" s="10" t="n">
        <x:v>43</x:v>
      </x:c>
      <x:c r="H1487" s="10" t="n">
        <x:f>ABS(G1487-F1487)</x:f>
        <x:v>21</x:v>
      </x:c>
      <x:c r="I1487" s="10" t="n">
        <x:f>G1487-F1487</x:f>
        <x:v>21</x:v>
      </x:c>
    </x:row>
    <x:row r="1488" ht="20" customHeight="1">
      <x:c r="A1488" s="1" t="str">
        <x:v>22666</x:v>
      </x:c>
      <x:c r="B1488" s="10" t="n">
        <x:v>3</x:v>
      </x:c>
      <x:c r="C1488" s="9" t="d">
        <x:v>2011-11-16T00:00:00.000Z</x:v>
      </x:c>
      <x:c r="D1488" s="9" t="d">
        <x:v>2011-11-29T00:00:00.000Z</x:v>
      </x:c>
      <x:c r="E1488" s="1" t="str">
        <x:v>naive</x:v>
      </x:c>
      <x:c r="F1488" s="10" t="n">
        <x:v>37</x:v>
      </x:c>
      <x:c r="G1488" s="10" t="n">
        <x:v>43</x:v>
      </x:c>
      <x:c r="H1488" s="10" t="n">
        <x:f>ABS(G1488-F1488)</x:f>
        <x:v>6</x:v>
      </x:c>
      <x:c r="I1488" s="10" t="n">
        <x:f>G1488-F1488</x:f>
        <x:v>6</x:v>
      </x:c>
    </x:row>
    <x:row r="1489" ht="20" customHeight="1">
      <x:c r="A1489" s="1" t="str">
        <x:v>22666</x:v>
      </x:c>
      <x:c r="B1489" s="10" t="n">
        <x:v>3</x:v>
      </x:c>
      <x:c r="C1489" s="9" t="d">
        <x:v>2011-11-16T00:00:00.000Z</x:v>
      </x:c>
      <x:c r="D1489" s="9" t="d">
        <x:v>2011-11-30T00:00:00.000Z</x:v>
      </x:c>
      <x:c r="E1489" s="1" t="str">
        <x:v>naive</x:v>
      </x:c>
      <x:c r="F1489" s="10" t="n">
        <x:v>60</x:v>
      </x:c>
      <x:c r="G1489" s="10" t="n">
        <x:v>43</x:v>
      </x:c>
      <x:c r="H1489" s="10" t="n">
        <x:f>ABS(G1489-F1489)</x:f>
        <x:v>17</x:v>
      </x:c>
      <x:c r="I1489" s="10" t="n">
        <x:f>G1489-F1489</x:f>
        <x:v>-17</x:v>
      </x:c>
    </x:row>
    <x:row r="1490" ht="20" customHeight="1">
      <x:c r="A1490" s="1" t="str">
        <x:v>22666</x:v>
      </x:c>
      <x:c r="B1490" s="10" t="n">
        <x:v>3</x:v>
      </x:c>
      <x:c r="C1490" s="9" t="d">
        <x:v>2011-11-16T00:00:00.000Z</x:v>
      </x:c>
      <x:c r="D1490" s="9" t="d">
        <x:v>2011-11-17T00:00:00.000Z</x:v>
      </x:c>
      <x:c r="E1490" s="1" t="str">
        <x:v>seasonal_naive</x:v>
      </x:c>
      <x:c r="F1490" s="10" t="n">
        <x:v>2</x:v>
      </x:c>
      <x:c r="G1490" s="10" t="n">
        <x:v>215</x:v>
      </x:c>
      <x:c r="H1490" s="10" t="n">
        <x:f>ABS(G1490-F1490)</x:f>
        <x:v>213</x:v>
      </x:c>
      <x:c r="I1490" s="10" t="n">
        <x:f>G1490-F1490</x:f>
        <x:v>213</x:v>
      </x:c>
    </x:row>
    <x:row r="1491" ht="20" customHeight="1">
      <x:c r="A1491" s="1" t="str">
        <x:v>22666</x:v>
      </x:c>
      <x:c r="B1491" s="10" t="n">
        <x:v>3</x:v>
      </x:c>
      <x:c r="C1491" s="9" t="d">
        <x:v>2011-11-16T00:00:00.000Z</x:v>
      </x:c>
      <x:c r="D1491" s="9" t="d">
        <x:v>2011-11-18T00:00:00.000Z</x:v>
      </x:c>
      <x:c r="E1491" s="1" t="str">
        <x:v>seasonal_naive</x:v>
      </x:c>
      <x:c r="F1491" s="10" t="n">
        <x:v>36</x:v>
      </x:c>
      <x:c r="G1491" s="10" t="n">
        <x:v>13</x:v>
      </x:c>
      <x:c r="H1491" s="10" t="n">
        <x:f>ABS(G1491-F1491)</x:f>
        <x:v>23</x:v>
      </x:c>
      <x:c r="I1491" s="10" t="n">
        <x:f>G1491-F1491</x:f>
        <x:v>-23</x:v>
      </x:c>
    </x:row>
    <x:row r="1492" ht="20" customHeight="1">
      <x:c r="A1492" s="1" t="str">
        <x:v>22666</x:v>
      </x:c>
      <x:c r="B1492" s="10" t="n">
        <x:v>3</x:v>
      </x:c>
      <x:c r="C1492" s="9" t="d">
        <x:v>2011-11-16T00:00:00.000Z</x:v>
      </x:c>
      <x:c r="D1492" s="9" t="d">
        <x:v>2011-11-19T00:00:00.000Z</x:v>
      </x:c>
      <x:c r="E1492" s="1" t="str">
        <x:v>seasonal_naive</x:v>
      </x:c>
      <x:c r="F1492" s="10" t="n">
        <x:v>0</x:v>
      </x:c>
      <x:c r="G1492" s="10" t="n">
        <x:v>0</x:v>
      </x:c>
      <x:c r="H1492" s="10" t="n">
        <x:f>ABS(G1492-F1492)</x:f>
        <x:v>0</x:v>
      </x:c>
      <x:c r="I1492" s="10" t="n">
        <x:f>G1492-F1492</x:f>
        <x:v>0</x:v>
      </x:c>
    </x:row>
    <x:row r="1493" ht="20" customHeight="1">
      <x:c r="A1493" s="1" t="str">
        <x:v>22666</x:v>
      </x:c>
      <x:c r="B1493" s="10" t="n">
        <x:v>3</x:v>
      </x:c>
      <x:c r="C1493" s="9" t="d">
        <x:v>2011-11-16T00:00:00.000Z</x:v>
      </x:c>
      <x:c r="D1493" s="9" t="d">
        <x:v>2011-11-20T00:00:00.000Z</x:v>
      </x:c>
      <x:c r="E1493" s="1" t="str">
        <x:v>seasonal_naive</x:v>
      </x:c>
      <x:c r="F1493" s="10" t="n">
        <x:v>23</x:v>
      </x:c>
      <x:c r="G1493" s="10" t="n">
        <x:v>28</x:v>
      </x:c>
      <x:c r="H1493" s="10" t="n">
        <x:f>ABS(G1493-F1493)</x:f>
        <x:v>5</x:v>
      </x:c>
      <x:c r="I1493" s="10" t="n">
        <x:f>G1493-F1493</x:f>
        <x:v>5</x:v>
      </x:c>
    </x:row>
    <x:row r="1494" ht="20" customHeight="1">
      <x:c r="A1494" s="1" t="str">
        <x:v>22666</x:v>
      </x:c>
      <x:c r="B1494" s="10" t="n">
        <x:v>3</x:v>
      </x:c>
      <x:c r="C1494" s="9" t="d">
        <x:v>2011-11-16T00:00:00.000Z</x:v>
      </x:c>
      <x:c r="D1494" s="9" t="d">
        <x:v>2011-11-21T00:00:00.000Z</x:v>
      </x:c>
      <x:c r="E1494" s="1" t="str">
        <x:v>seasonal_naive</x:v>
      </x:c>
      <x:c r="F1494" s="10" t="n">
        <x:v>32</x:v>
      </x:c>
      <x:c r="G1494" s="10" t="n">
        <x:v>5</x:v>
      </x:c>
      <x:c r="H1494" s="10" t="n">
        <x:f>ABS(G1494-F1494)</x:f>
        <x:v>27</x:v>
      </x:c>
      <x:c r="I1494" s="10" t="n">
        <x:f>G1494-F1494</x:f>
        <x:v>-27</x:v>
      </x:c>
    </x:row>
    <x:row r="1495" ht="20" customHeight="1">
      <x:c r="A1495" s="1" t="str">
        <x:v>22666</x:v>
      </x:c>
      <x:c r="B1495" s="10" t="n">
        <x:v>3</x:v>
      </x:c>
      <x:c r="C1495" s="9" t="d">
        <x:v>2011-11-16T00:00:00.000Z</x:v>
      </x:c>
      <x:c r="D1495" s="9" t="d">
        <x:v>2011-11-22T00:00:00.000Z</x:v>
      </x:c>
      <x:c r="E1495" s="1" t="str">
        <x:v>seasonal_naive</x:v>
      </x:c>
      <x:c r="F1495" s="10" t="n">
        <x:v>37</x:v>
      </x:c>
      <x:c r="G1495" s="10" t="n">
        <x:v>10</x:v>
      </x:c>
      <x:c r="H1495" s="10" t="n">
        <x:f>ABS(G1495-F1495)</x:f>
        <x:v>27</x:v>
      </x:c>
      <x:c r="I1495" s="10" t="n">
        <x:f>G1495-F1495</x:f>
        <x:v>-27</x:v>
      </x:c>
    </x:row>
    <x:row r="1496" ht="20" customHeight="1">
      <x:c r="A1496" s="1" t="str">
        <x:v>22666</x:v>
      </x:c>
      <x:c r="B1496" s="10" t="n">
        <x:v>3</x:v>
      </x:c>
      <x:c r="C1496" s="9" t="d">
        <x:v>2011-11-16T00:00:00.000Z</x:v>
      </x:c>
      <x:c r="D1496" s="9" t="d">
        <x:v>2011-11-23T00:00:00.000Z</x:v>
      </x:c>
      <x:c r="E1496" s="1" t="str">
        <x:v>seasonal_naive</x:v>
      </x:c>
      <x:c r="F1496" s="10" t="n">
        <x:v>75</x:v>
      </x:c>
      <x:c r="G1496" s="10" t="n">
        <x:v>43</x:v>
      </x:c>
      <x:c r="H1496" s="10" t="n">
        <x:f>ABS(G1496-F1496)</x:f>
        <x:v>32</x:v>
      </x:c>
      <x:c r="I1496" s="10" t="n">
        <x:f>G1496-F1496</x:f>
        <x:v>-32</x:v>
      </x:c>
    </x:row>
    <x:row r="1497" ht="20" customHeight="1">
      <x:c r="A1497" s="1" t="str">
        <x:v>22666</x:v>
      </x:c>
      <x:c r="B1497" s="10" t="n">
        <x:v>3</x:v>
      </x:c>
      <x:c r="C1497" s="9" t="d">
        <x:v>2011-11-16T00:00:00.000Z</x:v>
      </x:c>
      <x:c r="D1497" s="9" t="d">
        <x:v>2011-11-24T00:00:00.000Z</x:v>
      </x:c>
      <x:c r="E1497" s="1" t="str">
        <x:v>seasonal_naive</x:v>
      </x:c>
      <x:c r="F1497" s="10" t="n">
        <x:v>11</x:v>
      </x:c>
      <x:c r="G1497" s="10" t="n">
        <x:v>215</x:v>
      </x:c>
      <x:c r="H1497" s="10" t="n">
        <x:f>ABS(G1497-F1497)</x:f>
        <x:v>204</x:v>
      </x:c>
      <x:c r="I1497" s="10" t="n">
        <x:f>G1497-F1497</x:f>
        <x:v>204</x:v>
      </x:c>
    </x:row>
    <x:row r="1498" ht="20" customHeight="1">
      <x:c r="A1498" s="1" t="str">
        <x:v>22666</x:v>
      </x:c>
      <x:c r="B1498" s="10" t="n">
        <x:v>3</x:v>
      </x:c>
      <x:c r="C1498" s="9" t="d">
        <x:v>2011-11-16T00:00:00.000Z</x:v>
      </x:c>
      <x:c r="D1498" s="9" t="d">
        <x:v>2011-11-25T00:00:00.000Z</x:v>
      </x:c>
      <x:c r="E1498" s="1" t="str">
        <x:v>seasonal_naive</x:v>
      </x:c>
      <x:c r="F1498" s="10" t="n">
        <x:v>25</x:v>
      </x:c>
      <x:c r="G1498" s="10" t="n">
        <x:v>13</x:v>
      </x:c>
      <x:c r="H1498" s="10" t="n">
        <x:f>ABS(G1498-F1498)</x:f>
        <x:v>12</x:v>
      </x:c>
      <x:c r="I1498" s="10" t="n">
        <x:f>G1498-F1498</x:f>
        <x:v>-12</x:v>
      </x:c>
    </x:row>
    <x:row r="1499" ht="20" customHeight="1">
      <x:c r="A1499" s="1" t="str">
        <x:v>22666</x:v>
      </x:c>
      <x:c r="B1499" s="10" t="n">
        <x:v>3</x:v>
      </x:c>
      <x:c r="C1499" s="9" t="d">
        <x:v>2011-11-16T00:00:00.000Z</x:v>
      </x:c>
      <x:c r="D1499" s="9" t="d">
        <x:v>2011-11-26T00:00:00.000Z</x:v>
      </x:c>
      <x:c r="E1499" s="1" t="str">
        <x:v>seasonal_naive</x:v>
      </x:c>
      <x:c r="F1499" s="10" t="n">
        <x:v>0</x:v>
      </x:c>
      <x:c r="G1499" s="10" t="n">
        <x:v>0</x:v>
      </x:c>
      <x:c r="H1499" s="10" t="n">
        <x:f>ABS(G1499-F1499)</x:f>
        <x:v>0</x:v>
      </x:c>
      <x:c r="I1499" s="10" t="n">
        <x:f>G1499-F1499</x:f>
        <x:v>0</x:v>
      </x:c>
    </x:row>
    <x:row r="1500" ht="20" customHeight="1">
      <x:c r="A1500" s="1" t="str">
        <x:v>22666</x:v>
      </x:c>
      <x:c r="B1500" s="10" t="n">
        <x:v>3</x:v>
      </x:c>
      <x:c r="C1500" s="9" t="d">
        <x:v>2011-11-16T00:00:00.000Z</x:v>
      </x:c>
      <x:c r="D1500" s="9" t="d">
        <x:v>2011-11-27T00:00:00.000Z</x:v>
      </x:c>
      <x:c r="E1500" s="1" t="str">
        <x:v>seasonal_naive</x:v>
      </x:c>
      <x:c r="F1500" s="10" t="n">
        <x:v>21</x:v>
      </x:c>
      <x:c r="G1500" s="10" t="n">
        <x:v>28</x:v>
      </x:c>
      <x:c r="H1500" s="10" t="n">
        <x:f>ABS(G1500-F1500)</x:f>
        <x:v>7</x:v>
      </x:c>
      <x:c r="I1500" s="10" t="n">
        <x:f>G1500-F1500</x:f>
        <x:v>7</x:v>
      </x:c>
    </x:row>
    <x:row r="1501" ht="20" customHeight="1">
      <x:c r="A1501" s="1" t="str">
        <x:v>22666</x:v>
      </x:c>
      <x:c r="B1501" s="10" t="n">
        <x:v>3</x:v>
      </x:c>
      <x:c r="C1501" s="9" t="d">
        <x:v>2011-11-16T00:00:00.000Z</x:v>
      </x:c>
      <x:c r="D1501" s="9" t="d">
        <x:v>2011-11-28T00:00:00.000Z</x:v>
      </x:c>
      <x:c r="E1501" s="1" t="str">
        <x:v>seasonal_naive</x:v>
      </x:c>
      <x:c r="F1501" s="10" t="n">
        <x:v>22</x:v>
      </x:c>
      <x:c r="G1501" s="10" t="n">
        <x:v>5</x:v>
      </x:c>
      <x:c r="H1501" s="10" t="n">
        <x:f>ABS(G1501-F1501)</x:f>
        <x:v>17</x:v>
      </x:c>
      <x:c r="I1501" s="10" t="n">
        <x:f>G1501-F1501</x:f>
        <x:v>-17</x:v>
      </x:c>
    </x:row>
    <x:row r="1502" ht="20" customHeight="1">
      <x:c r="A1502" s="1" t="str">
        <x:v>22666</x:v>
      </x:c>
      <x:c r="B1502" s="10" t="n">
        <x:v>3</x:v>
      </x:c>
      <x:c r="C1502" s="9" t="d">
        <x:v>2011-11-16T00:00:00.000Z</x:v>
      </x:c>
      <x:c r="D1502" s="9" t="d">
        <x:v>2011-11-29T00:00:00.000Z</x:v>
      </x:c>
      <x:c r="E1502" s="1" t="str">
        <x:v>seasonal_naive</x:v>
      </x:c>
      <x:c r="F1502" s="10" t="n">
        <x:v>37</x:v>
      </x:c>
      <x:c r="G1502" s="10" t="n">
        <x:v>10</x:v>
      </x:c>
      <x:c r="H1502" s="10" t="n">
        <x:f>ABS(G1502-F1502)</x:f>
        <x:v>27</x:v>
      </x:c>
      <x:c r="I1502" s="10" t="n">
        <x:f>G1502-F1502</x:f>
        <x:v>-27</x:v>
      </x:c>
    </x:row>
    <x:row r="1503" ht="20" customHeight="1">
      <x:c r="A1503" s="1" t="str">
        <x:v>22666</x:v>
      </x:c>
      <x:c r="B1503" s="10" t="n">
        <x:v>3</x:v>
      </x:c>
      <x:c r="C1503" s="9" t="d">
        <x:v>2011-11-16T00:00:00.000Z</x:v>
      </x:c>
      <x:c r="D1503" s="9" t="d">
        <x:v>2011-11-30T00:00:00.000Z</x:v>
      </x:c>
      <x:c r="E1503" s="1" t="str">
        <x:v>seasonal_naive</x:v>
      </x:c>
      <x:c r="F1503" s="10" t="n">
        <x:v>60</x:v>
      </x:c>
      <x:c r="G1503" s="10" t="n">
        <x:v>43</x:v>
      </x:c>
      <x:c r="H1503" s="10" t="n">
        <x:f>ABS(G1503-F1503)</x:f>
        <x:v>17</x:v>
      </x:c>
      <x:c r="I1503" s="10" t="n">
        <x:f>G1503-F1503</x:f>
        <x:v>-17</x:v>
      </x:c>
    </x:row>
    <x:row r="1504" ht="20" customHeight="1">
      <x:c r="A1504" s="1" t="str">
        <x:v>22666</x:v>
      </x:c>
      <x:c r="B1504" s="10" t="n">
        <x:v>3</x:v>
      </x:c>
      <x:c r="C1504" s="9" t="d">
        <x:v>2011-11-16T00:00:00.000Z</x:v>
      </x:c>
      <x:c r="D1504" s="9" t="d">
        <x:v>2011-11-17T00:00:00.000Z</x:v>
      </x:c>
      <x:c r="E1504" s="1" t="str">
        <x:v>ridge</x:v>
      </x:c>
      <x:c r="F1504" s="10" t="n">
        <x:v>2</x:v>
      </x:c>
      <x:c r="G1504" s="10" t="n">
        <x:v>33.6634243092</x:v>
      </x:c>
      <x:c r="H1504" s="10" t="n">
        <x:f>ABS(G1504-F1504)</x:f>
        <x:v>31.663424309200003</x:v>
      </x:c>
      <x:c r="I1504" s="10" t="n">
        <x:f>G1504-F1504</x:f>
        <x:v>31.663424309200003</x:v>
      </x:c>
    </x:row>
    <x:row r="1505" ht="20" customHeight="1">
      <x:c r="A1505" s="1" t="str">
        <x:v>22666</x:v>
      </x:c>
      <x:c r="B1505" s="10" t="n">
        <x:v>3</x:v>
      </x:c>
      <x:c r="C1505" s="9" t="d">
        <x:v>2011-11-16T00:00:00.000Z</x:v>
      </x:c>
      <x:c r="D1505" s="9" t="d">
        <x:v>2011-11-18T00:00:00.000Z</x:v>
      </x:c>
      <x:c r="E1505" s="1" t="str">
        <x:v>ridge</x:v>
      </x:c>
      <x:c r="F1505" s="10" t="n">
        <x:v>36</x:v>
      </x:c>
      <x:c r="G1505" s="10" t="n">
        <x:v>8.3723001528</x:v>
      </x:c>
      <x:c r="H1505" s="10" t="n">
        <x:f>ABS(G1505-F1505)</x:f>
        <x:v>27.6276998472</x:v>
      </x:c>
      <x:c r="I1505" s="10" t="n">
        <x:f>G1505-F1505</x:f>
        <x:v>-27.6276998472</x:v>
      </x:c>
    </x:row>
    <x:row r="1506" ht="20" customHeight="1">
      <x:c r="A1506" s="1" t="str">
        <x:v>22666</x:v>
      </x:c>
      <x:c r="B1506" s="10" t="n">
        <x:v>3</x:v>
      </x:c>
      <x:c r="C1506" s="9" t="d">
        <x:v>2011-11-16T00:00:00.000Z</x:v>
      </x:c>
      <x:c r="D1506" s="9" t="d">
        <x:v>2011-11-19T00:00:00.000Z</x:v>
      </x:c>
      <x:c r="E1506" s="1" t="str">
        <x:v>ridge</x:v>
      </x:c>
      <x:c r="F1506" s="10" t="n">
        <x:v>0</x:v>
      </x:c>
      <x:c r="G1506" s="10" t="n">
        <x:v>2.3738917626</x:v>
      </x:c>
      <x:c r="H1506" s="10" t="n">
        <x:f>ABS(G1506-F1506)</x:f>
        <x:v>2.3738917626</x:v>
      </x:c>
      <x:c r="I1506" s="10" t="n">
        <x:f>G1506-F1506</x:f>
        <x:v>2.3738917626</x:v>
      </x:c>
    </x:row>
    <x:row r="1507" ht="20" customHeight="1">
      <x:c r="A1507" s="1" t="str">
        <x:v>22666</x:v>
      </x:c>
      <x:c r="B1507" s="10" t="n">
        <x:v>3</x:v>
      </x:c>
      <x:c r="C1507" s="9" t="d">
        <x:v>2011-11-16T00:00:00.000Z</x:v>
      </x:c>
      <x:c r="D1507" s="9" t="d">
        <x:v>2011-11-20T00:00:00.000Z</x:v>
      </x:c>
      <x:c r="E1507" s="1" t="str">
        <x:v>ridge</x:v>
      </x:c>
      <x:c r="F1507" s="10" t="n">
        <x:v>23</x:v>
      </x:c>
      <x:c r="G1507" s="10" t="n">
        <x:v>6.2987953892</x:v>
      </x:c>
      <x:c r="H1507" s="10" t="n">
        <x:f>ABS(G1507-F1507)</x:f>
        <x:v>16.701204610799998</x:v>
      </x:c>
      <x:c r="I1507" s="10" t="n">
        <x:f>G1507-F1507</x:f>
        <x:v>-16.701204610799998</x:v>
      </x:c>
    </x:row>
    <x:row r="1508" ht="20" customHeight="1">
      <x:c r="A1508" s="1" t="str">
        <x:v>22666</x:v>
      </x:c>
      <x:c r="B1508" s="10" t="n">
        <x:v>3</x:v>
      </x:c>
      <x:c r="C1508" s="9" t="d">
        <x:v>2011-11-16T00:00:00.000Z</x:v>
      </x:c>
      <x:c r="D1508" s="9" t="d">
        <x:v>2011-11-21T00:00:00.000Z</x:v>
      </x:c>
      <x:c r="E1508" s="1" t="str">
        <x:v>ridge</x:v>
      </x:c>
      <x:c r="F1508" s="10" t="n">
        <x:v>32</x:v>
      </x:c>
      <x:c r="G1508" s="10" t="n">
        <x:v>13.4141130727</x:v>
      </x:c>
      <x:c r="H1508" s="10" t="n">
        <x:f>ABS(G1508-F1508)</x:f>
        <x:v>18.585886927300002</x:v>
      </x:c>
      <x:c r="I1508" s="10" t="n">
        <x:f>G1508-F1508</x:f>
        <x:v>-18.585886927300002</x:v>
      </x:c>
    </x:row>
    <x:row r="1509" ht="20" customHeight="1">
      <x:c r="A1509" s="1" t="str">
        <x:v>22666</x:v>
      </x:c>
      <x:c r="B1509" s="10" t="n">
        <x:v>3</x:v>
      </x:c>
      <x:c r="C1509" s="9" t="d">
        <x:v>2011-11-16T00:00:00.000Z</x:v>
      </x:c>
      <x:c r="D1509" s="9" t="d">
        <x:v>2011-11-22T00:00:00.000Z</x:v>
      </x:c>
      <x:c r="E1509" s="1" t="str">
        <x:v>ridge</x:v>
      </x:c>
      <x:c r="F1509" s="10" t="n">
        <x:v>37</x:v>
      </x:c>
      <x:c r="G1509" s="10" t="n">
        <x:v>22.7428374582</x:v>
      </x:c>
      <x:c r="H1509" s="10" t="n">
        <x:f>ABS(G1509-F1509)</x:f>
        <x:v>14.2571625418</x:v>
      </x:c>
      <x:c r="I1509" s="10" t="n">
        <x:f>G1509-F1509</x:f>
        <x:v>-14.2571625418</x:v>
      </x:c>
    </x:row>
    <x:row r="1510" ht="20" customHeight="1">
      <x:c r="A1510" s="1" t="str">
        <x:v>22666</x:v>
      </x:c>
      <x:c r="B1510" s="10" t="n">
        <x:v>3</x:v>
      </x:c>
      <x:c r="C1510" s="9" t="d">
        <x:v>2011-11-16T00:00:00.000Z</x:v>
      </x:c>
      <x:c r="D1510" s="9" t="d">
        <x:v>2011-11-23T00:00:00.000Z</x:v>
      </x:c>
      <x:c r="E1510" s="1" t="str">
        <x:v>ridge</x:v>
      </x:c>
      <x:c r="F1510" s="10" t="n">
        <x:v>75</x:v>
      </x:c>
      <x:c r="G1510" s="10" t="n">
        <x:v>27.140420959</x:v>
      </x:c>
      <x:c r="H1510" s="10" t="n">
        <x:f>ABS(G1510-F1510)</x:f>
        <x:v>47.859579041</x:v>
      </x:c>
      <x:c r="I1510" s="10" t="n">
        <x:f>G1510-F1510</x:f>
        <x:v>-47.859579041</x:v>
      </x:c>
    </x:row>
    <x:row r="1511" ht="20" customHeight="1">
      <x:c r="A1511" s="1" t="str">
        <x:v>22666</x:v>
      </x:c>
      <x:c r="B1511" s="10" t="n">
        <x:v>3</x:v>
      </x:c>
      <x:c r="C1511" s="9" t="d">
        <x:v>2011-11-16T00:00:00.000Z</x:v>
      </x:c>
      <x:c r="D1511" s="9" t="d">
        <x:v>2011-11-24T00:00:00.000Z</x:v>
      </x:c>
      <x:c r="E1511" s="1" t="str">
        <x:v>ridge</x:v>
      </x:c>
      <x:c r="F1511" s="10" t="n">
        <x:v>11</x:v>
      </x:c>
      <x:c r="G1511" s="10" t="n">
        <x:v>17.6761606784</x:v>
      </x:c>
      <x:c r="H1511" s="10" t="n">
        <x:f>ABS(G1511-F1511)</x:f>
        <x:v>6.676160678399999</x:v>
      </x:c>
      <x:c r="I1511" s="10" t="n">
        <x:f>G1511-F1511</x:f>
        <x:v>6.676160678399999</x:v>
      </x:c>
    </x:row>
    <x:row r="1512" ht="20" customHeight="1">
      <x:c r="A1512" s="1" t="str">
        <x:v>22666</x:v>
      </x:c>
      <x:c r="B1512" s="10" t="n">
        <x:v>3</x:v>
      </x:c>
      <x:c r="C1512" s="9" t="d">
        <x:v>2011-11-16T00:00:00.000Z</x:v>
      </x:c>
      <x:c r="D1512" s="9" t="d">
        <x:v>2011-11-25T00:00:00.000Z</x:v>
      </x:c>
      <x:c r="E1512" s="1" t="str">
        <x:v>ridge</x:v>
      </x:c>
      <x:c r="F1512" s="10" t="n">
        <x:v>25</x:v>
      </x:c>
      <x:c r="G1512" s="10" t="n">
        <x:v>7.5412688104</x:v>
      </x:c>
      <x:c r="H1512" s="10" t="n">
        <x:f>ABS(G1512-F1512)</x:f>
        <x:v>17.4587311896</x:v>
      </x:c>
      <x:c r="I1512" s="10" t="n">
        <x:f>G1512-F1512</x:f>
        <x:v>-17.4587311896</x:v>
      </x:c>
    </x:row>
    <x:row r="1513" ht="20" customHeight="1">
      <x:c r="A1513" s="1" t="str">
        <x:v>22666</x:v>
      </x:c>
      <x:c r="B1513" s="10" t="n">
        <x:v>3</x:v>
      </x:c>
      <x:c r="C1513" s="9" t="d">
        <x:v>2011-11-16T00:00:00.000Z</x:v>
      </x:c>
      <x:c r="D1513" s="9" t="d">
        <x:v>2011-11-26T00:00:00.000Z</x:v>
      </x:c>
      <x:c r="E1513" s="1" t="str">
        <x:v>ridge</x:v>
      </x:c>
      <x:c r="F1513" s="10" t="n">
        <x:v>0</x:v>
      </x:c>
      <x:c r="G1513" s="10" t="n">
        <x:v>1.336939202</x:v>
      </x:c>
      <x:c r="H1513" s="10" t="n">
        <x:f>ABS(G1513-F1513)</x:f>
        <x:v>1.336939202</x:v>
      </x:c>
      <x:c r="I1513" s="10" t="n">
        <x:f>G1513-F1513</x:f>
        <x:v>1.336939202</x:v>
      </x:c>
    </x:row>
    <x:row r="1514" ht="20" customHeight="1">
      <x:c r="A1514" s="1" t="str">
        <x:v>22666</x:v>
      </x:c>
      <x:c r="B1514" s="10" t="n">
        <x:v>3</x:v>
      </x:c>
      <x:c r="C1514" s="9" t="d">
        <x:v>2011-11-16T00:00:00.000Z</x:v>
      </x:c>
      <x:c r="D1514" s="9" t="d">
        <x:v>2011-11-27T00:00:00.000Z</x:v>
      </x:c>
      <x:c r="E1514" s="1" t="str">
        <x:v>ridge</x:v>
      </x:c>
      <x:c r="F1514" s="10" t="n">
        <x:v>21</x:v>
      </x:c>
      <x:c r="G1514" s="10" t="n">
        <x:v>3.7987395394</x:v>
      </x:c>
      <x:c r="H1514" s="10" t="n">
        <x:f>ABS(G1514-F1514)</x:f>
        <x:v>17.2012604606</x:v>
      </x:c>
      <x:c r="I1514" s="10" t="n">
        <x:f>G1514-F1514</x:f>
        <x:v>-17.2012604606</x:v>
      </x:c>
    </x:row>
    <x:row r="1515" ht="20" customHeight="1">
      <x:c r="A1515" s="1" t="str">
        <x:v>22666</x:v>
      </x:c>
      <x:c r="B1515" s="10" t="n">
        <x:v>3</x:v>
      </x:c>
      <x:c r="C1515" s="9" t="d">
        <x:v>2011-11-16T00:00:00.000Z</x:v>
      </x:c>
      <x:c r="D1515" s="9" t="d">
        <x:v>2011-11-28T00:00:00.000Z</x:v>
      </x:c>
      <x:c r="E1515" s="1" t="str">
        <x:v>ridge</x:v>
      </x:c>
      <x:c r="F1515" s="10" t="n">
        <x:v>22</x:v>
      </x:c>
      <x:c r="G1515" s="10" t="n">
        <x:v>13.6496746108</x:v>
      </x:c>
      <x:c r="H1515" s="10" t="n">
        <x:f>ABS(G1515-F1515)</x:f>
        <x:v>8.3503253892</x:v>
      </x:c>
      <x:c r="I1515" s="10" t="n">
        <x:f>G1515-F1515</x:f>
        <x:v>-8.3503253892</x:v>
      </x:c>
    </x:row>
    <x:row r="1516" ht="20" customHeight="1">
      <x:c r="A1516" s="1" t="str">
        <x:v>22666</x:v>
      </x:c>
      <x:c r="B1516" s="10" t="n">
        <x:v>3</x:v>
      </x:c>
      <x:c r="C1516" s="9" t="d">
        <x:v>2011-11-16T00:00:00.000Z</x:v>
      </x:c>
      <x:c r="D1516" s="9" t="d">
        <x:v>2011-11-29T00:00:00.000Z</x:v>
      </x:c>
      <x:c r="E1516" s="1" t="str">
        <x:v>ridge</x:v>
      </x:c>
      <x:c r="F1516" s="10" t="n">
        <x:v>37</x:v>
      </x:c>
      <x:c r="G1516" s="10" t="n">
        <x:v>23.0146583349</x:v>
      </x:c>
      <x:c r="H1516" s="10" t="n">
        <x:f>ABS(G1516-F1516)</x:f>
        <x:v>13.985341665100002</x:v>
      </x:c>
      <x:c r="I1516" s="10" t="n">
        <x:f>G1516-F1516</x:f>
        <x:v>-13.985341665100002</x:v>
      </x:c>
    </x:row>
    <x:row r="1517" ht="20" customHeight="1">
      <x:c r="A1517" s="1" t="str">
        <x:v>22666</x:v>
      </x:c>
      <x:c r="B1517" s="10" t="n">
        <x:v>3</x:v>
      </x:c>
      <x:c r="C1517" s="9" t="d">
        <x:v>2011-11-16T00:00:00.000Z</x:v>
      </x:c>
      <x:c r="D1517" s="9" t="d">
        <x:v>2011-11-30T00:00:00.000Z</x:v>
      </x:c>
      <x:c r="E1517" s="1" t="str">
        <x:v>ridge</x:v>
      </x:c>
      <x:c r="F1517" s="10" t="n">
        <x:v>60</x:v>
      </x:c>
      <x:c r="G1517" s="10" t="n">
        <x:v>25.1788482819</x:v>
      </x:c>
      <x:c r="H1517" s="10" t="n">
        <x:f>ABS(G1517-F1517)</x:f>
        <x:v>34.8211517181</x:v>
      </x:c>
      <x:c r="I1517" s="10" t="n">
        <x:f>G1517-F1517</x:f>
        <x:v>-34.8211517181</x:v>
      </x:c>
    </x:row>
    <x:row r="1518" ht="20" customHeight="1">
      <x:c r="A1518" s="1" t="str">
        <x:v>22720</x:v>
      </x:c>
      <x:c r="B1518" s="10" t="n">
        <x:v>1</x:v>
      </x:c>
      <x:c r="C1518" s="9" t="d">
        <x:v>2011-10-19T00:00:00.000Z</x:v>
      </x:c>
      <x:c r="D1518" s="9" t="d">
        <x:v>2011-10-20T00:00:00.000Z</x:v>
      </x:c>
      <x:c r="E1518" s="1" t="str">
        <x:v>naive</x:v>
      </x:c>
      <x:c r="F1518" s="10" t="n">
        <x:v>10</x:v>
      </x:c>
      <x:c r="G1518" s="10" t="n">
        <x:v>15</x:v>
      </x:c>
      <x:c r="H1518" s="10" t="n">
        <x:f>ABS(G1518-F1518)</x:f>
        <x:v>5</x:v>
      </x:c>
      <x:c r="I1518" s="10" t="n">
        <x:f>G1518-F1518</x:f>
        <x:v>5</x:v>
      </x:c>
    </x:row>
    <x:row r="1519" ht="20" customHeight="1">
      <x:c r="A1519" s="1" t="str">
        <x:v>22720</x:v>
      </x:c>
      <x:c r="B1519" s="10" t="n">
        <x:v>1</x:v>
      </x:c>
      <x:c r="C1519" s="9" t="d">
        <x:v>2011-10-19T00:00:00.000Z</x:v>
      </x:c>
      <x:c r="D1519" s="9" t="d">
        <x:v>2011-10-21T00:00:00.000Z</x:v>
      </x:c>
      <x:c r="E1519" s="1" t="str">
        <x:v>naive</x:v>
      </x:c>
      <x:c r="F1519" s="10" t="n">
        <x:v>15</x:v>
      </x:c>
      <x:c r="G1519" s="10" t="n">
        <x:v>15</x:v>
      </x:c>
      <x:c r="H1519" s="10" t="n">
        <x:f>ABS(G1519-F1519)</x:f>
        <x:v>0</x:v>
      </x:c>
      <x:c r="I1519" s="10" t="n">
        <x:f>G1519-F1519</x:f>
        <x:v>0</x:v>
      </x:c>
    </x:row>
    <x:row r="1520" ht="20" customHeight="1">
      <x:c r="A1520" s="1" t="str">
        <x:v>22720</x:v>
      </x:c>
      <x:c r="B1520" s="10" t="n">
        <x:v>1</x:v>
      </x:c>
      <x:c r="C1520" s="9" t="d">
        <x:v>2011-10-19T00:00:00.000Z</x:v>
      </x:c>
      <x:c r="D1520" s="9" t="d">
        <x:v>2011-10-22T00:00:00.000Z</x:v>
      </x:c>
      <x:c r="E1520" s="1" t="str">
        <x:v>naive</x:v>
      </x:c>
      <x:c r="F1520" s="10" t="n">
        <x:v>0</x:v>
      </x:c>
      <x:c r="G1520" s="10" t="n">
        <x:v>15</x:v>
      </x:c>
      <x:c r="H1520" s="10" t="n">
        <x:f>ABS(G1520-F1520)</x:f>
        <x:v>15</x:v>
      </x:c>
      <x:c r="I1520" s="10" t="n">
        <x:f>G1520-F1520</x:f>
        <x:v>15</x:v>
      </x:c>
    </x:row>
    <x:row r="1521" ht="20" customHeight="1">
      <x:c r="A1521" s="1" t="str">
        <x:v>22720</x:v>
      </x:c>
      <x:c r="B1521" s="10" t="n">
        <x:v>1</x:v>
      </x:c>
      <x:c r="C1521" s="9" t="d">
        <x:v>2011-10-19T00:00:00.000Z</x:v>
      </x:c>
      <x:c r="D1521" s="9" t="d">
        <x:v>2011-10-23T00:00:00.000Z</x:v>
      </x:c>
      <x:c r="E1521" s="1" t="str">
        <x:v>naive</x:v>
      </x:c>
      <x:c r="F1521" s="10" t="n">
        <x:v>4</x:v>
      </x:c>
      <x:c r="G1521" s="10" t="n">
        <x:v>15</x:v>
      </x:c>
      <x:c r="H1521" s="10" t="n">
        <x:f>ABS(G1521-F1521)</x:f>
        <x:v>11</x:v>
      </x:c>
      <x:c r="I1521" s="10" t="n">
        <x:f>G1521-F1521</x:f>
        <x:v>11</x:v>
      </x:c>
    </x:row>
    <x:row r="1522" ht="20" customHeight="1">
      <x:c r="A1522" s="1" t="str">
        <x:v>22720</x:v>
      </x:c>
      <x:c r="B1522" s="10" t="n">
        <x:v>1</x:v>
      </x:c>
      <x:c r="C1522" s="9" t="d">
        <x:v>2011-10-19T00:00:00.000Z</x:v>
      </x:c>
      <x:c r="D1522" s="9" t="d">
        <x:v>2011-10-24T00:00:00.000Z</x:v>
      </x:c>
      <x:c r="E1522" s="1" t="str">
        <x:v>naive</x:v>
      </x:c>
      <x:c r="F1522" s="10" t="n">
        <x:v>10</x:v>
      </x:c>
      <x:c r="G1522" s="10" t="n">
        <x:v>15</x:v>
      </x:c>
      <x:c r="H1522" s="10" t="n">
        <x:f>ABS(G1522-F1522)</x:f>
        <x:v>5</x:v>
      </x:c>
      <x:c r="I1522" s="10" t="n">
        <x:f>G1522-F1522</x:f>
        <x:v>5</x:v>
      </x:c>
    </x:row>
    <x:row r="1523" ht="20" customHeight="1">
      <x:c r="A1523" s="1" t="str">
        <x:v>22720</x:v>
      </x:c>
      <x:c r="B1523" s="10" t="n">
        <x:v>1</x:v>
      </x:c>
      <x:c r="C1523" s="9" t="d">
        <x:v>2011-10-19T00:00:00.000Z</x:v>
      </x:c>
      <x:c r="D1523" s="9" t="d">
        <x:v>2011-10-25T00:00:00.000Z</x:v>
      </x:c>
      <x:c r="E1523" s="1" t="str">
        <x:v>naive</x:v>
      </x:c>
      <x:c r="F1523" s="10" t="n">
        <x:v>24</x:v>
      </x:c>
      <x:c r="G1523" s="10" t="n">
        <x:v>15</x:v>
      </x:c>
      <x:c r="H1523" s="10" t="n">
        <x:f>ABS(G1523-F1523)</x:f>
        <x:v>9</x:v>
      </x:c>
      <x:c r="I1523" s="10" t="n">
        <x:f>G1523-F1523</x:f>
        <x:v>-9</x:v>
      </x:c>
    </x:row>
    <x:row r="1524" ht="20" customHeight="1">
      <x:c r="A1524" s="1" t="str">
        <x:v>22720</x:v>
      </x:c>
      <x:c r="B1524" s="10" t="n">
        <x:v>1</x:v>
      </x:c>
      <x:c r="C1524" s="9" t="d">
        <x:v>2011-10-19T00:00:00.000Z</x:v>
      </x:c>
      <x:c r="D1524" s="9" t="d">
        <x:v>2011-10-26T00:00:00.000Z</x:v>
      </x:c>
      <x:c r="E1524" s="1" t="str">
        <x:v>naive</x:v>
      </x:c>
      <x:c r="F1524" s="10" t="n">
        <x:v>13</x:v>
      </x:c>
      <x:c r="G1524" s="10" t="n">
        <x:v>15</x:v>
      </x:c>
      <x:c r="H1524" s="10" t="n">
        <x:f>ABS(G1524-F1524)</x:f>
        <x:v>2</x:v>
      </x:c>
      <x:c r="I1524" s="10" t="n">
        <x:f>G1524-F1524</x:f>
        <x:v>2</x:v>
      </x:c>
    </x:row>
    <x:row r="1525" ht="20" customHeight="1">
      <x:c r="A1525" s="1" t="str">
        <x:v>22720</x:v>
      </x:c>
      <x:c r="B1525" s="10" t="n">
        <x:v>1</x:v>
      </x:c>
      <x:c r="C1525" s="9" t="d">
        <x:v>2011-10-19T00:00:00.000Z</x:v>
      </x:c>
      <x:c r="D1525" s="9" t="d">
        <x:v>2011-10-27T00:00:00.000Z</x:v>
      </x:c>
      <x:c r="E1525" s="1" t="str">
        <x:v>naive</x:v>
      </x:c>
      <x:c r="F1525" s="10" t="n">
        <x:v>27</x:v>
      </x:c>
      <x:c r="G1525" s="10" t="n">
        <x:v>15</x:v>
      </x:c>
      <x:c r="H1525" s="10" t="n">
        <x:f>ABS(G1525-F1525)</x:f>
        <x:v>12</x:v>
      </x:c>
      <x:c r="I1525" s="10" t="n">
        <x:f>G1525-F1525</x:f>
        <x:v>-12</x:v>
      </x:c>
    </x:row>
    <x:row r="1526" ht="20" customHeight="1">
      <x:c r="A1526" s="1" t="str">
        <x:v>22720</x:v>
      </x:c>
      <x:c r="B1526" s="10" t="n">
        <x:v>1</x:v>
      </x:c>
      <x:c r="C1526" s="9" t="d">
        <x:v>2011-10-19T00:00:00.000Z</x:v>
      </x:c>
      <x:c r="D1526" s="9" t="d">
        <x:v>2011-10-28T00:00:00.000Z</x:v>
      </x:c>
      <x:c r="E1526" s="1" t="str">
        <x:v>naive</x:v>
      </x:c>
      <x:c r="F1526" s="10" t="n">
        <x:v>3</x:v>
      </x:c>
      <x:c r="G1526" s="10" t="n">
        <x:v>15</x:v>
      </x:c>
      <x:c r="H1526" s="10" t="n">
        <x:f>ABS(G1526-F1526)</x:f>
        <x:v>12</x:v>
      </x:c>
      <x:c r="I1526" s="10" t="n">
        <x:f>G1526-F1526</x:f>
        <x:v>12</x:v>
      </x:c>
    </x:row>
    <x:row r="1527" ht="20" customHeight="1">
      <x:c r="A1527" s="1" t="str">
        <x:v>22720</x:v>
      </x:c>
      <x:c r="B1527" s="10" t="n">
        <x:v>1</x:v>
      </x:c>
      <x:c r="C1527" s="9" t="d">
        <x:v>2011-10-19T00:00:00.000Z</x:v>
      </x:c>
      <x:c r="D1527" s="9" t="d">
        <x:v>2011-10-29T00:00:00.000Z</x:v>
      </x:c>
      <x:c r="E1527" s="1" t="str">
        <x:v>naive</x:v>
      </x:c>
      <x:c r="F1527" s="10" t="n">
        <x:v>0</x:v>
      </x:c>
      <x:c r="G1527" s="10" t="n">
        <x:v>15</x:v>
      </x:c>
      <x:c r="H1527" s="10" t="n">
        <x:f>ABS(G1527-F1527)</x:f>
        <x:v>15</x:v>
      </x:c>
      <x:c r="I1527" s="10" t="n">
        <x:f>G1527-F1527</x:f>
        <x:v>15</x:v>
      </x:c>
    </x:row>
    <x:row r="1528" ht="20" customHeight="1">
      <x:c r="A1528" s="1" t="str">
        <x:v>22720</x:v>
      </x:c>
      <x:c r="B1528" s="10" t="n">
        <x:v>1</x:v>
      </x:c>
      <x:c r="C1528" s="9" t="d">
        <x:v>2011-10-19T00:00:00.000Z</x:v>
      </x:c>
      <x:c r="D1528" s="9" t="d">
        <x:v>2011-10-30T00:00:00.000Z</x:v>
      </x:c>
      <x:c r="E1528" s="1" t="str">
        <x:v>naive</x:v>
      </x:c>
      <x:c r="F1528" s="10" t="n">
        <x:v>25</x:v>
      </x:c>
      <x:c r="G1528" s="10" t="n">
        <x:v>15</x:v>
      </x:c>
      <x:c r="H1528" s="10" t="n">
        <x:f>ABS(G1528-F1528)</x:f>
        <x:v>10</x:v>
      </x:c>
      <x:c r="I1528" s="10" t="n">
        <x:f>G1528-F1528</x:f>
        <x:v>-10</x:v>
      </x:c>
    </x:row>
    <x:row r="1529" ht="20" customHeight="1">
      <x:c r="A1529" s="1" t="str">
        <x:v>22720</x:v>
      </x:c>
      <x:c r="B1529" s="10" t="n">
        <x:v>1</x:v>
      </x:c>
      <x:c r="C1529" s="9" t="d">
        <x:v>2011-10-19T00:00:00.000Z</x:v>
      </x:c>
      <x:c r="D1529" s="9" t="d">
        <x:v>2011-10-31T00:00:00.000Z</x:v>
      </x:c>
      <x:c r="E1529" s="1" t="str">
        <x:v>naive</x:v>
      </x:c>
      <x:c r="F1529" s="10" t="n">
        <x:v>22</x:v>
      </x:c>
      <x:c r="G1529" s="10" t="n">
        <x:v>15</x:v>
      </x:c>
      <x:c r="H1529" s="10" t="n">
        <x:f>ABS(G1529-F1529)</x:f>
        <x:v>7</x:v>
      </x:c>
      <x:c r="I1529" s="10" t="n">
        <x:f>G1529-F1529</x:f>
        <x:v>-7</x:v>
      </x:c>
    </x:row>
    <x:row r="1530" ht="20" customHeight="1">
      <x:c r="A1530" s="1" t="str">
        <x:v>22720</x:v>
      </x:c>
      <x:c r="B1530" s="10" t="n">
        <x:v>1</x:v>
      </x:c>
      <x:c r="C1530" s="9" t="d">
        <x:v>2011-10-19T00:00:00.000Z</x:v>
      </x:c>
      <x:c r="D1530" s="9" t="d">
        <x:v>2011-11-01T00:00:00.000Z</x:v>
      </x:c>
      <x:c r="E1530" s="1" t="str">
        <x:v>naive</x:v>
      </x:c>
      <x:c r="F1530" s="10" t="n">
        <x:v>89</x:v>
      </x:c>
      <x:c r="G1530" s="10" t="n">
        <x:v>15</x:v>
      </x:c>
      <x:c r="H1530" s="10" t="n">
        <x:f>ABS(G1530-F1530)</x:f>
        <x:v>74</x:v>
      </x:c>
      <x:c r="I1530" s="10" t="n">
        <x:f>G1530-F1530</x:f>
        <x:v>-74</x:v>
      </x:c>
    </x:row>
    <x:row r="1531" ht="20" customHeight="1">
      <x:c r="A1531" s="1" t="str">
        <x:v>22720</x:v>
      </x:c>
      <x:c r="B1531" s="10" t="n">
        <x:v>1</x:v>
      </x:c>
      <x:c r="C1531" s="9" t="d">
        <x:v>2011-10-19T00:00:00.000Z</x:v>
      </x:c>
      <x:c r="D1531" s="9" t="d">
        <x:v>2011-11-02T00:00:00.000Z</x:v>
      </x:c>
      <x:c r="E1531" s="1" t="str">
        <x:v>naive</x:v>
      </x:c>
      <x:c r="F1531" s="10" t="n">
        <x:v>23</x:v>
      </x:c>
      <x:c r="G1531" s="10" t="n">
        <x:v>15</x:v>
      </x:c>
      <x:c r="H1531" s="10" t="n">
        <x:f>ABS(G1531-F1531)</x:f>
        <x:v>8</x:v>
      </x:c>
      <x:c r="I1531" s="10" t="n">
        <x:f>G1531-F1531</x:f>
        <x:v>-8</x:v>
      </x:c>
    </x:row>
    <x:row r="1532" ht="20" customHeight="1">
      <x:c r="A1532" s="1" t="str">
        <x:v>22720</x:v>
      </x:c>
      <x:c r="B1532" s="10" t="n">
        <x:v>1</x:v>
      </x:c>
      <x:c r="C1532" s="9" t="d">
        <x:v>2011-10-19T00:00:00.000Z</x:v>
      </x:c>
      <x:c r="D1532" s="9" t="d">
        <x:v>2011-10-20T00:00:00.000Z</x:v>
      </x:c>
      <x:c r="E1532" s="1" t="str">
        <x:v>seasonal_naive</x:v>
      </x:c>
      <x:c r="F1532" s="10" t="n">
        <x:v>10</x:v>
      </x:c>
      <x:c r="G1532" s="10" t="n">
        <x:v>26</x:v>
      </x:c>
      <x:c r="H1532" s="10" t="n">
        <x:f>ABS(G1532-F1532)</x:f>
        <x:v>16</x:v>
      </x:c>
      <x:c r="I1532" s="10" t="n">
        <x:f>G1532-F1532</x:f>
        <x:v>16</x:v>
      </x:c>
    </x:row>
    <x:row r="1533" ht="20" customHeight="1">
      <x:c r="A1533" s="1" t="str">
        <x:v>22720</x:v>
      </x:c>
      <x:c r="B1533" s="10" t="n">
        <x:v>1</x:v>
      </x:c>
      <x:c r="C1533" s="9" t="d">
        <x:v>2011-10-19T00:00:00.000Z</x:v>
      </x:c>
      <x:c r="D1533" s="9" t="d">
        <x:v>2011-10-21T00:00:00.000Z</x:v>
      </x:c>
      <x:c r="E1533" s="1" t="str">
        <x:v>seasonal_naive</x:v>
      </x:c>
      <x:c r="F1533" s="10" t="n">
        <x:v>15</x:v>
      </x:c>
      <x:c r="G1533" s="10" t="n">
        <x:v>36</x:v>
      </x:c>
      <x:c r="H1533" s="10" t="n">
        <x:f>ABS(G1533-F1533)</x:f>
        <x:v>21</x:v>
      </x:c>
      <x:c r="I1533" s="10" t="n">
        <x:f>G1533-F1533</x:f>
        <x:v>21</x:v>
      </x:c>
    </x:row>
    <x:row r="1534" ht="20" customHeight="1">
      <x:c r="A1534" s="1" t="str">
        <x:v>22720</x:v>
      </x:c>
      <x:c r="B1534" s="10" t="n">
        <x:v>1</x:v>
      </x:c>
      <x:c r="C1534" s="9" t="d">
        <x:v>2011-10-19T00:00:00.000Z</x:v>
      </x:c>
      <x:c r="D1534" s="9" t="d">
        <x:v>2011-10-22T00:00:00.000Z</x:v>
      </x:c>
      <x:c r="E1534" s="1" t="str">
        <x:v>seasonal_naive</x:v>
      </x:c>
      <x:c r="F1534" s="10" t="n">
        <x:v>0</x:v>
      </x:c>
      <x:c r="G1534" s="10" t="n">
        <x:v>0</x:v>
      </x:c>
      <x:c r="H1534" s="10" t="n">
        <x:f>ABS(G1534-F1534)</x:f>
        <x:v>0</x:v>
      </x:c>
      <x:c r="I1534" s="10" t="n">
        <x:f>G1534-F1534</x:f>
        <x:v>0</x:v>
      </x:c>
    </x:row>
    <x:row r="1535" ht="20" customHeight="1">
      <x:c r="A1535" s="1" t="str">
        <x:v>22720</x:v>
      </x:c>
      <x:c r="B1535" s="10" t="n">
        <x:v>1</x:v>
      </x:c>
      <x:c r="C1535" s="9" t="d">
        <x:v>2011-10-19T00:00:00.000Z</x:v>
      </x:c>
      <x:c r="D1535" s="9" t="d">
        <x:v>2011-10-23T00:00:00.000Z</x:v>
      </x:c>
      <x:c r="E1535" s="1" t="str">
        <x:v>seasonal_naive</x:v>
      </x:c>
      <x:c r="F1535" s="10" t="n">
        <x:v>4</x:v>
      </x:c>
      <x:c r="G1535" s="10" t="n">
        <x:v>4</x:v>
      </x:c>
      <x:c r="H1535" s="10" t="n">
        <x:f>ABS(G1535-F1535)</x:f>
        <x:v>0</x:v>
      </x:c>
      <x:c r="I1535" s="10" t="n">
        <x:f>G1535-F1535</x:f>
        <x:v>0</x:v>
      </x:c>
    </x:row>
    <x:row r="1536" ht="20" customHeight="1">
      <x:c r="A1536" s="1" t="str">
        <x:v>22720</x:v>
      </x:c>
      <x:c r="B1536" s="10" t="n">
        <x:v>1</x:v>
      </x:c>
      <x:c r="C1536" s="9" t="d">
        <x:v>2011-10-19T00:00:00.000Z</x:v>
      </x:c>
      <x:c r="D1536" s="9" t="d">
        <x:v>2011-10-24T00:00:00.000Z</x:v>
      </x:c>
      <x:c r="E1536" s="1" t="str">
        <x:v>seasonal_naive</x:v>
      </x:c>
      <x:c r="F1536" s="10" t="n">
        <x:v>10</x:v>
      </x:c>
      <x:c r="G1536" s="10" t="n">
        <x:v>114</x:v>
      </x:c>
      <x:c r="H1536" s="10" t="n">
        <x:f>ABS(G1536-F1536)</x:f>
        <x:v>104</x:v>
      </x:c>
      <x:c r="I1536" s="10" t="n">
        <x:f>G1536-F1536</x:f>
        <x:v>104</x:v>
      </x:c>
    </x:row>
    <x:row r="1537" ht="20" customHeight="1">
      <x:c r="A1537" s="1" t="str">
        <x:v>22720</x:v>
      </x:c>
      <x:c r="B1537" s="10" t="n">
        <x:v>1</x:v>
      </x:c>
      <x:c r="C1537" s="9" t="d">
        <x:v>2011-10-19T00:00:00.000Z</x:v>
      </x:c>
      <x:c r="D1537" s="9" t="d">
        <x:v>2011-10-25T00:00:00.000Z</x:v>
      </x:c>
      <x:c r="E1537" s="1" t="str">
        <x:v>seasonal_naive</x:v>
      </x:c>
      <x:c r="F1537" s="10" t="n">
        <x:v>24</x:v>
      </x:c>
      <x:c r="G1537" s="10" t="n">
        <x:v>28</x:v>
      </x:c>
      <x:c r="H1537" s="10" t="n">
        <x:f>ABS(G1537-F1537)</x:f>
        <x:v>4</x:v>
      </x:c>
      <x:c r="I1537" s="10" t="n">
        <x:f>G1537-F1537</x:f>
        <x:v>4</x:v>
      </x:c>
    </x:row>
    <x:row r="1538" ht="20" customHeight="1">
      <x:c r="A1538" s="1" t="str">
        <x:v>22720</x:v>
      </x:c>
      <x:c r="B1538" s="10" t="n">
        <x:v>1</x:v>
      </x:c>
      <x:c r="C1538" s="9" t="d">
        <x:v>2011-10-19T00:00:00.000Z</x:v>
      </x:c>
      <x:c r="D1538" s="9" t="d">
        <x:v>2011-10-26T00:00:00.000Z</x:v>
      </x:c>
      <x:c r="E1538" s="1" t="str">
        <x:v>seasonal_naive</x:v>
      </x:c>
      <x:c r="F1538" s="10" t="n">
        <x:v>13</x:v>
      </x:c>
      <x:c r="G1538" s="10" t="n">
        <x:v>15</x:v>
      </x:c>
      <x:c r="H1538" s="10" t="n">
        <x:f>ABS(G1538-F1538)</x:f>
        <x:v>2</x:v>
      </x:c>
      <x:c r="I1538" s="10" t="n">
        <x:f>G1538-F1538</x:f>
        <x:v>2</x:v>
      </x:c>
    </x:row>
    <x:row r="1539" ht="20" customHeight="1">
      <x:c r="A1539" s="1" t="str">
        <x:v>22720</x:v>
      </x:c>
      <x:c r="B1539" s="10" t="n">
        <x:v>1</x:v>
      </x:c>
      <x:c r="C1539" s="9" t="d">
        <x:v>2011-10-19T00:00:00.000Z</x:v>
      </x:c>
      <x:c r="D1539" s="9" t="d">
        <x:v>2011-10-27T00:00:00.000Z</x:v>
      </x:c>
      <x:c r="E1539" s="1" t="str">
        <x:v>seasonal_naive</x:v>
      </x:c>
      <x:c r="F1539" s="10" t="n">
        <x:v>27</x:v>
      </x:c>
      <x:c r="G1539" s="10" t="n">
        <x:v>26</x:v>
      </x:c>
      <x:c r="H1539" s="10" t="n">
        <x:f>ABS(G1539-F1539)</x:f>
        <x:v>1</x:v>
      </x:c>
      <x:c r="I1539" s="10" t="n">
        <x:f>G1539-F1539</x:f>
        <x:v>-1</x:v>
      </x:c>
    </x:row>
    <x:row r="1540" ht="20" customHeight="1">
      <x:c r="A1540" s="1" t="str">
        <x:v>22720</x:v>
      </x:c>
      <x:c r="B1540" s="10" t="n">
        <x:v>1</x:v>
      </x:c>
      <x:c r="C1540" s="9" t="d">
        <x:v>2011-10-19T00:00:00.000Z</x:v>
      </x:c>
      <x:c r="D1540" s="9" t="d">
        <x:v>2011-10-28T00:00:00.000Z</x:v>
      </x:c>
      <x:c r="E1540" s="1" t="str">
        <x:v>seasonal_naive</x:v>
      </x:c>
      <x:c r="F1540" s="10" t="n">
        <x:v>3</x:v>
      </x:c>
      <x:c r="G1540" s="10" t="n">
        <x:v>36</x:v>
      </x:c>
      <x:c r="H1540" s="10" t="n">
        <x:f>ABS(G1540-F1540)</x:f>
        <x:v>33</x:v>
      </x:c>
      <x:c r="I1540" s="10" t="n">
        <x:f>G1540-F1540</x:f>
        <x:v>33</x:v>
      </x:c>
    </x:row>
    <x:row r="1541" ht="20" customHeight="1">
      <x:c r="A1541" s="1" t="str">
        <x:v>22720</x:v>
      </x:c>
      <x:c r="B1541" s="10" t="n">
        <x:v>1</x:v>
      </x:c>
      <x:c r="C1541" s="9" t="d">
        <x:v>2011-10-19T00:00:00.000Z</x:v>
      </x:c>
      <x:c r="D1541" s="9" t="d">
        <x:v>2011-10-29T00:00:00.000Z</x:v>
      </x:c>
      <x:c r="E1541" s="1" t="str">
        <x:v>seasonal_naive</x:v>
      </x:c>
      <x:c r="F1541" s="10" t="n">
        <x:v>0</x:v>
      </x:c>
      <x:c r="G1541" s="10" t="n">
        <x:v>0</x:v>
      </x:c>
      <x:c r="H1541" s="10" t="n">
        <x:f>ABS(G1541-F1541)</x:f>
        <x:v>0</x:v>
      </x:c>
      <x:c r="I1541" s="10" t="n">
        <x:f>G1541-F1541</x:f>
        <x:v>0</x:v>
      </x:c>
    </x:row>
    <x:row r="1542" ht="20" customHeight="1">
      <x:c r="A1542" s="1" t="str">
        <x:v>22720</x:v>
      </x:c>
      <x:c r="B1542" s="10" t="n">
        <x:v>1</x:v>
      </x:c>
      <x:c r="C1542" s="9" t="d">
        <x:v>2011-10-19T00:00:00.000Z</x:v>
      </x:c>
      <x:c r="D1542" s="9" t="d">
        <x:v>2011-10-30T00:00:00.000Z</x:v>
      </x:c>
      <x:c r="E1542" s="1" t="str">
        <x:v>seasonal_naive</x:v>
      </x:c>
      <x:c r="F1542" s="10" t="n">
        <x:v>25</x:v>
      </x:c>
      <x:c r="G1542" s="10" t="n">
        <x:v>4</x:v>
      </x:c>
      <x:c r="H1542" s="10" t="n">
        <x:f>ABS(G1542-F1542)</x:f>
        <x:v>21</x:v>
      </x:c>
      <x:c r="I1542" s="10" t="n">
        <x:f>G1542-F1542</x:f>
        <x:v>-21</x:v>
      </x:c>
    </x:row>
    <x:row r="1543" ht="20" customHeight="1">
      <x:c r="A1543" s="1" t="str">
        <x:v>22720</x:v>
      </x:c>
      <x:c r="B1543" s="10" t="n">
        <x:v>1</x:v>
      </x:c>
      <x:c r="C1543" s="9" t="d">
        <x:v>2011-10-19T00:00:00.000Z</x:v>
      </x:c>
      <x:c r="D1543" s="9" t="d">
        <x:v>2011-10-31T00:00:00.000Z</x:v>
      </x:c>
      <x:c r="E1543" s="1" t="str">
        <x:v>seasonal_naive</x:v>
      </x:c>
      <x:c r="F1543" s="10" t="n">
        <x:v>22</x:v>
      </x:c>
      <x:c r="G1543" s="10" t="n">
        <x:v>114</x:v>
      </x:c>
      <x:c r="H1543" s="10" t="n">
        <x:f>ABS(G1543-F1543)</x:f>
        <x:v>92</x:v>
      </x:c>
      <x:c r="I1543" s="10" t="n">
        <x:f>G1543-F1543</x:f>
        <x:v>92</x:v>
      </x:c>
    </x:row>
    <x:row r="1544" ht="20" customHeight="1">
      <x:c r="A1544" s="1" t="str">
        <x:v>22720</x:v>
      </x:c>
      <x:c r="B1544" s="10" t="n">
        <x:v>1</x:v>
      </x:c>
      <x:c r="C1544" s="9" t="d">
        <x:v>2011-10-19T00:00:00.000Z</x:v>
      </x:c>
      <x:c r="D1544" s="9" t="d">
        <x:v>2011-11-01T00:00:00.000Z</x:v>
      </x:c>
      <x:c r="E1544" s="1" t="str">
        <x:v>seasonal_naive</x:v>
      </x:c>
      <x:c r="F1544" s="10" t="n">
        <x:v>89</x:v>
      </x:c>
      <x:c r="G1544" s="10" t="n">
        <x:v>28</x:v>
      </x:c>
      <x:c r="H1544" s="10" t="n">
        <x:f>ABS(G1544-F1544)</x:f>
        <x:v>61</x:v>
      </x:c>
      <x:c r="I1544" s="10" t="n">
        <x:f>G1544-F1544</x:f>
        <x:v>-61</x:v>
      </x:c>
    </x:row>
    <x:row r="1545" ht="20" customHeight="1">
      <x:c r="A1545" s="1" t="str">
        <x:v>22720</x:v>
      </x:c>
      <x:c r="B1545" s="10" t="n">
        <x:v>1</x:v>
      </x:c>
      <x:c r="C1545" s="9" t="d">
        <x:v>2011-10-19T00:00:00.000Z</x:v>
      </x:c>
      <x:c r="D1545" s="9" t="d">
        <x:v>2011-11-02T00:00:00.000Z</x:v>
      </x:c>
      <x:c r="E1545" s="1" t="str">
        <x:v>seasonal_naive</x:v>
      </x:c>
      <x:c r="F1545" s="10" t="n">
        <x:v>23</x:v>
      </x:c>
      <x:c r="G1545" s="10" t="n">
        <x:v>15</x:v>
      </x:c>
      <x:c r="H1545" s="10" t="n">
        <x:f>ABS(G1545-F1545)</x:f>
        <x:v>8</x:v>
      </x:c>
      <x:c r="I1545" s="10" t="n">
        <x:f>G1545-F1545</x:f>
        <x:v>-8</x:v>
      </x:c>
    </x:row>
    <x:row r="1546" ht="20" customHeight="1">
      <x:c r="A1546" s="1" t="str">
        <x:v>22720</x:v>
      </x:c>
      <x:c r="B1546" s="10" t="n">
        <x:v>1</x:v>
      </x:c>
      <x:c r="C1546" s="9" t="d">
        <x:v>2011-10-19T00:00:00.000Z</x:v>
      </x:c>
      <x:c r="D1546" s="9" t="d">
        <x:v>2011-10-20T00:00:00.000Z</x:v>
      </x:c>
      <x:c r="E1546" s="1" t="str">
        <x:v>ridge</x:v>
      </x:c>
      <x:c r="F1546" s="10" t="n">
        <x:v>10</x:v>
      </x:c>
      <x:c r="G1546" s="10" t="n">
        <x:v>31.3807098021</x:v>
      </x:c>
      <x:c r="H1546" s="10" t="n">
        <x:f>ABS(G1546-F1546)</x:f>
        <x:v>21.3807098021</x:v>
      </x:c>
      <x:c r="I1546" s="10" t="n">
        <x:f>G1546-F1546</x:f>
        <x:v>21.3807098021</x:v>
      </x:c>
    </x:row>
    <x:row r="1547" ht="20" customHeight="1">
      <x:c r="A1547" s="1" t="str">
        <x:v>22720</x:v>
      </x:c>
      <x:c r="B1547" s="10" t="n">
        <x:v>1</x:v>
      </x:c>
      <x:c r="C1547" s="9" t="d">
        <x:v>2011-10-19T00:00:00.000Z</x:v>
      </x:c>
      <x:c r="D1547" s="9" t="d">
        <x:v>2011-10-21T00:00:00.000Z</x:v>
      </x:c>
      <x:c r="E1547" s="1" t="str">
        <x:v>ridge</x:v>
      </x:c>
      <x:c r="F1547" s="10" t="n">
        <x:v>15</x:v>
      </x:c>
      <x:c r="G1547" s="10" t="n">
        <x:v>18.8508885888</x:v>
      </x:c>
      <x:c r="H1547" s="10" t="n">
        <x:f>ABS(G1547-F1547)</x:f>
        <x:v>3.8508885888</x:v>
      </x:c>
      <x:c r="I1547" s="10" t="n">
        <x:f>G1547-F1547</x:f>
        <x:v>3.8508885888</x:v>
      </x:c>
    </x:row>
    <x:row r="1548" ht="20" customHeight="1">
      <x:c r="A1548" s="1" t="str">
        <x:v>22720</x:v>
      </x:c>
      <x:c r="B1548" s="10" t="n">
        <x:v>1</x:v>
      </x:c>
      <x:c r="C1548" s="9" t="d">
        <x:v>2011-10-19T00:00:00.000Z</x:v>
      </x:c>
      <x:c r="D1548" s="9" t="d">
        <x:v>2011-10-22T00:00:00.000Z</x:v>
      </x:c>
      <x:c r="E1548" s="1" t="str">
        <x:v>ridge</x:v>
      </x:c>
      <x:c r="F1548" s="10" t="n">
        <x:v>0</x:v>
      </x:c>
      <x:c r="G1548" s="10" t="n">
        <x:v>9.677316656</x:v>
      </x:c>
      <x:c r="H1548" s="10" t="n">
        <x:f>ABS(G1548-F1548)</x:f>
        <x:v>9.677316656</x:v>
      </x:c>
      <x:c r="I1548" s="10" t="n">
        <x:f>G1548-F1548</x:f>
        <x:v>9.677316656</x:v>
      </x:c>
    </x:row>
    <x:row r="1549" ht="20" customHeight="1">
      <x:c r="A1549" s="1" t="str">
        <x:v>22720</x:v>
      </x:c>
      <x:c r="B1549" s="10" t="n">
        <x:v>1</x:v>
      </x:c>
      <x:c r="C1549" s="9" t="d">
        <x:v>2011-10-19T00:00:00.000Z</x:v>
      </x:c>
      <x:c r="D1549" s="9" t="d">
        <x:v>2011-10-23T00:00:00.000Z</x:v>
      </x:c>
      <x:c r="E1549" s="1" t="str">
        <x:v>ridge</x:v>
      </x:c>
      <x:c r="F1549" s="10" t="n">
        <x:v>4</x:v>
      </x:c>
      <x:c r="G1549" s="10" t="n">
        <x:v>11.1982085142</x:v>
      </x:c>
      <x:c r="H1549" s="10" t="n">
        <x:f>ABS(G1549-F1549)</x:f>
        <x:v>7.198208514199999</x:v>
      </x:c>
      <x:c r="I1549" s="10" t="n">
        <x:f>G1549-F1549</x:f>
        <x:v>7.198208514199999</x:v>
      </x:c>
    </x:row>
    <x:row r="1550" ht="20" customHeight="1">
      <x:c r="A1550" s="1" t="str">
        <x:v>22720</x:v>
      </x:c>
      <x:c r="B1550" s="10" t="n">
        <x:v>1</x:v>
      </x:c>
      <x:c r="C1550" s="9" t="d">
        <x:v>2011-10-19T00:00:00.000Z</x:v>
      </x:c>
      <x:c r="D1550" s="9" t="d">
        <x:v>2011-10-24T00:00:00.000Z</x:v>
      </x:c>
      <x:c r="E1550" s="1" t="str">
        <x:v>ridge</x:v>
      </x:c>
      <x:c r="F1550" s="10" t="n">
        <x:v>10</x:v>
      </x:c>
      <x:c r="G1550" s="10" t="n">
        <x:v>21.5226375168</x:v>
      </x:c>
      <x:c r="H1550" s="10" t="n">
        <x:f>ABS(G1550-F1550)</x:f>
        <x:v>11.5226375168</x:v>
      </x:c>
      <x:c r="I1550" s="10" t="n">
        <x:f>G1550-F1550</x:f>
        <x:v>11.5226375168</x:v>
      </x:c>
    </x:row>
    <x:row r="1551" ht="20" customHeight="1">
      <x:c r="A1551" s="1" t="str">
        <x:v>22720</x:v>
      </x:c>
      <x:c r="B1551" s="10" t="n">
        <x:v>1</x:v>
      </x:c>
      <x:c r="C1551" s="9" t="d">
        <x:v>2011-10-19T00:00:00.000Z</x:v>
      </x:c>
      <x:c r="D1551" s="9" t="d">
        <x:v>2011-10-25T00:00:00.000Z</x:v>
      </x:c>
      <x:c r="E1551" s="1" t="str">
        <x:v>ridge</x:v>
      </x:c>
      <x:c r="F1551" s="10" t="n">
        <x:v>24</x:v>
      </x:c>
      <x:c r="G1551" s="10" t="n">
        <x:v>31.3154939303</x:v>
      </x:c>
      <x:c r="H1551" s="10" t="n">
        <x:f>ABS(G1551-F1551)</x:f>
        <x:v>7.315493930300001</x:v>
      </x:c>
      <x:c r="I1551" s="10" t="n">
        <x:f>G1551-F1551</x:f>
        <x:v>7.315493930300001</x:v>
      </x:c>
    </x:row>
    <x:row r="1552" ht="20" customHeight="1">
      <x:c r="A1552" s="1" t="str">
        <x:v>22720</x:v>
      </x:c>
      <x:c r="B1552" s="10" t="n">
        <x:v>1</x:v>
      </x:c>
      <x:c r="C1552" s="9" t="d">
        <x:v>2011-10-19T00:00:00.000Z</x:v>
      </x:c>
      <x:c r="D1552" s="9" t="d">
        <x:v>2011-10-26T00:00:00.000Z</x:v>
      </x:c>
      <x:c r="E1552" s="1" t="str">
        <x:v>ridge</x:v>
      </x:c>
      <x:c r="F1552" s="10" t="n">
        <x:v>13</x:v>
      </x:c>
      <x:c r="G1552" s="10" t="n">
        <x:v>35.7093160695</x:v>
      </x:c>
      <x:c r="H1552" s="10" t="n">
        <x:f>ABS(G1552-F1552)</x:f>
        <x:v>22.709316069499998</x:v>
      </x:c>
      <x:c r="I1552" s="10" t="n">
        <x:f>G1552-F1552</x:f>
        <x:v>22.709316069499998</x:v>
      </x:c>
    </x:row>
    <x:row r="1553" ht="20" customHeight="1">
      <x:c r="A1553" s="1" t="str">
        <x:v>22720</x:v>
      </x:c>
      <x:c r="B1553" s="10" t="n">
        <x:v>1</x:v>
      </x:c>
      <x:c r="C1553" s="9" t="d">
        <x:v>2011-10-19T00:00:00.000Z</x:v>
      </x:c>
      <x:c r="D1553" s="9" t="d">
        <x:v>2011-10-27T00:00:00.000Z</x:v>
      </x:c>
      <x:c r="E1553" s="1" t="str">
        <x:v>ridge</x:v>
      </x:c>
      <x:c r="F1553" s="10" t="n">
        <x:v>27</x:v>
      </x:c>
      <x:c r="G1553" s="10" t="n">
        <x:v>29.6818956183</x:v>
      </x:c>
      <x:c r="H1553" s="10" t="n">
        <x:f>ABS(G1553-F1553)</x:f>
        <x:v>2.6818956183000005</x:v>
      </x:c>
      <x:c r="I1553" s="10" t="n">
        <x:f>G1553-F1553</x:f>
        <x:v>2.6818956183000005</x:v>
      </x:c>
    </x:row>
    <x:row r="1554" ht="20" customHeight="1">
      <x:c r="A1554" s="1" t="str">
        <x:v>22720</x:v>
      </x:c>
      <x:c r="B1554" s="10" t="n">
        <x:v>1</x:v>
      </x:c>
      <x:c r="C1554" s="9" t="d">
        <x:v>2011-10-19T00:00:00.000Z</x:v>
      </x:c>
      <x:c r="D1554" s="9" t="d">
        <x:v>2011-10-28T00:00:00.000Z</x:v>
      </x:c>
      <x:c r="E1554" s="1" t="str">
        <x:v>ridge</x:v>
      </x:c>
      <x:c r="F1554" s="10" t="n">
        <x:v>3</x:v>
      </x:c>
      <x:c r="G1554" s="10" t="n">
        <x:v>17.4707764395</x:v>
      </x:c>
      <x:c r="H1554" s="10" t="n">
        <x:f>ABS(G1554-F1554)</x:f>
        <x:v>14.4707764395</x:v>
      </x:c>
      <x:c r="I1554" s="10" t="n">
        <x:f>G1554-F1554</x:f>
        <x:v>14.4707764395</x:v>
      </x:c>
    </x:row>
    <x:row r="1555" ht="20" customHeight="1">
      <x:c r="A1555" s="1" t="str">
        <x:v>22720</x:v>
      </x:c>
      <x:c r="B1555" s="10" t="n">
        <x:v>1</x:v>
      </x:c>
      <x:c r="C1555" s="9" t="d">
        <x:v>2011-10-19T00:00:00.000Z</x:v>
      </x:c>
      <x:c r="D1555" s="9" t="d">
        <x:v>2011-10-29T00:00:00.000Z</x:v>
      </x:c>
      <x:c r="E1555" s="1" t="str">
        <x:v>ridge</x:v>
      </x:c>
      <x:c r="F1555" s="10" t="n">
        <x:v>0</x:v>
      </x:c>
      <x:c r="G1555" s="10" t="n">
        <x:v>8.6752970778</x:v>
      </x:c>
      <x:c r="H1555" s="10" t="n">
        <x:f>ABS(G1555-F1555)</x:f>
        <x:v>8.6752970778</x:v>
      </x:c>
      <x:c r="I1555" s="10" t="n">
        <x:f>G1555-F1555</x:f>
        <x:v>8.6752970778</x:v>
      </x:c>
    </x:row>
    <x:row r="1556" ht="20" customHeight="1">
      <x:c r="A1556" s="1" t="str">
        <x:v>22720</x:v>
      </x:c>
      <x:c r="B1556" s="10" t="n">
        <x:v>1</x:v>
      </x:c>
      <x:c r="C1556" s="9" t="d">
        <x:v>2011-10-19T00:00:00.000Z</x:v>
      </x:c>
      <x:c r="D1556" s="9" t="d">
        <x:v>2011-10-30T00:00:00.000Z</x:v>
      </x:c>
      <x:c r="E1556" s="1" t="str">
        <x:v>ridge</x:v>
      </x:c>
      <x:c r="F1556" s="10" t="n">
        <x:v>25</x:v>
      </x:c>
      <x:c r="G1556" s="10" t="n">
        <x:v>9.958260706</x:v>
      </x:c>
      <x:c r="H1556" s="10" t="n">
        <x:f>ABS(G1556-F1556)</x:f>
        <x:v>15.041739294</x:v>
      </x:c>
      <x:c r="I1556" s="10" t="n">
        <x:f>G1556-F1556</x:f>
        <x:v>-15.041739294</x:v>
      </x:c>
    </x:row>
    <x:row r="1557" ht="20" customHeight="1">
      <x:c r="A1557" s="1" t="str">
        <x:v>22720</x:v>
      </x:c>
      <x:c r="B1557" s="10" t="n">
        <x:v>1</x:v>
      </x:c>
      <x:c r="C1557" s="9" t="d">
        <x:v>2011-10-19T00:00:00.000Z</x:v>
      </x:c>
      <x:c r="D1557" s="9" t="d">
        <x:v>2011-10-31T00:00:00.000Z</x:v>
      </x:c>
      <x:c r="E1557" s="1" t="str">
        <x:v>ridge</x:v>
      </x:c>
      <x:c r="F1557" s="10" t="n">
        <x:v>22</x:v>
      </x:c>
      <x:c r="G1557" s="10" t="n">
        <x:v>20.2576971125</x:v>
      </x:c>
      <x:c r="H1557" s="10" t="n">
        <x:f>ABS(G1557-F1557)</x:f>
        <x:v>1.7423028874999993</x:v>
      </x:c>
      <x:c r="I1557" s="10" t="n">
        <x:f>G1557-F1557</x:f>
        <x:v>-1.7423028874999993</x:v>
      </x:c>
    </x:row>
    <x:row r="1558" ht="20" customHeight="1">
      <x:c r="A1558" s="1" t="str">
        <x:v>22720</x:v>
      </x:c>
      <x:c r="B1558" s="10" t="n">
        <x:v>1</x:v>
      </x:c>
      <x:c r="C1558" s="9" t="d">
        <x:v>2011-10-19T00:00:00.000Z</x:v>
      </x:c>
      <x:c r="D1558" s="9" t="d">
        <x:v>2011-11-01T00:00:00.000Z</x:v>
      </x:c>
      <x:c r="E1558" s="1" t="str">
        <x:v>ridge</x:v>
      </x:c>
      <x:c r="F1558" s="10" t="n">
        <x:v>89</x:v>
      </x:c>
      <x:c r="G1558" s="10" t="n">
        <x:v>32.1047826606</x:v>
      </x:c>
      <x:c r="H1558" s="10" t="n">
        <x:f>ABS(G1558-F1558)</x:f>
        <x:v>56.8952173394</x:v>
      </x:c>
      <x:c r="I1558" s="10" t="n">
        <x:f>G1558-F1558</x:f>
        <x:v>-56.8952173394</x:v>
      </x:c>
    </x:row>
    <x:row r="1559" ht="20" customHeight="1">
      <x:c r="A1559" s="1" t="str">
        <x:v>22720</x:v>
      </x:c>
      <x:c r="B1559" s="10" t="n">
        <x:v>1</x:v>
      </x:c>
      <x:c r="C1559" s="9" t="d">
        <x:v>2011-10-19T00:00:00.000Z</x:v>
      </x:c>
      <x:c r="D1559" s="9" t="d">
        <x:v>2011-11-02T00:00:00.000Z</x:v>
      </x:c>
      <x:c r="E1559" s="1" t="str">
        <x:v>ridge</x:v>
      </x:c>
      <x:c r="F1559" s="10" t="n">
        <x:v>23</x:v>
      </x:c>
      <x:c r="G1559" s="10" t="n">
        <x:v>36.3751002504</x:v>
      </x:c>
      <x:c r="H1559" s="10" t="n">
        <x:f>ABS(G1559-F1559)</x:f>
        <x:v>13.375100250400003</x:v>
      </x:c>
      <x:c r="I1559" s="10" t="n">
        <x:f>G1559-F1559</x:f>
        <x:v>13.375100250400003</x:v>
      </x:c>
    </x:row>
    <x:row r="1560" ht="20" customHeight="1">
      <x:c r="A1560" s="1" t="str">
        <x:v>22720</x:v>
      </x:c>
      <x:c r="B1560" s="10" t="n">
        <x:v>2</x:v>
      </x:c>
      <x:c r="C1560" s="9" t="d">
        <x:v>2011-11-02T00:00:00.000Z</x:v>
      </x:c>
      <x:c r="D1560" s="9" t="d">
        <x:v>2011-11-03T00:00:00.000Z</x:v>
      </x:c>
      <x:c r="E1560" s="1" t="str">
        <x:v>naive</x:v>
      </x:c>
      <x:c r="F1560" s="10" t="n">
        <x:v>16</x:v>
      </x:c>
      <x:c r="G1560" s="10" t="n">
        <x:v>23</x:v>
      </x:c>
      <x:c r="H1560" s="10" t="n">
        <x:f>ABS(G1560-F1560)</x:f>
        <x:v>7</x:v>
      </x:c>
      <x:c r="I1560" s="10" t="n">
        <x:f>G1560-F1560</x:f>
        <x:v>7</x:v>
      </x:c>
    </x:row>
    <x:row r="1561" ht="20" customHeight="1">
      <x:c r="A1561" s="1" t="str">
        <x:v>22720</x:v>
      </x:c>
      <x:c r="B1561" s="10" t="n">
        <x:v>2</x:v>
      </x:c>
      <x:c r="C1561" s="9" t="d">
        <x:v>2011-11-02T00:00:00.000Z</x:v>
      </x:c>
      <x:c r="D1561" s="9" t="d">
        <x:v>2011-11-04T00:00:00.000Z</x:v>
      </x:c>
      <x:c r="E1561" s="1" t="str">
        <x:v>naive</x:v>
      </x:c>
      <x:c r="F1561" s="10" t="n">
        <x:v>15</x:v>
      </x:c>
      <x:c r="G1561" s="10" t="n">
        <x:v>23</x:v>
      </x:c>
      <x:c r="H1561" s="10" t="n">
        <x:f>ABS(G1561-F1561)</x:f>
        <x:v>8</x:v>
      </x:c>
      <x:c r="I1561" s="10" t="n">
        <x:f>G1561-F1561</x:f>
        <x:v>8</x:v>
      </x:c>
    </x:row>
    <x:row r="1562" ht="20" customHeight="1">
      <x:c r="A1562" s="1" t="str">
        <x:v>22720</x:v>
      </x:c>
      <x:c r="B1562" s="10" t="n">
        <x:v>2</x:v>
      </x:c>
      <x:c r="C1562" s="9" t="d">
        <x:v>2011-11-02T00:00:00.000Z</x:v>
      </x:c>
      <x:c r="D1562" s="9" t="d">
        <x:v>2011-11-05T00:00:00.000Z</x:v>
      </x:c>
      <x:c r="E1562" s="1" t="str">
        <x:v>naive</x:v>
      </x:c>
      <x:c r="F1562" s="10" t="n">
        <x:v>0</x:v>
      </x:c>
      <x:c r="G1562" s="10" t="n">
        <x:v>23</x:v>
      </x:c>
      <x:c r="H1562" s="10" t="n">
        <x:f>ABS(G1562-F1562)</x:f>
        <x:v>23</x:v>
      </x:c>
      <x:c r="I1562" s="10" t="n">
        <x:f>G1562-F1562</x:f>
        <x:v>23</x:v>
      </x:c>
    </x:row>
    <x:row r="1563" ht="20" customHeight="1">
      <x:c r="A1563" s="1" t="str">
        <x:v>22720</x:v>
      </x:c>
      <x:c r="B1563" s="10" t="n">
        <x:v>2</x:v>
      </x:c>
      <x:c r="C1563" s="9" t="d">
        <x:v>2011-11-02T00:00:00.000Z</x:v>
      </x:c>
      <x:c r="D1563" s="9" t="d">
        <x:v>2011-11-06T00:00:00.000Z</x:v>
      </x:c>
      <x:c r="E1563" s="1" t="str">
        <x:v>naive</x:v>
      </x:c>
      <x:c r="F1563" s="10" t="n">
        <x:v>20</x:v>
      </x:c>
      <x:c r="G1563" s="10" t="n">
        <x:v>23</x:v>
      </x:c>
      <x:c r="H1563" s="10" t="n">
        <x:f>ABS(G1563-F1563)</x:f>
        <x:v>3</x:v>
      </x:c>
      <x:c r="I1563" s="10" t="n">
        <x:f>G1563-F1563</x:f>
        <x:v>3</x:v>
      </x:c>
    </x:row>
    <x:row r="1564" ht="20" customHeight="1">
      <x:c r="A1564" s="1" t="str">
        <x:v>22720</x:v>
      </x:c>
      <x:c r="B1564" s="10" t="n">
        <x:v>2</x:v>
      </x:c>
      <x:c r="C1564" s="9" t="d">
        <x:v>2011-11-02T00:00:00.000Z</x:v>
      </x:c>
      <x:c r="D1564" s="9" t="d">
        <x:v>2011-11-07T00:00:00.000Z</x:v>
      </x:c>
      <x:c r="E1564" s="1" t="str">
        <x:v>naive</x:v>
      </x:c>
      <x:c r="F1564" s="10" t="n">
        <x:v>10</x:v>
      </x:c>
      <x:c r="G1564" s="10" t="n">
        <x:v>23</x:v>
      </x:c>
      <x:c r="H1564" s="10" t="n">
        <x:f>ABS(G1564-F1564)</x:f>
        <x:v>13</x:v>
      </x:c>
      <x:c r="I1564" s="10" t="n">
        <x:f>G1564-F1564</x:f>
        <x:v>13</x:v>
      </x:c>
    </x:row>
    <x:row r="1565" ht="20" customHeight="1">
      <x:c r="A1565" s="1" t="str">
        <x:v>22720</x:v>
      </x:c>
      <x:c r="B1565" s="10" t="n">
        <x:v>2</x:v>
      </x:c>
      <x:c r="C1565" s="9" t="d">
        <x:v>2011-11-02T00:00:00.000Z</x:v>
      </x:c>
      <x:c r="D1565" s="9" t="d">
        <x:v>2011-11-08T00:00:00.000Z</x:v>
      </x:c>
      <x:c r="E1565" s="1" t="str">
        <x:v>naive</x:v>
      </x:c>
      <x:c r="F1565" s="10" t="n">
        <x:v>26</x:v>
      </x:c>
      <x:c r="G1565" s="10" t="n">
        <x:v>23</x:v>
      </x:c>
      <x:c r="H1565" s="10" t="n">
        <x:f>ABS(G1565-F1565)</x:f>
        <x:v>3</x:v>
      </x:c>
      <x:c r="I1565" s="10" t="n">
        <x:f>G1565-F1565</x:f>
        <x:v>-3</x:v>
      </x:c>
    </x:row>
    <x:row r="1566" ht="20" customHeight="1">
      <x:c r="A1566" s="1" t="str">
        <x:v>22720</x:v>
      </x:c>
      <x:c r="B1566" s="10" t="n">
        <x:v>2</x:v>
      </x:c>
      <x:c r="C1566" s="9" t="d">
        <x:v>2011-11-02T00:00:00.000Z</x:v>
      </x:c>
      <x:c r="D1566" s="9" t="d">
        <x:v>2011-11-09T00:00:00.000Z</x:v>
      </x:c>
      <x:c r="E1566" s="1" t="str">
        <x:v>naive</x:v>
      </x:c>
      <x:c r="F1566" s="10" t="n">
        <x:v>14</x:v>
      </x:c>
      <x:c r="G1566" s="10" t="n">
        <x:v>23</x:v>
      </x:c>
      <x:c r="H1566" s="10" t="n">
        <x:f>ABS(G1566-F1566)</x:f>
        <x:v>9</x:v>
      </x:c>
      <x:c r="I1566" s="10" t="n">
        <x:f>G1566-F1566</x:f>
        <x:v>9</x:v>
      </x:c>
    </x:row>
    <x:row r="1567" ht="20" customHeight="1">
      <x:c r="A1567" s="1" t="str">
        <x:v>22720</x:v>
      </x:c>
      <x:c r="B1567" s="10" t="n">
        <x:v>2</x:v>
      </x:c>
      <x:c r="C1567" s="9" t="d">
        <x:v>2011-11-02T00:00:00.000Z</x:v>
      </x:c>
      <x:c r="D1567" s="9" t="d">
        <x:v>2011-11-10T00:00:00.000Z</x:v>
      </x:c>
      <x:c r="E1567" s="1" t="str">
        <x:v>naive</x:v>
      </x:c>
      <x:c r="F1567" s="10" t="n">
        <x:v>22</x:v>
      </x:c>
      <x:c r="G1567" s="10" t="n">
        <x:v>23</x:v>
      </x:c>
      <x:c r="H1567" s="10" t="n">
        <x:f>ABS(G1567-F1567)</x:f>
        <x:v>1</x:v>
      </x:c>
      <x:c r="I1567" s="10" t="n">
        <x:f>G1567-F1567</x:f>
        <x:v>1</x:v>
      </x:c>
    </x:row>
    <x:row r="1568" ht="20" customHeight="1">
      <x:c r="A1568" s="1" t="str">
        <x:v>22720</x:v>
      </x:c>
      <x:c r="B1568" s="10" t="n">
        <x:v>2</x:v>
      </x:c>
      <x:c r="C1568" s="9" t="d">
        <x:v>2011-11-02T00:00:00.000Z</x:v>
      </x:c>
      <x:c r="D1568" s="9" t="d">
        <x:v>2011-11-11T00:00:00.000Z</x:v>
      </x:c>
      <x:c r="E1568" s="1" t="str">
        <x:v>naive</x:v>
      </x:c>
      <x:c r="F1568" s="10" t="n">
        <x:v>10</x:v>
      </x:c>
      <x:c r="G1568" s="10" t="n">
        <x:v>23</x:v>
      </x:c>
      <x:c r="H1568" s="10" t="n">
        <x:f>ABS(G1568-F1568)</x:f>
        <x:v>13</x:v>
      </x:c>
      <x:c r="I1568" s="10" t="n">
        <x:f>G1568-F1568</x:f>
        <x:v>13</x:v>
      </x:c>
    </x:row>
    <x:row r="1569" ht="20" customHeight="1">
      <x:c r="A1569" s="1" t="str">
        <x:v>22720</x:v>
      </x:c>
      <x:c r="B1569" s="10" t="n">
        <x:v>2</x:v>
      </x:c>
      <x:c r="C1569" s="9" t="d">
        <x:v>2011-11-02T00:00:00.000Z</x:v>
      </x:c>
      <x:c r="D1569" s="9" t="d">
        <x:v>2011-11-12T00:00:00.000Z</x:v>
      </x:c>
      <x:c r="E1569" s="1" t="str">
        <x:v>naive</x:v>
      </x:c>
      <x:c r="F1569" s="10" t="n">
        <x:v>0</x:v>
      </x:c>
      <x:c r="G1569" s="10" t="n">
        <x:v>23</x:v>
      </x:c>
      <x:c r="H1569" s="10" t="n">
        <x:f>ABS(G1569-F1569)</x:f>
        <x:v>23</x:v>
      </x:c>
      <x:c r="I1569" s="10" t="n">
        <x:f>G1569-F1569</x:f>
        <x:v>23</x:v>
      </x:c>
    </x:row>
    <x:row r="1570" ht="20" customHeight="1">
      <x:c r="A1570" s="1" t="str">
        <x:v>22720</x:v>
      </x:c>
      <x:c r="B1570" s="10" t="n">
        <x:v>2</x:v>
      </x:c>
      <x:c r="C1570" s="9" t="d">
        <x:v>2011-11-02T00:00:00.000Z</x:v>
      </x:c>
      <x:c r="D1570" s="9" t="d">
        <x:v>2011-11-13T00:00:00.000Z</x:v>
      </x:c>
      <x:c r="E1570" s="1" t="str">
        <x:v>naive</x:v>
      </x:c>
      <x:c r="F1570" s="10" t="n">
        <x:v>30</x:v>
      </x:c>
      <x:c r="G1570" s="10" t="n">
        <x:v>23</x:v>
      </x:c>
      <x:c r="H1570" s="10" t="n">
        <x:f>ABS(G1570-F1570)</x:f>
        <x:v>7</x:v>
      </x:c>
      <x:c r="I1570" s="10" t="n">
        <x:f>G1570-F1570</x:f>
        <x:v>-7</x:v>
      </x:c>
    </x:row>
    <x:row r="1571" ht="20" customHeight="1">
      <x:c r="A1571" s="1" t="str">
        <x:v>22720</x:v>
      </x:c>
      <x:c r="B1571" s="10" t="n">
        <x:v>2</x:v>
      </x:c>
      <x:c r="C1571" s="9" t="d">
        <x:v>2011-11-02T00:00:00.000Z</x:v>
      </x:c>
      <x:c r="D1571" s="9" t="d">
        <x:v>2011-11-14T00:00:00.000Z</x:v>
      </x:c>
      <x:c r="E1571" s="1" t="str">
        <x:v>naive</x:v>
      </x:c>
      <x:c r="F1571" s="10" t="n">
        <x:v>3</x:v>
      </x:c>
      <x:c r="G1571" s="10" t="n">
        <x:v>23</x:v>
      </x:c>
      <x:c r="H1571" s="10" t="n">
        <x:f>ABS(G1571-F1571)</x:f>
        <x:v>20</x:v>
      </x:c>
      <x:c r="I1571" s="10" t="n">
        <x:f>G1571-F1571</x:f>
        <x:v>20</x:v>
      </x:c>
    </x:row>
    <x:row r="1572" ht="20" customHeight="1">
      <x:c r="A1572" s="1" t="str">
        <x:v>22720</x:v>
      </x:c>
      <x:c r="B1572" s="10" t="n">
        <x:v>2</x:v>
      </x:c>
      <x:c r="C1572" s="9" t="d">
        <x:v>2011-11-02T00:00:00.000Z</x:v>
      </x:c>
      <x:c r="D1572" s="9" t="d">
        <x:v>2011-11-15T00:00:00.000Z</x:v>
      </x:c>
      <x:c r="E1572" s="1" t="str">
        <x:v>naive</x:v>
      </x:c>
      <x:c r="F1572" s="10" t="n">
        <x:v>19</x:v>
      </x:c>
      <x:c r="G1572" s="10" t="n">
        <x:v>23</x:v>
      </x:c>
      <x:c r="H1572" s="10" t="n">
        <x:f>ABS(G1572-F1572)</x:f>
        <x:v>4</x:v>
      </x:c>
      <x:c r="I1572" s="10" t="n">
        <x:f>G1572-F1572</x:f>
        <x:v>4</x:v>
      </x:c>
    </x:row>
    <x:row r="1573" ht="20" customHeight="1">
      <x:c r="A1573" s="1" t="str">
        <x:v>22720</x:v>
      </x:c>
      <x:c r="B1573" s="10" t="n">
        <x:v>2</x:v>
      </x:c>
      <x:c r="C1573" s="9" t="d">
        <x:v>2011-11-02T00:00:00.000Z</x:v>
      </x:c>
      <x:c r="D1573" s="9" t="d">
        <x:v>2011-11-16T00:00:00.000Z</x:v>
      </x:c>
      <x:c r="E1573" s="1" t="str">
        <x:v>naive</x:v>
      </x:c>
      <x:c r="F1573" s="10" t="n">
        <x:v>26</x:v>
      </x:c>
      <x:c r="G1573" s="10" t="n">
        <x:v>23</x:v>
      </x:c>
      <x:c r="H1573" s="10" t="n">
        <x:f>ABS(G1573-F1573)</x:f>
        <x:v>3</x:v>
      </x:c>
      <x:c r="I1573" s="10" t="n">
        <x:f>G1573-F1573</x:f>
        <x:v>-3</x:v>
      </x:c>
    </x:row>
    <x:row r="1574" ht="20" customHeight="1">
      <x:c r="A1574" s="1" t="str">
        <x:v>22720</x:v>
      </x:c>
      <x:c r="B1574" s="10" t="n">
        <x:v>2</x:v>
      </x:c>
      <x:c r="C1574" s="9" t="d">
        <x:v>2011-11-02T00:00:00.000Z</x:v>
      </x:c>
      <x:c r="D1574" s="9" t="d">
        <x:v>2011-11-03T00:00:00.000Z</x:v>
      </x:c>
      <x:c r="E1574" s="1" t="str">
        <x:v>seasonal_naive</x:v>
      </x:c>
      <x:c r="F1574" s="10" t="n">
        <x:v>16</x:v>
      </x:c>
      <x:c r="G1574" s="10" t="n">
        <x:v>27</x:v>
      </x:c>
      <x:c r="H1574" s="10" t="n">
        <x:f>ABS(G1574-F1574)</x:f>
        <x:v>11</x:v>
      </x:c>
      <x:c r="I1574" s="10" t="n">
        <x:f>G1574-F1574</x:f>
        <x:v>11</x:v>
      </x:c>
    </x:row>
    <x:row r="1575" ht="20" customHeight="1">
      <x:c r="A1575" s="1" t="str">
        <x:v>22720</x:v>
      </x:c>
      <x:c r="B1575" s="10" t="n">
        <x:v>2</x:v>
      </x:c>
      <x:c r="C1575" s="9" t="d">
        <x:v>2011-11-02T00:00:00.000Z</x:v>
      </x:c>
      <x:c r="D1575" s="9" t="d">
        <x:v>2011-11-04T00:00:00.000Z</x:v>
      </x:c>
      <x:c r="E1575" s="1" t="str">
        <x:v>seasonal_naive</x:v>
      </x:c>
      <x:c r="F1575" s="10" t="n">
        <x:v>15</x:v>
      </x:c>
      <x:c r="G1575" s="10" t="n">
        <x:v>3</x:v>
      </x:c>
      <x:c r="H1575" s="10" t="n">
        <x:f>ABS(G1575-F1575)</x:f>
        <x:v>12</x:v>
      </x:c>
      <x:c r="I1575" s="10" t="n">
        <x:f>G1575-F1575</x:f>
        <x:v>-12</x:v>
      </x:c>
    </x:row>
    <x:row r="1576" ht="20" customHeight="1">
      <x:c r="A1576" s="1" t="str">
        <x:v>22720</x:v>
      </x:c>
      <x:c r="B1576" s="10" t="n">
        <x:v>2</x:v>
      </x:c>
      <x:c r="C1576" s="9" t="d">
        <x:v>2011-11-02T00:00:00.000Z</x:v>
      </x:c>
      <x:c r="D1576" s="9" t="d">
        <x:v>2011-11-05T00:00:00.000Z</x:v>
      </x:c>
      <x:c r="E1576" s="1" t="str">
        <x:v>seasonal_naive</x:v>
      </x:c>
      <x:c r="F1576" s="10" t="n">
        <x:v>0</x:v>
      </x:c>
      <x:c r="G1576" s="10" t="n">
        <x:v>0</x:v>
      </x:c>
      <x:c r="H1576" s="10" t="n">
        <x:f>ABS(G1576-F1576)</x:f>
        <x:v>0</x:v>
      </x:c>
      <x:c r="I1576" s="10" t="n">
        <x:f>G1576-F1576</x:f>
        <x:v>0</x:v>
      </x:c>
    </x:row>
    <x:row r="1577" ht="20" customHeight="1">
      <x:c r="A1577" s="1" t="str">
        <x:v>22720</x:v>
      </x:c>
      <x:c r="B1577" s="10" t="n">
        <x:v>2</x:v>
      </x:c>
      <x:c r="C1577" s="9" t="d">
        <x:v>2011-11-02T00:00:00.000Z</x:v>
      </x:c>
      <x:c r="D1577" s="9" t="d">
        <x:v>2011-11-06T00:00:00.000Z</x:v>
      </x:c>
      <x:c r="E1577" s="1" t="str">
        <x:v>seasonal_naive</x:v>
      </x:c>
      <x:c r="F1577" s="10" t="n">
        <x:v>20</x:v>
      </x:c>
      <x:c r="G1577" s="10" t="n">
        <x:v>25</x:v>
      </x:c>
      <x:c r="H1577" s="10" t="n">
        <x:f>ABS(G1577-F1577)</x:f>
        <x:v>5</x:v>
      </x:c>
      <x:c r="I1577" s="10" t="n">
        <x:f>G1577-F1577</x:f>
        <x:v>5</x:v>
      </x:c>
    </x:row>
    <x:row r="1578" ht="20" customHeight="1">
      <x:c r="A1578" s="1" t="str">
        <x:v>22720</x:v>
      </x:c>
      <x:c r="B1578" s="10" t="n">
        <x:v>2</x:v>
      </x:c>
      <x:c r="C1578" s="9" t="d">
        <x:v>2011-11-02T00:00:00.000Z</x:v>
      </x:c>
      <x:c r="D1578" s="9" t="d">
        <x:v>2011-11-07T00:00:00.000Z</x:v>
      </x:c>
      <x:c r="E1578" s="1" t="str">
        <x:v>seasonal_naive</x:v>
      </x:c>
      <x:c r="F1578" s="10" t="n">
        <x:v>10</x:v>
      </x:c>
      <x:c r="G1578" s="10" t="n">
        <x:v>22</x:v>
      </x:c>
      <x:c r="H1578" s="10" t="n">
        <x:f>ABS(G1578-F1578)</x:f>
        <x:v>12</x:v>
      </x:c>
      <x:c r="I1578" s="10" t="n">
        <x:f>G1578-F1578</x:f>
        <x:v>12</x:v>
      </x:c>
    </x:row>
    <x:row r="1579" ht="20" customHeight="1">
      <x:c r="A1579" s="1" t="str">
        <x:v>22720</x:v>
      </x:c>
      <x:c r="B1579" s="10" t="n">
        <x:v>2</x:v>
      </x:c>
      <x:c r="C1579" s="9" t="d">
        <x:v>2011-11-02T00:00:00.000Z</x:v>
      </x:c>
      <x:c r="D1579" s="9" t="d">
        <x:v>2011-11-08T00:00:00.000Z</x:v>
      </x:c>
      <x:c r="E1579" s="1" t="str">
        <x:v>seasonal_naive</x:v>
      </x:c>
      <x:c r="F1579" s="10" t="n">
        <x:v>26</x:v>
      </x:c>
      <x:c r="G1579" s="10" t="n">
        <x:v>89</x:v>
      </x:c>
      <x:c r="H1579" s="10" t="n">
        <x:f>ABS(G1579-F1579)</x:f>
        <x:v>63</x:v>
      </x:c>
      <x:c r="I1579" s="10" t="n">
        <x:f>G1579-F1579</x:f>
        <x:v>63</x:v>
      </x:c>
    </x:row>
    <x:row r="1580" ht="20" customHeight="1">
      <x:c r="A1580" s="1" t="str">
        <x:v>22720</x:v>
      </x:c>
      <x:c r="B1580" s="10" t="n">
        <x:v>2</x:v>
      </x:c>
      <x:c r="C1580" s="9" t="d">
        <x:v>2011-11-02T00:00:00.000Z</x:v>
      </x:c>
      <x:c r="D1580" s="9" t="d">
        <x:v>2011-11-09T00:00:00.000Z</x:v>
      </x:c>
      <x:c r="E1580" s="1" t="str">
        <x:v>seasonal_naive</x:v>
      </x:c>
      <x:c r="F1580" s="10" t="n">
        <x:v>14</x:v>
      </x:c>
      <x:c r="G1580" s="10" t="n">
        <x:v>23</x:v>
      </x:c>
      <x:c r="H1580" s="10" t="n">
        <x:f>ABS(G1580-F1580)</x:f>
        <x:v>9</x:v>
      </x:c>
      <x:c r="I1580" s="10" t="n">
        <x:f>G1580-F1580</x:f>
        <x:v>9</x:v>
      </x:c>
    </x:row>
    <x:row r="1581" ht="20" customHeight="1">
      <x:c r="A1581" s="1" t="str">
        <x:v>22720</x:v>
      </x:c>
      <x:c r="B1581" s="10" t="n">
        <x:v>2</x:v>
      </x:c>
      <x:c r="C1581" s="9" t="d">
        <x:v>2011-11-02T00:00:00.000Z</x:v>
      </x:c>
      <x:c r="D1581" s="9" t="d">
        <x:v>2011-11-10T00:00:00.000Z</x:v>
      </x:c>
      <x:c r="E1581" s="1" t="str">
        <x:v>seasonal_naive</x:v>
      </x:c>
      <x:c r="F1581" s="10" t="n">
        <x:v>22</x:v>
      </x:c>
      <x:c r="G1581" s="10" t="n">
        <x:v>27</x:v>
      </x:c>
      <x:c r="H1581" s="10" t="n">
        <x:f>ABS(G1581-F1581)</x:f>
        <x:v>5</x:v>
      </x:c>
      <x:c r="I1581" s="10" t="n">
        <x:f>G1581-F1581</x:f>
        <x:v>5</x:v>
      </x:c>
    </x:row>
    <x:row r="1582" ht="20" customHeight="1">
      <x:c r="A1582" s="1" t="str">
        <x:v>22720</x:v>
      </x:c>
      <x:c r="B1582" s="10" t="n">
        <x:v>2</x:v>
      </x:c>
      <x:c r="C1582" s="9" t="d">
        <x:v>2011-11-02T00:00:00.000Z</x:v>
      </x:c>
      <x:c r="D1582" s="9" t="d">
        <x:v>2011-11-11T00:00:00.000Z</x:v>
      </x:c>
      <x:c r="E1582" s="1" t="str">
        <x:v>seasonal_naive</x:v>
      </x:c>
      <x:c r="F1582" s="10" t="n">
        <x:v>10</x:v>
      </x:c>
      <x:c r="G1582" s="10" t="n">
        <x:v>3</x:v>
      </x:c>
      <x:c r="H1582" s="10" t="n">
        <x:f>ABS(G1582-F1582)</x:f>
        <x:v>7</x:v>
      </x:c>
      <x:c r="I1582" s="10" t="n">
        <x:f>G1582-F1582</x:f>
        <x:v>-7</x:v>
      </x:c>
    </x:row>
    <x:row r="1583" ht="20" customHeight="1">
      <x:c r="A1583" s="1" t="str">
        <x:v>22720</x:v>
      </x:c>
      <x:c r="B1583" s="10" t="n">
        <x:v>2</x:v>
      </x:c>
      <x:c r="C1583" s="9" t="d">
        <x:v>2011-11-02T00:00:00.000Z</x:v>
      </x:c>
      <x:c r="D1583" s="9" t="d">
        <x:v>2011-11-12T00:00:00.000Z</x:v>
      </x:c>
      <x:c r="E1583" s="1" t="str">
        <x:v>seasonal_naive</x:v>
      </x:c>
      <x:c r="F1583" s="10" t="n">
        <x:v>0</x:v>
      </x:c>
      <x:c r="G1583" s="10" t="n">
        <x:v>0</x:v>
      </x:c>
      <x:c r="H1583" s="10" t="n">
        <x:f>ABS(G1583-F1583)</x:f>
        <x:v>0</x:v>
      </x:c>
      <x:c r="I1583" s="10" t="n">
        <x:f>G1583-F1583</x:f>
        <x:v>0</x:v>
      </x:c>
    </x:row>
    <x:row r="1584" ht="20" customHeight="1">
      <x:c r="A1584" s="1" t="str">
        <x:v>22720</x:v>
      </x:c>
      <x:c r="B1584" s="10" t="n">
        <x:v>2</x:v>
      </x:c>
      <x:c r="C1584" s="9" t="d">
        <x:v>2011-11-02T00:00:00.000Z</x:v>
      </x:c>
      <x:c r="D1584" s="9" t="d">
        <x:v>2011-11-13T00:00:00.000Z</x:v>
      </x:c>
      <x:c r="E1584" s="1" t="str">
        <x:v>seasonal_naive</x:v>
      </x:c>
      <x:c r="F1584" s="10" t="n">
        <x:v>30</x:v>
      </x:c>
      <x:c r="G1584" s="10" t="n">
        <x:v>25</x:v>
      </x:c>
      <x:c r="H1584" s="10" t="n">
        <x:f>ABS(G1584-F1584)</x:f>
        <x:v>5</x:v>
      </x:c>
      <x:c r="I1584" s="10" t="n">
        <x:f>G1584-F1584</x:f>
        <x:v>-5</x:v>
      </x:c>
    </x:row>
    <x:row r="1585" ht="20" customHeight="1">
      <x:c r="A1585" s="1" t="str">
        <x:v>22720</x:v>
      </x:c>
      <x:c r="B1585" s="10" t="n">
        <x:v>2</x:v>
      </x:c>
      <x:c r="C1585" s="9" t="d">
        <x:v>2011-11-02T00:00:00.000Z</x:v>
      </x:c>
      <x:c r="D1585" s="9" t="d">
        <x:v>2011-11-14T00:00:00.000Z</x:v>
      </x:c>
      <x:c r="E1585" s="1" t="str">
        <x:v>seasonal_naive</x:v>
      </x:c>
      <x:c r="F1585" s="10" t="n">
        <x:v>3</x:v>
      </x:c>
      <x:c r="G1585" s="10" t="n">
        <x:v>22</x:v>
      </x:c>
      <x:c r="H1585" s="10" t="n">
        <x:f>ABS(G1585-F1585)</x:f>
        <x:v>19</x:v>
      </x:c>
      <x:c r="I1585" s="10" t="n">
        <x:f>G1585-F1585</x:f>
        <x:v>19</x:v>
      </x:c>
    </x:row>
    <x:row r="1586" ht="20" customHeight="1">
      <x:c r="A1586" s="1" t="str">
        <x:v>22720</x:v>
      </x:c>
      <x:c r="B1586" s="10" t="n">
        <x:v>2</x:v>
      </x:c>
      <x:c r="C1586" s="9" t="d">
        <x:v>2011-11-02T00:00:00.000Z</x:v>
      </x:c>
      <x:c r="D1586" s="9" t="d">
        <x:v>2011-11-15T00:00:00.000Z</x:v>
      </x:c>
      <x:c r="E1586" s="1" t="str">
        <x:v>seasonal_naive</x:v>
      </x:c>
      <x:c r="F1586" s="10" t="n">
        <x:v>19</x:v>
      </x:c>
      <x:c r="G1586" s="10" t="n">
        <x:v>89</x:v>
      </x:c>
      <x:c r="H1586" s="10" t="n">
        <x:f>ABS(G1586-F1586)</x:f>
        <x:v>70</x:v>
      </x:c>
      <x:c r="I1586" s="10" t="n">
        <x:f>G1586-F1586</x:f>
        <x:v>70</x:v>
      </x:c>
    </x:row>
    <x:row r="1587" ht="20" customHeight="1">
      <x:c r="A1587" s="1" t="str">
        <x:v>22720</x:v>
      </x:c>
      <x:c r="B1587" s="10" t="n">
        <x:v>2</x:v>
      </x:c>
      <x:c r="C1587" s="9" t="d">
        <x:v>2011-11-02T00:00:00.000Z</x:v>
      </x:c>
      <x:c r="D1587" s="9" t="d">
        <x:v>2011-11-16T00:00:00.000Z</x:v>
      </x:c>
      <x:c r="E1587" s="1" t="str">
        <x:v>seasonal_naive</x:v>
      </x:c>
      <x:c r="F1587" s="10" t="n">
        <x:v>26</x:v>
      </x:c>
      <x:c r="G1587" s="10" t="n">
        <x:v>23</x:v>
      </x:c>
      <x:c r="H1587" s="10" t="n">
        <x:f>ABS(G1587-F1587)</x:f>
        <x:v>3</x:v>
      </x:c>
      <x:c r="I1587" s="10" t="n">
        <x:f>G1587-F1587</x:f>
        <x:v>-3</x:v>
      </x:c>
    </x:row>
    <x:row r="1588" ht="20" customHeight="1">
      <x:c r="A1588" s="1" t="str">
        <x:v>22720</x:v>
      </x:c>
      <x:c r="B1588" s="10" t="n">
        <x:v>2</x:v>
      </x:c>
      <x:c r="C1588" s="9" t="d">
        <x:v>2011-11-02T00:00:00.000Z</x:v>
      </x:c>
      <x:c r="D1588" s="9" t="d">
        <x:v>2011-11-03T00:00:00.000Z</x:v>
      </x:c>
      <x:c r="E1588" s="1" t="str">
        <x:v>ridge</x:v>
      </x:c>
      <x:c r="F1588" s="10" t="n">
        <x:v>16</x:v>
      </x:c>
      <x:c r="G1588" s="10" t="n">
        <x:v>29.7725617296</x:v>
      </x:c>
      <x:c r="H1588" s="10" t="n">
        <x:f>ABS(G1588-F1588)</x:f>
        <x:v>13.7725617296</x:v>
      </x:c>
      <x:c r="I1588" s="10" t="n">
        <x:f>G1588-F1588</x:f>
        <x:v>13.7725617296</x:v>
      </x:c>
    </x:row>
    <x:row r="1589" ht="20" customHeight="1">
      <x:c r="A1589" s="1" t="str">
        <x:v>22720</x:v>
      </x:c>
      <x:c r="B1589" s="10" t="n">
        <x:v>2</x:v>
      </x:c>
      <x:c r="C1589" s="9" t="d">
        <x:v>2011-11-02T00:00:00.000Z</x:v>
      </x:c>
      <x:c r="D1589" s="9" t="d">
        <x:v>2011-11-04T00:00:00.000Z</x:v>
      </x:c>
      <x:c r="E1589" s="1" t="str">
        <x:v>ridge</x:v>
      </x:c>
      <x:c r="F1589" s="10" t="n">
        <x:v>15</x:v>
      </x:c>
      <x:c r="G1589" s="10" t="n">
        <x:v>17.6394381401</x:v>
      </x:c>
      <x:c r="H1589" s="10" t="n">
        <x:f>ABS(G1589-F1589)</x:f>
        <x:v>2.639438140100001</x:v>
      </x:c>
      <x:c r="I1589" s="10" t="n">
        <x:f>G1589-F1589</x:f>
        <x:v>2.639438140100001</x:v>
      </x:c>
    </x:row>
    <x:row r="1590" ht="20" customHeight="1">
      <x:c r="A1590" s="1" t="str">
        <x:v>22720</x:v>
      </x:c>
      <x:c r="B1590" s="10" t="n">
        <x:v>2</x:v>
      </x:c>
      <x:c r="C1590" s="9" t="d">
        <x:v>2011-11-02T00:00:00.000Z</x:v>
      </x:c>
      <x:c r="D1590" s="9" t="d">
        <x:v>2011-11-05T00:00:00.000Z</x:v>
      </x:c>
      <x:c r="E1590" s="1" t="str">
        <x:v>ridge</x:v>
      </x:c>
      <x:c r="F1590" s="10" t="n">
        <x:v>0</x:v>
      </x:c>
      <x:c r="G1590" s="10" t="n">
        <x:v>9.3427972379</x:v>
      </x:c>
      <x:c r="H1590" s="10" t="n">
        <x:f>ABS(G1590-F1590)</x:f>
        <x:v>9.3427972379</x:v>
      </x:c>
      <x:c r="I1590" s="10" t="n">
        <x:f>G1590-F1590</x:f>
        <x:v>9.3427972379</x:v>
      </x:c>
    </x:row>
    <x:row r="1591" ht="20" customHeight="1">
      <x:c r="A1591" s="1" t="str">
        <x:v>22720</x:v>
      </x:c>
      <x:c r="B1591" s="10" t="n">
        <x:v>2</x:v>
      </x:c>
      <x:c r="C1591" s="9" t="d">
        <x:v>2011-11-02T00:00:00.000Z</x:v>
      </x:c>
      <x:c r="D1591" s="9" t="d">
        <x:v>2011-11-06T00:00:00.000Z</x:v>
      </x:c>
      <x:c r="E1591" s="1" t="str">
        <x:v>ridge</x:v>
      </x:c>
      <x:c r="F1591" s="10" t="n">
        <x:v>20</x:v>
      </x:c>
      <x:c r="G1591" s="10" t="n">
        <x:v>11.2669271321</x:v>
      </x:c>
      <x:c r="H1591" s="10" t="n">
        <x:f>ABS(G1591-F1591)</x:f>
        <x:v>8.7330728679</x:v>
      </x:c>
      <x:c r="I1591" s="10" t="n">
        <x:f>G1591-F1591</x:f>
        <x:v>-8.7330728679</x:v>
      </x:c>
    </x:row>
    <x:row r="1592" ht="20" customHeight="1">
      <x:c r="A1592" s="1" t="str">
        <x:v>22720</x:v>
      </x:c>
      <x:c r="B1592" s="10" t="n">
        <x:v>2</x:v>
      </x:c>
      <x:c r="C1592" s="9" t="d">
        <x:v>2011-11-02T00:00:00.000Z</x:v>
      </x:c>
      <x:c r="D1592" s="9" t="d">
        <x:v>2011-11-07T00:00:00.000Z</x:v>
      </x:c>
      <x:c r="E1592" s="1" t="str">
        <x:v>ridge</x:v>
      </x:c>
      <x:c r="F1592" s="10" t="n">
        <x:v>10</x:v>
      </x:c>
      <x:c r="G1592" s="10" t="n">
        <x:v>21.6534169451</x:v>
      </x:c>
      <x:c r="H1592" s="10" t="n">
        <x:f>ABS(G1592-F1592)</x:f>
        <x:v>11.653416945099998</x:v>
      </x:c>
      <x:c r="I1592" s="10" t="n">
        <x:f>G1592-F1592</x:f>
        <x:v>11.653416945099998</x:v>
      </x:c>
    </x:row>
    <x:row r="1593" ht="20" customHeight="1">
      <x:c r="A1593" s="1" t="str">
        <x:v>22720</x:v>
      </x:c>
      <x:c r="B1593" s="10" t="n">
        <x:v>2</x:v>
      </x:c>
      <x:c r="C1593" s="9" t="d">
        <x:v>2011-11-02T00:00:00.000Z</x:v>
      </x:c>
      <x:c r="D1593" s="9" t="d">
        <x:v>2011-11-08T00:00:00.000Z</x:v>
      </x:c>
      <x:c r="E1593" s="1" t="str">
        <x:v>ridge</x:v>
      </x:c>
      <x:c r="F1593" s="10" t="n">
        <x:v>26</x:v>
      </x:c>
      <x:c r="G1593" s="10" t="n">
        <x:v>33.1579868403</x:v>
      </x:c>
      <x:c r="H1593" s="10" t="n">
        <x:f>ABS(G1593-F1593)</x:f>
        <x:v>7.157986840299998</x:v>
      </x:c>
      <x:c r="I1593" s="10" t="n">
        <x:f>G1593-F1593</x:f>
        <x:v>7.157986840299998</x:v>
      </x:c>
    </x:row>
    <x:row r="1594" ht="20" customHeight="1">
      <x:c r="A1594" s="1" t="str">
        <x:v>22720</x:v>
      </x:c>
      <x:c r="B1594" s="10" t="n">
        <x:v>2</x:v>
      </x:c>
      <x:c r="C1594" s="9" t="d">
        <x:v>2011-11-02T00:00:00.000Z</x:v>
      </x:c>
      <x:c r="D1594" s="9" t="d">
        <x:v>2011-11-09T00:00:00.000Z</x:v>
      </x:c>
      <x:c r="E1594" s="1" t="str">
        <x:v>ridge</x:v>
      </x:c>
      <x:c r="F1594" s="10" t="n">
        <x:v>14</x:v>
      </x:c>
      <x:c r="G1594" s="10" t="n">
        <x:v>35.7792274387</x:v>
      </x:c>
      <x:c r="H1594" s="10" t="n">
        <x:f>ABS(G1594-F1594)</x:f>
        <x:v>21.779227438699998</x:v>
      </x:c>
      <x:c r="I1594" s="10" t="n">
        <x:f>G1594-F1594</x:f>
        <x:v>21.779227438699998</x:v>
      </x:c>
    </x:row>
    <x:row r="1595" ht="20" customHeight="1">
      <x:c r="A1595" s="1" t="str">
        <x:v>22720</x:v>
      </x:c>
      <x:c r="B1595" s="10" t="n">
        <x:v>2</x:v>
      </x:c>
      <x:c r="C1595" s="9" t="d">
        <x:v>2011-11-02T00:00:00.000Z</x:v>
      </x:c>
      <x:c r="D1595" s="9" t="d">
        <x:v>2011-11-10T00:00:00.000Z</x:v>
      </x:c>
      <x:c r="E1595" s="1" t="str">
        <x:v>ridge</x:v>
      </x:c>
      <x:c r="F1595" s="10" t="n">
        <x:v>22</x:v>
      </x:c>
      <x:c r="G1595" s="10" t="n">
        <x:v>29.238836805</x:v>
      </x:c>
      <x:c r="H1595" s="10" t="n">
        <x:f>ABS(G1595-F1595)</x:f>
        <x:v>7.238836804999998</x:v>
      </x:c>
      <x:c r="I1595" s="10" t="n">
        <x:f>G1595-F1595</x:f>
        <x:v>7.238836804999998</x:v>
      </x:c>
    </x:row>
    <x:row r="1596" ht="20" customHeight="1">
      <x:c r="A1596" s="1" t="str">
        <x:v>22720</x:v>
      </x:c>
      <x:c r="B1596" s="10" t="n">
        <x:v>2</x:v>
      </x:c>
      <x:c r="C1596" s="9" t="d">
        <x:v>2011-11-02T00:00:00.000Z</x:v>
      </x:c>
      <x:c r="D1596" s="9" t="d">
        <x:v>2011-11-11T00:00:00.000Z</x:v>
      </x:c>
      <x:c r="E1596" s="1" t="str">
        <x:v>ridge</x:v>
      </x:c>
      <x:c r="F1596" s="10" t="n">
        <x:v>10</x:v>
      </x:c>
      <x:c r="G1596" s="10" t="n">
        <x:v>16.9223357096</x:v>
      </x:c>
      <x:c r="H1596" s="10" t="n">
        <x:f>ABS(G1596-F1596)</x:f>
        <x:v>6.922335709599999</x:v>
      </x:c>
      <x:c r="I1596" s="10" t="n">
        <x:f>G1596-F1596</x:f>
        <x:v>6.922335709599999</x:v>
      </x:c>
    </x:row>
    <x:row r="1597" ht="20" customHeight="1">
      <x:c r="A1597" s="1" t="str">
        <x:v>22720</x:v>
      </x:c>
      <x:c r="B1597" s="10" t="n">
        <x:v>2</x:v>
      </x:c>
      <x:c r="C1597" s="9" t="d">
        <x:v>2011-11-02T00:00:00.000Z</x:v>
      </x:c>
      <x:c r="D1597" s="9" t="d">
        <x:v>2011-11-12T00:00:00.000Z</x:v>
      </x:c>
      <x:c r="E1597" s="1" t="str">
        <x:v>ridge</x:v>
      </x:c>
      <x:c r="F1597" s="10" t="n">
        <x:v>0</x:v>
      </x:c>
      <x:c r="G1597" s="10" t="n">
        <x:v>8.2575200126</x:v>
      </x:c>
      <x:c r="H1597" s="10" t="n">
        <x:f>ABS(G1597-F1597)</x:f>
        <x:v>8.2575200126</x:v>
      </x:c>
      <x:c r="I1597" s="10" t="n">
        <x:f>G1597-F1597</x:f>
        <x:v>8.2575200126</x:v>
      </x:c>
    </x:row>
    <x:row r="1598" ht="20" customHeight="1">
      <x:c r="A1598" s="1" t="str">
        <x:v>22720</x:v>
      </x:c>
      <x:c r="B1598" s="10" t="n">
        <x:v>2</x:v>
      </x:c>
      <x:c r="C1598" s="9" t="d">
        <x:v>2011-11-02T00:00:00.000Z</x:v>
      </x:c>
      <x:c r="D1598" s="9" t="d">
        <x:v>2011-11-13T00:00:00.000Z</x:v>
      </x:c>
      <x:c r="E1598" s="1" t="str">
        <x:v>ridge</x:v>
      </x:c>
      <x:c r="F1598" s="10" t="n">
        <x:v>30</x:v>
      </x:c>
      <x:c r="G1598" s="10" t="n">
        <x:v>9.9540355188</x:v>
      </x:c>
      <x:c r="H1598" s="10" t="n">
        <x:f>ABS(G1598-F1598)</x:f>
        <x:v>20.045964481200002</x:v>
      </x:c>
      <x:c r="I1598" s="10" t="n">
        <x:f>G1598-F1598</x:f>
        <x:v>-20.045964481200002</x:v>
      </x:c>
    </x:row>
    <x:row r="1599" ht="20" customHeight="1">
      <x:c r="A1599" s="1" t="str">
        <x:v>22720</x:v>
      </x:c>
      <x:c r="B1599" s="10" t="n">
        <x:v>2</x:v>
      </x:c>
      <x:c r="C1599" s="9" t="d">
        <x:v>2011-11-02T00:00:00.000Z</x:v>
      </x:c>
      <x:c r="D1599" s="9" t="d">
        <x:v>2011-11-14T00:00:00.000Z</x:v>
      </x:c>
      <x:c r="E1599" s="1" t="str">
        <x:v>ridge</x:v>
      </x:c>
      <x:c r="F1599" s="10" t="n">
        <x:v>3</x:v>
      </x:c>
      <x:c r="G1599" s="10" t="n">
        <x:v>20.6068719674</x:v>
      </x:c>
      <x:c r="H1599" s="10" t="n">
        <x:f>ABS(G1599-F1599)</x:f>
        <x:v>17.6068719674</x:v>
      </x:c>
      <x:c r="I1599" s="10" t="n">
        <x:f>G1599-F1599</x:f>
        <x:v>17.6068719674</x:v>
      </x:c>
    </x:row>
    <x:row r="1600" ht="20" customHeight="1">
      <x:c r="A1600" s="1" t="str">
        <x:v>22720</x:v>
      </x:c>
      <x:c r="B1600" s="10" t="n">
        <x:v>2</x:v>
      </x:c>
      <x:c r="C1600" s="9" t="d">
        <x:v>2011-11-02T00:00:00.000Z</x:v>
      </x:c>
      <x:c r="D1600" s="9" t="d">
        <x:v>2011-11-15T00:00:00.000Z</x:v>
      </x:c>
      <x:c r="E1600" s="1" t="str">
        <x:v>ridge</x:v>
      </x:c>
      <x:c r="F1600" s="10" t="n">
        <x:v>19</x:v>
      </x:c>
      <x:c r="G1600" s="10" t="n">
        <x:v>31.5983572334</x:v>
      </x:c>
      <x:c r="H1600" s="10" t="n">
        <x:f>ABS(G1600-F1600)</x:f>
        <x:v>12.598357233400002</x:v>
      </x:c>
      <x:c r="I1600" s="10" t="n">
        <x:f>G1600-F1600</x:f>
        <x:v>12.598357233400002</x:v>
      </x:c>
    </x:row>
    <x:row r="1601" ht="20" customHeight="1">
      <x:c r="A1601" s="1" t="str">
        <x:v>22720</x:v>
      </x:c>
      <x:c r="B1601" s="10" t="n">
        <x:v>2</x:v>
      </x:c>
      <x:c r="C1601" s="9" t="d">
        <x:v>2011-11-02T00:00:00.000Z</x:v>
      </x:c>
      <x:c r="D1601" s="9" t="d">
        <x:v>2011-11-16T00:00:00.000Z</x:v>
      </x:c>
      <x:c r="E1601" s="1" t="str">
        <x:v>ridge</x:v>
      </x:c>
      <x:c r="F1601" s="10" t="n">
        <x:v>26</x:v>
      </x:c>
      <x:c r="G1601" s="10" t="n">
        <x:v>35.4238588281</x:v>
      </x:c>
      <x:c r="H1601" s="10" t="n">
        <x:f>ABS(G1601-F1601)</x:f>
        <x:v>9.423858828100002</x:v>
      </x:c>
      <x:c r="I1601" s="10" t="n">
        <x:f>G1601-F1601</x:f>
        <x:v>9.423858828100002</x:v>
      </x:c>
    </x:row>
    <x:row r="1602" ht="20" customHeight="1">
      <x:c r="A1602" s="1" t="str">
        <x:v>22720</x:v>
      </x:c>
      <x:c r="B1602" s="10" t="n">
        <x:v>3</x:v>
      </x:c>
      <x:c r="C1602" s="9" t="d">
        <x:v>2011-11-16T00:00:00.000Z</x:v>
      </x:c>
      <x:c r="D1602" s="9" t="d">
        <x:v>2011-11-17T00:00:00.000Z</x:v>
      </x:c>
      <x:c r="E1602" s="1" t="str">
        <x:v>naive</x:v>
      </x:c>
      <x:c r="F1602" s="10" t="n">
        <x:v>30</x:v>
      </x:c>
      <x:c r="G1602" s="10" t="n">
        <x:v>26</x:v>
      </x:c>
      <x:c r="H1602" s="10" t="n">
        <x:f>ABS(G1602-F1602)</x:f>
        <x:v>4</x:v>
      </x:c>
      <x:c r="I1602" s="10" t="n">
        <x:f>G1602-F1602</x:f>
        <x:v>-4</x:v>
      </x:c>
    </x:row>
    <x:row r="1603" ht="20" customHeight="1">
      <x:c r="A1603" s="1" t="str">
        <x:v>22720</x:v>
      </x:c>
      <x:c r="B1603" s="10" t="n">
        <x:v>3</x:v>
      </x:c>
      <x:c r="C1603" s="9" t="d">
        <x:v>2011-11-16T00:00:00.000Z</x:v>
      </x:c>
      <x:c r="D1603" s="9" t="d">
        <x:v>2011-11-18T00:00:00.000Z</x:v>
      </x:c>
      <x:c r="E1603" s="1" t="str">
        <x:v>naive</x:v>
      </x:c>
      <x:c r="F1603" s="10" t="n">
        <x:v>18</x:v>
      </x:c>
      <x:c r="G1603" s="10" t="n">
        <x:v>26</x:v>
      </x:c>
      <x:c r="H1603" s="10" t="n">
        <x:f>ABS(G1603-F1603)</x:f>
        <x:v>8</x:v>
      </x:c>
      <x:c r="I1603" s="10" t="n">
        <x:f>G1603-F1603</x:f>
        <x:v>8</x:v>
      </x:c>
    </x:row>
    <x:row r="1604" ht="20" customHeight="1">
      <x:c r="A1604" s="1" t="str">
        <x:v>22720</x:v>
      </x:c>
      <x:c r="B1604" s="10" t="n">
        <x:v>3</x:v>
      </x:c>
      <x:c r="C1604" s="9" t="d">
        <x:v>2011-11-16T00:00:00.000Z</x:v>
      </x:c>
      <x:c r="D1604" s="9" t="d">
        <x:v>2011-11-19T00:00:00.000Z</x:v>
      </x:c>
      <x:c r="E1604" s="1" t="str">
        <x:v>naive</x:v>
      </x:c>
      <x:c r="F1604" s="10" t="n">
        <x:v>0</x:v>
      </x:c>
      <x:c r="G1604" s="10" t="n">
        <x:v>26</x:v>
      </x:c>
      <x:c r="H1604" s="10" t="n">
        <x:f>ABS(G1604-F1604)</x:f>
        <x:v>26</x:v>
      </x:c>
      <x:c r="I1604" s="10" t="n">
        <x:f>G1604-F1604</x:f>
        <x:v>26</x:v>
      </x:c>
    </x:row>
    <x:row r="1605" ht="20" customHeight="1">
      <x:c r="A1605" s="1" t="str">
        <x:v>22720</x:v>
      </x:c>
      <x:c r="B1605" s="10" t="n">
        <x:v>3</x:v>
      </x:c>
      <x:c r="C1605" s="9" t="d">
        <x:v>2011-11-16T00:00:00.000Z</x:v>
      </x:c>
      <x:c r="D1605" s="9" t="d">
        <x:v>2011-11-20T00:00:00.000Z</x:v>
      </x:c>
      <x:c r="E1605" s="1" t="str">
        <x:v>naive</x:v>
      </x:c>
      <x:c r="F1605" s="10" t="n">
        <x:v>8</x:v>
      </x:c>
      <x:c r="G1605" s="10" t="n">
        <x:v>26</x:v>
      </x:c>
      <x:c r="H1605" s="10" t="n">
        <x:f>ABS(G1605-F1605)</x:f>
        <x:v>18</x:v>
      </x:c>
      <x:c r="I1605" s="10" t="n">
        <x:f>G1605-F1605</x:f>
        <x:v>18</x:v>
      </x:c>
    </x:row>
    <x:row r="1606" ht="20" customHeight="1">
      <x:c r="A1606" s="1" t="str">
        <x:v>22720</x:v>
      </x:c>
      <x:c r="B1606" s="10" t="n">
        <x:v>3</x:v>
      </x:c>
      <x:c r="C1606" s="9" t="d">
        <x:v>2011-11-16T00:00:00.000Z</x:v>
      </x:c>
      <x:c r="D1606" s="9" t="d">
        <x:v>2011-11-21T00:00:00.000Z</x:v>
      </x:c>
      <x:c r="E1606" s="1" t="str">
        <x:v>naive</x:v>
      </x:c>
      <x:c r="F1606" s="10" t="n">
        <x:v>6</x:v>
      </x:c>
      <x:c r="G1606" s="10" t="n">
        <x:v>26</x:v>
      </x:c>
      <x:c r="H1606" s="10" t="n">
        <x:f>ABS(G1606-F1606)</x:f>
        <x:v>20</x:v>
      </x:c>
      <x:c r="I1606" s="10" t="n">
        <x:f>G1606-F1606</x:f>
        <x:v>20</x:v>
      </x:c>
    </x:row>
    <x:row r="1607" ht="20" customHeight="1">
      <x:c r="A1607" s="1" t="str">
        <x:v>22720</x:v>
      </x:c>
      <x:c r="B1607" s="10" t="n">
        <x:v>3</x:v>
      </x:c>
      <x:c r="C1607" s="9" t="d">
        <x:v>2011-11-16T00:00:00.000Z</x:v>
      </x:c>
      <x:c r="D1607" s="9" t="d">
        <x:v>2011-11-22T00:00:00.000Z</x:v>
      </x:c>
      <x:c r="E1607" s="1" t="str">
        <x:v>naive</x:v>
      </x:c>
      <x:c r="F1607" s="10" t="n">
        <x:v>10</x:v>
      </x:c>
      <x:c r="G1607" s="10" t="n">
        <x:v>26</x:v>
      </x:c>
      <x:c r="H1607" s="10" t="n">
        <x:f>ABS(G1607-F1607)</x:f>
        <x:v>16</x:v>
      </x:c>
      <x:c r="I1607" s="10" t="n">
        <x:f>G1607-F1607</x:f>
        <x:v>16</x:v>
      </x:c>
    </x:row>
    <x:row r="1608" ht="20" customHeight="1">
      <x:c r="A1608" s="1" t="str">
        <x:v>22720</x:v>
      </x:c>
      <x:c r="B1608" s="10" t="n">
        <x:v>3</x:v>
      </x:c>
      <x:c r="C1608" s="9" t="d">
        <x:v>2011-11-16T00:00:00.000Z</x:v>
      </x:c>
      <x:c r="D1608" s="9" t="d">
        <x:v>2011-11-23T00:00:00.000Z</x:v>
      </x:c>
      <x:c r="E1608" s="1" t="str">
        <x:v>naive</x:v>
      </x:c>
      <x:c r="F1608" s="10" t="n">
        <x:v>26</x:v>
      </x:c>
      <x:c r="G1608" s="10" t="n">
        <x:v>26</x:v>
      </x:c>
      <x:c r="H1608" s="10" t="n">
        <x:f>ABS(G1608-F1608)</x:f>
        <x:v>0</x:v>
      </x:c>
      <x:c r="I1608" s="10" t="n">
        <x:f>G1608-F1608</x:f>
        <x:v>0</x:v>
      </x:c>
    </x:row>
    <x:row r="1609" ht="20" customHeight="1">
      <x:c r="A1609" s="1" t="str">
        <x:v>22720</x:v>
      </x:c>
      <x:c r="B1609" s="10" t="n">
        <x:v>3</x:v>
      </x:c>
      <x:c r="C1609" s="9" t="d">
        <x:v>2011-11-16T00:00:00.000Z</x:v>
      </x:c>
      <x:c r="D1609" s="9" t="d">
        <x:v>2011-11-24T00:00:00.000Z</x:v>
      </x:c>
      <x:c r="E1609" s="1" t="str">
        <x:v>naive</x:v>
      </x:c>
      <x:c r="F1609" s="10" t="n">
        <x:v>18</x:v>
      </x:c>
      <x:c r="G1609" s="10" t="n">
        <x:v>26</x:v>
      </x:c>
      <x:c r="H1609" s="10" t="n">
        <x:f>ABS(G1609-F1609)</x:f>
        <x:v>8</x:v>
      </x:c>
      <x:c r="I1609" s="10" t="n">
        <x:f>G1609-F1609</x:f>
        <x:v>8</x:v>
      </x:c>
    </x:row>
    <x:row r="1610" ht="20" customHeight="1">
      <x:c r="A1610" s="1" t="str">
        <x:v>22720</x:v>
      </x:c>
      <x:c r="B1610" s="10" t="n">
        <x:v>3</x:v>
      </x:c>
      <x:c r="C1610" s="9" t="d">
        <x:v>2011-11-16T00:00:00.000Z</x:v>
      </x:c>
      <x:c r="D1610" s="9" t="d">
        <x:v>2011-11-25T00:00:00.000Z</x:v>
      </x:c>
      <x:c r="E1610" s="1" t="str">
        <x:v>naive</x:v>
      </x:c>
      <x:c r="F1610" s="10" t="n">
        <x:v>11</x:v>
      </x:c>
      <x:c r="G1610" s="10" t="n">
        <x:v>26</x:v>
      </x:c>
      <x:c r="H1610" s="10" t="n">
        <x:f>ABS(G1610-F1610)</x:f>
        <x:v>15</x:v>
      </x:c>
      <x:c r="I1610" s="10" t="n">
        <x:f>G1610-F1610</x:f>
        <x:v>15</x:v>
      </x:c>
    </x:row>
    <x:row r="1611" ht="20" customHeight="1">
      <x:c r="A1611" s="1" t="str">
        <x:v>22720</x:v>
      </x:c>
      <x:c r="B1611" s="10" t="n">
        <x:v>3</x:v>
      </x:c>
      <x:c r="C1611" s="9" t="d">
        <x:v>2011-11-16T00:00:00.000Z</x:v>
      </x:c>
      <x:c r="D1611" s="9" t="d">
        <x:v>2011-11-26T00:00:00.000Z</x:v>
      </x:c>
      <x:c r="E1611" s="1" t="str">
        <x:v>naive</x:v>
      </x:c>
      <x:c r="F1611" s="10" t="n">
        <x:v>0</x:v>
      </x:c>
      <x:c r="G1611" s="10" t="n">
        <x:v>26</x:v>
      </x:c>
      <x:c r="H1611" s="10" t="n">
        <x:f>ABS(G1611-F1611)</x:f>
        <x:v>26</x:v>
      </x:c>
      <x:c r="I1611" s="10" t="n">
        <x:f>G1611-F1611</x:f>
        <x:v>26</x:v>
      </x:c>
    </x:row>
    <x:row r="1612" ht="20" customHeight="1">
      <x:c r="A1612" s="1" t="str">
        <x:v>22720</x:v>
      </x:c>
      <x:c r="B1612" s="10" t="n">
        <x:v>3</x:v>
      </x:c>
      <x:c r="C1612" s="9" t="d">
        <x:v>2011-11-16T00:00:00.000Z</x:v>
      </x:c>
      <x:c r="D1612" s="9" t="d">
        <x:v>2011-11-27T00:00:00.000Z</x:v>
      </x:c>
      <x:c r="E1612" s="1" t="str">
        <x:v>naive</x:v>
      </x:c>
      <x:c r="F1612" s="10" t="n">
        <x:v>2</x:v>
      </x:c>
      <x:c r="G1612" s="10" t="n">
        <x:v>26</x:v>
      </x:c>
      <x:c r="H1612" s="10" t="n">
        <x:f>ABS(G1612-F1612)</x:f>
        <x:v>24</x:v>
      </x:c>
      <x:c r="I1612" s="10" t="n">
        <x:f>G1612-F1612</x:f>
        <x:v>24</x:v>
      </x:c>
    </x:row>
    <x:row r="1613" ht="20" customHeight="1">
      <x:c r="A1613" s="1" t="str">
        <x:v>22720</x:v>
      </x:c>
      <x:c r="B1613" s="10" t="n">
        <x:v>3</x:v>
      </x:c>
      <x:c r="C1613" s="9" t="d">
        <x:v>2011-11-16T00:00:00.000Z</x:v>
      </x:c>
      <x:c r="D1613" s="9" t="d">
        <x:v>2011-11-28T00:00:00.000Z</x:v>
      </x:c>
      <x:c r="E1613" s="1" t="str">
        <x:v>naive</x:v>
      </x:c>
      <x:c r="F1613" s="10" t="n">
        <x:v>14</x:v>
      </x:c>
      <x:c r="G1613" s="10" t="n">
        <x:v>26</x:v>
      </x:c>
      <x:c r="H1613" s="10" t="n">
        <x:f>ABS(G1613-F1613)</x:f>
        <x:v>12</x:v>
      </x:c>
      <x:c r="I1613" s="10" t="n">
        <x:f>G1613-F1613</x:f>
        <x:v>12</x:v>
      </x:c>
    </x:row>
    <x:row r="1614" ht="20" customHeight="1">
      <x:c r="A1614" s="1" t="str">
        <x:v>22720</x:v>
      </x:c>
      <x:c r="B1614" s="10" t="n">
        <x:v>3</x:v>
      </x:c>
      <x:c r="C1614" s="9" t="d">
        <x:v>2011-11-16T00:00:00.000Z</x:v>
      </x:c>
      <x:c r="D1614" s="9" t="d">
        <x:v>2011-11-29T00:00:00.000Z</x:v>
      </x:c>
      <x:c r="E1614" s="1" t="str">
        <x:v>naive</x:v>
      </x:c>
      <x:c r="F1614" s="10" t="n">
        <x:v>82</x:v>
      </x:c>
      <x:c r="G1614" s="10" t="n">
        <x:v>26</x:v>
      </x:c>
      <x:c r="H1614" s="10" t="n">
        <x:f>ABS(G1614-F1614)</x:f>
        <x:v>56</x:v>
      </x:c>
      <x:c r="I1614" s="10" t="n">
        <x:f>G1614-F1614</x:f>
        <x:v>-56</x:v>
      </x:c>
    </x:row>
    <x:row r="1615" ht="20" customHeight="1">
      <x:c r="A1615" s="1" t="str">
        <x:v>22720</x:v>
      </x:c>
      <x:c r="B1615" s="10" t="n">
        <x:v>3</x:v>
      </x:c>
      <x:c r="C1615" s="9" t="d">
        <x:v>2011-11-16T00:00:00.000Z</x:v>
      </x:c>
      <x:c r="D1615" s="9" t="d">
        <x:v>2011-11-30T00:00:00.000Z</x:v>
      </x:c>
      <x:c r="E1615" s="1" t="str">
        <x:v>naive</x:v>
      </x:c>
      <x:c r="F1615" s="10" t="n">
        <x:v>26</x:v>
      </x:c>
      <x:c r="G1615" s="10" t="n">
        <x:v>26</x:v>
      </x:c>
      <x:c r="H1615" s="10" t="n">
        <x:f>ABS(G1615-F1615)</x:f>
        <x:v>0</x:v>
      </x:c>
      <x:c r="I1615" s="10" t="n">
        <x:f>G1615-F1615</x:f>
        <x:v>0</x:v>
      </x:c>
    </x:row>
    <x:row r="1616" ht="20" customHeight="1">
      <x:c r="A1616" s="1" t="str">
        <x:v>22720</x:v>
      </x:c>
      <x:c r="B1616" s="10" t="n">
        <x:v>3</x:v>
      </x:c>
      <x:c r="C1616" s="9" t="d">
        <x:v>2011-11-16T00:00:00.000Z</x:v>
      </x:c>
      <x:c r="D1616" s="9" t="d">
        <x:v>2011-11-17T00:00:00.000Z</x:v>
      </x:c>
      <x:c r="E1616" s="1" t="str">
        <x:v>seasonal_naive</x:v>
      </x:c>
      <x:c r="F1616" s="10" t="n">
        <x:v>30</x:v>
      </x:c>
      <x:c r="G1616" s="10" t="n">
        <x:v>22</x:v>
      </x:c>
      <x:c r="H1616" s="10" t="n">
        <x:f>ABS(G1616-F1616)</x:f>
        <x:v>8</x:v>
      </x:c>
      <x:c r="I1616" s="10" t="n">
        <x:f>G1616-F1616</x:f>
        <x:v>-8</x:v>
      </x:c>
    </x:row>
    <x:row r="1617" ht="20" customHeight="1">
      <x:c r="A1617" s="1" t="str">
        <x:v>22720</x:v>
      </x:c>
      <x:c r="B1617" s="10" t="n">
        <x:v>3</x:v>
      </x:c>
      <x:c r="C1617" s="9" t="d">
        <x:v>2011-11-16T00:00:00.000Z</x:v>
      </x:c>
      <x:c r="D1617" s="9" t="d">
        <x:v>2011-11-18T00:00:00.000Z</x:v>
      </x:c>
      <x:c r="E1617" s="1" t="str">
        <x:v>seasonal_naive</x:v>
      </x:c>
      <x:c r="F1617" s="10" t="n">
        <x:v>18</x:v>
      </x:c>
      <x:c r="G1617" s="10" t="n">
        <x:v>10</x:v>
      </x:c>
      <x:c r="H1617" s="10" t="n">
        <x:f>ABS(G1617-F1617)</x:f>
        <x:v>8</x:v>
      </x:c>
      <x:c r="I1617" s="10" t="n">
        <x:f>G1617-F1617</x:f>
        <x:v>-8</x:v>
      </x:c>
    </x:row>
    <x:row r="1618" ht="20" customHeight="1">
      <x:c r="A1618" s="1" t="str">
        <x:v>22720</x:v>
      </x:c>
      <x:c r="B1618" s="10" t="n">
        <x:v>3</x:v>
      </x:c>
      <x:c r="C1618" s="9" t="d">
        <x:v>2011-11-16T00:00:00.000Z</x:v>
      </x:c>
      <x:c r="D1618" s="9" t="d">
        <x:v>2011-11-19T00:00:00.000Z</x:v>
      </x:c>
      <x:c r="E1618" s="1" t="str">
        <x:v>seasonal_naive</x:v>
      </x:c>
      <x:c r="F1618" s="10" t="n">
        <x:v>0</x:v>
      </x:c>
      <x:c r="G1618" s="10" t="n">
        <x:v>0</x:v>
      </x:c>
      <x:c r="H1618" s="10" t="n">
        <x:f>ABS(G1618-F1618)</x:f>
        <x:v>0</x:v>
      </x:c>
      <x:c r="I1618" s="10" t="n">
        <x:f>G1618-F1618</x:f>
        <x:v>0</x:v>
      </x:c>
    </x:row>
    <x:row r="1619" ht="20" customHeight="1">
      <x:c r="A1619" s="1" t="str">
        <x:v>22720</x:v>
      </x:c>
      <x:c r="B1619" s="10" t="n">
        <x:v>3</x:v>
      </x:c>
      <x:c r="C1619" s="9" t="d">
        <x:v>2011-11-16T00:00:00.000Z</x:v>
      </x:c>
      <x:c r="D1619" s="9" t="d">
        <x:v>2011-11-20T00:00:00.000Z</x:v>
      </x:c>
      <x:c r="E1619" s="1" t="str">
        <x:v>seasonal_naive</x:v>
      </x:c>
      <x:c r="F1619" s="10" t="n">
        <x:v>8</x:v>
      </x:c>
      <x:c r="G1619" s="10" t="n">
        <x:v>30</x:v>
      </x:c>
      <x:c r="H1619" s="10" t="n">
        <x:f>ABS(G1619-F1619)</x:f>
        <x:v>22</x:v>
      </x:c>
      <x:c r="I1619" s="10" t="n">
        <x:f>G1619-F1619</x:f>
        <x:v>22</x:v>
      </x:c>
    </x:row>
    <x:row r="1620" ht="20" customHeight="1">
      <x:c r="A1620" s="1" t="str">
        <x:v>22720</x:v>
      </x:c>
      <x:c r="B1620" s="10" t="n">
        <x:v>3</x:v>
      </x:c>
      <x:c r="C1620" s="9" t="d">
        <x:v>2011-11-16T00:00:00.000Z</x:v>
      </x:c>
      <x:c r="D1620" s="9" t="d">
        <x:v>2011-11-21T00:00:00.000Z</x:v>
      </x:c>
      <x:c r="E1620" s="1" t="str">
        <x:v>seasonal_naive</x:v>
      </x:c>
      <x:c r="F1620" s="10" t="n">
        <x:v>6</x:v>
      </x:c>
      <x:c r="G1620" s="10" t="n">
        <x:v>3</x:v>
      </x:c>
      <x:c r="H1620" s="10" t="n">
        <x:f>ABS(G1620-F1620)</x:f>
        <x:v>3</x:v>
      </x:c>
      <x:c r="I1620" s="10" t="n">
        <x:f>G1620-F1620</x:f>
        <x:v>-3</x:v>
      </x:c>
    </x:row>
    <x:row r="1621" ht="20" customHeight="1">
      <x:c r="A1621" s="1" t="str">
        <x:v>22720</x:v>
      </x:c>
      <x:c r="B1621" s="10" t="n">
        <x:v>3</x:v>
      </x:c>
      <x:c r="C1621" s="9" t="d">
        <x:v>2011-11-16T00:00:00.000Z</x:v>
      </x:c>
      <x:c r="D1621" s="9" t="d">
        <x:v>2011-11-22T00:00:00.000Z</x:v>
      </x:c>
      <x:c r="E1621" s="1" t="str">
        <x:v>seasonal_naive</x:v>
      </x:c>
      <x:c r="F1621" s="10" t="n">
        <x:v>10</x:v>
      </x:c>
      <x:c r="G1621" s="10" t="n">
        <x:v>19</x:v>
      </x:c>
      <x:c r="H1621" s="10" t="n">
        <x:f>ABS(G1621-F1621)</x:f>
        <x:v>9</x:v>
      </x:c>
      <x:c r="I1621" s="10" t="n">
        <x:f>G1621-F1621</x:f>
        <x:v>9</x:v>
      </x:c>
    </x:row>
    <x:row r="1622" ht="20" customHeight="1">
      <x:c r="A1622" s="1" t="str">
        <x:v>22720</x:v>
      </x:c>
      <x:c r="B1622" s="10" t="n">
        <x:v>3</x:v>
      </x:c>
      <x:c r="C1622" s="9" t="d">
        <x:v>2011-11-16T00:00:00.000Z</x:v>
      </x:c>
      <x:c r="D1622" s="9" t="d">
        <x:v>2011-11-23T00:00:00.000Z</x:v>
      </x:c>
      <x:c r="E1622" s="1" t="str">
        <x:v>seasonal_naive</x:v>
      </x:c>
      <x:c r="F1622" s="10" t="n">
        <x:v>26</x:v>
      </x:c>
      <x:c r="G1622" s="10" t="n">
        <x:v>26</x:v>
      </x:c>
      <x:c r="H1622" s="10" t="n">
        <x:f>ABS(G1622-F1622)</x:f>
        <x:v>0</x:v>
      </x:c>
      <x:c r="I1622" s="10" t="n">
        <x:f>G1622-F1622</x:f>
        <x:v>0</x:v>
      </x:c>
    </x:row>
    <x:row r="1623" ht="20" customHeight="1">
      <x:c r="A1623" s="1" t="str">
        <x:v>22720</x:v>
      </x:c>
      <x:c r="B1623" s="10" t="n">
        <x:v>3</x:v>
      </x:c>
      <x:c r="C1623" s="9" t="d">
        <x:v>2011-11-16T00:00:00.000Z</x:v>
      </x:c>
      <x:c r="D1623" s="9" t="d">
        <x:v>2011-11-24T00:00:00.000Z</x:v>
      </x:c>
      <x:c r="E1623" s="1" t="str">
        <x:v>seasonal_naive</x:v>
      </x:c>
      <x:c r="F1623" s="10" t="n">
        <x:v>18</x:v>
      </x:c>
      <x:c r="G1623" s="10" t="n">
        <x:v>22</x:v>
      </x:c>
      <x:c r="H1623" s="10" t="n">
        <x:f>ABS(G1623-F1623)</x:f>
        <x:v>4</x:v>
      </x:c>
      <x:c r="I1623" s="10" t="n">
        <x:f>G1623-F1623</x:f>
        <x:v>4</x:v>
      </x:c>
    </x:row>
    <x:row r="1624" ht="20" customHeight="1">
      <x:c r="A1624" s="1" t="str">
        <x:v>22720</x:v>
      </x:c>
      <x:c r="B1624" s="10" t="n">
        <x:v>3</x:v>
      </x:c>
      <x:c r="C1624" s="9" t="d">
        <x:v>2011-11-16T00:00:00.000Z</x:v>
      </x:c>
      <x:c r="D1624" s="9" t="d">
        <x:v>2011-11-25T00:00:00.000Z</x:v>
      </x:c>
      <x:c r="E1624" s="1" t="str">
        <x:v>seasonal_naive</x:v>
      </x:c>
      <x:c r="F1624" s="10" t="n">
        <x:v>11</x:v>
      </x:c>
      <x:c r="G1624" s="10" t="n">
        <x:v>10</x:v>
      </x:c>
      <x:c r="H1624" s="10" t="n">
        <x:f>ABS(G1624-F1624)</x:f>
        <x:v>1</x:v>
      </x:c>
      <x:c r="I1624" s="10" t="n">
        <x:f>G1624-F1624</x:f>
        <x:v>-1</x:v>
      </x:c>
    </x:row>
    <x:row r="1625" ht="20" customHeight="1">
      <x:c r="A1625" s="1" t="str">
        <x:v>22720</x:v>
      </x:c>
      <x:c r="B1625" s="10" t="n">
        <x:v>3</x:v>
      </x:c>
      <x:c r="C1625" s="9" t="d">
        <x:v>2011-11-16T00:00:00.000Z</x:v>
      </x:c>
      <x:c r="D1625" s="9" t="d">
        <x:v>2011-11-26T00:00:00.000Z</x:v>
      </x:c>
      <x:c r="E1625" s="1" t="str">
        <x:v>seasonal_naive</x:v>
      </x:c>
      <x:c r="F1625" s="10" t="n">
        <x:v>0</x:v>
      </x:c>
      <x:c r="G1625" s="10" t="n">
        <x:v>0</x:v>
      </x:c>
      <x:c r="H1625" s="10" t="n">
        <x:f>ABS(G1625-F1625)</x:f>
        <x:v>0</x:v>
      </x:c>
      <x:c r="I1625" s="10" t="n">
        <x:f>G1625-F1625</x:f>
        <x:v>0</x:v>
      </x:c>
    </x:row>
    <x:row r="1626" ht="20" customHeight="1">
      <x:c r="A1626" s="1" t="str">
        <x:v>22720</x:v>
      </x:c>
      <x:c r="B1626" s="10" t="n">
        <x:v>3</x:v>
      </x:c>
      <x:c r="C1626" s="9" t="d">
        <x:v>2011-11-16T00:00:00.000Z</x:v>
      </x:c>
      <x:c r="D1626" s="9" t="d">
        <x:v>2011-11-27T00:00:00.000Z</x:v>
      </x:c>
      <x:c r="E1626" s="1" t="str">
        <x:v>seasonal_naive</x:v>
      </x:c>
      <x:c r="F1626" s="10" t="n">
        <x:v>2</x:v>
      </x:c>
      <x:c r="G1626" s="10" t="n">
        <x:v>30</x:v>
      </x:c>
      <x:c r="H1626" s="10" t="n">
        <x:f>ABS(G1626-F1626)</x:f>
        <x:v>28</x:v>
      </x:c>
      <x:c r="I1626" s="10" t="n">
        <x:f>G1626-F1626</x:f>
        <x:v>28</x:v>
      </x:c>
    </x:row>
    <x:row r="1627" ht="20" customHeight="1">
      <x:c r="A1627" s="1" t="str">
        <x:v>22720</x:v>
      </x:c>
      <x:c r="B1627" s="10" t="n">
        <x:v>3</x:v>
      </x:c>
      <x:c r="C1627" s="9" t="d">
        <x:v>2011-11-16T00:00:00.000Z</x:v>
      </x:c>
      <x:c r="D1627" s="9" t="d">
        <x:v>2011-11-28T00:00:00.000Z</x:v>
      </x:c>
      <x:c r="E1627" s="1" t="str">
        <x:v>seasonal_naive</x:v>
      </x:c>
      <x:c r="F1627" s="10" t="n">
        <x:v>14</x:v>
      </x:c>
      <x:c r="G1627" s="10" t="n">
        <x:v>3</x:v>
      </x:c>
      <x:c r="H1627" s="10" t="n">
        <x:f>ABS(G1627-F1627)</x:f>
        <x:v>11</x:v>
      </x:c>
      <x:c r="I1627" s="10" t="n">
        <x:f>G1627-F1627</x:f>
        <x:v>-11</x:v>
      </x:c>
    </x:row>
    <x:row r="1628" ht="20" customHeight="1">
      <x:c r="A1628" s="1" t="str">
        <x:v>22720</x:v>
      </x:c>
      <x:c r="B1628" s="10" t="n">
        <x:v>3</x:v>
      </x:c>
      <x:c r="C1628" s="9" t="d">
        <x:v>2011-11-16T00:00:00.000Z</x:v>
      </x:c>
      <x:c r="D1628" s="9" t="d">
        <x:v>2011-11-29T00:00:00.000Z</x:v>
      </x:c>
      <x:c r="E1628" s="1" t="str">
        <x:v>seasonal_naive</x:v>
      </x:c>
      <x:c r="F1628" s="10" t="n">
        <x:v>82</x:v>
      </x:c>
      <x:c r="G1628" s="10" t="n">
        <x:v>19</x:v>
      </x:c>
      <x:c r="H1628" s="10" t="n">
        <x:f>ABS(G1628-F1628)</x:f>
        <x:v>63</x:v>
      </x:c>
      <x:c r="I1628" s="10" t="n">
        <x:f>G1628-F1628</x:f>
        <x:v>-63</x:v>
      </x:c>
    </x:row>
    <x:row r="1629" ht="20" customHeight="1">
      <x:c r="A1629" s="1" t="str">
        <x:v>22720</x:v>
      </x:c>
      <x:c r="B1629" s="10" t="n">
        <x:v>3</x:v>
      </x:c>
      <x:c r="C1629" s="9" t="d">
        <x:v>2011-11-16T00:00:00.000Z</x:v>
      </x:c>
      <x:c r="D1629" s="9" t="d">
        <x:v>2011-11-30T00:00:00.000Z</x:v>
      </x:c>
      <x:c r="E1629" s="1" t="str">
        <x:v>seasonal_naive</x:v>
      </x:c>
      <x:c r="F1629" s="10" t="n">
        <x:v>26</x:v>
      </x:c>
      <x:c r="G1629" s="10" t="n">
        <x:v>26</x:v>
      </x:c>
      <x:c r="H1629" s="10" t="n">
        <x:f>ABS(G1629-F1629)</x:f>
        <x:v>0</x:v>
      </x:c>
      <x:c r="I1629" s="10" t="n">
        <x:f>G1629-F1629</x:f>
        <x:v>0</x:v>
      </x:c>
    </x:row>
    <x:row r="1630" ht="20" customHeight="1">
      <x:c r="A1630" s="1" t="str">
        <x:v>22720</x:v>
      </x:c>
      <x:c r="B1630" s="10" t="n">
        <x:v>3</x:v>
      </x:c>
      <x:c r="C1630" s="9" t="d">
        <x:v>2011-11-16T00:00:00.000Z</x:v>
      </x:c>
      <x:c r="D1630" s="9" t="d">
        <x:v>2011-11-17T00:00:00.000Z</x:v>
      </x:c>
      <x:c r="E1630" s="1" t="str">
        <x:v>ridge</x:v>
      </x:c>
      <x:c r="F1630" s="10" t="n">
        <x:v>30</x:v>
      </x:c>
      <x:c r="G1630" s="10" t="n">
        <x:v>26.6775788394</x:v>
      </x:c>
      <x:c r="H1630" s="10" t="n">
        <x:f>ABS(G1630-F1630)</x:f>
        <x:v>3.322421160600001</x:v>
      </x:c>
      <x:c r="I1630" s="10" t="n">
        <x:f>G1630-F1630</x:f>
        <x:v>-3.322421160600001</x:v>
      </x:c>
    </x:row>
    <x:row r="1631" ht="20" customHeight="1">
      <x:c r="A1631" s="1" t="str">
        <x:v>22720</x:v>
      </x:c>
      <x:c r="B1631" s="10" t="n">
        <x:v>3</x:v>
      </x:c>
      <x:c r="C1631" s="9" t="d">
        <x:v>2011-11-16T00:00:00.000Z</x:v>
      </x:c>
      <x:c r="D1631" s="9" t="d">
        <x:v>2011-11-18T00:00:00.000Z</x:v>
      </x:c>
      <x:c r="E1631" s="1" t="str">
        <x:v>ridge</x:v>
      </x:c>
      <x:c r="F1631" s="10" t="n">
        <x:v>18</x:v>
      </x:c>
      <x:c r="G1631" s="10" t="n">
        <x:v>14.8704619147</x:v>
      </x:c>
      <x:c r="H1631" s="10" t="n">
        <x:f>ABS(G1631-F1631)</x:f>
        <x:v>3.1295380853</x:v>
      </x:c>
      <x:c r="I1631" s="10" t="n">
        <x:f>G1631-F1631</x:f>
        <x:v>-3.1295380853</x:v>
      </x:c>
    </x:row>
    <x:row r="1632" ht="20" customHeight="1">
      <x:c r="A1632" s="1" t="str">
        <x:v>22720</x:v>
      </x:c>
      <x:c r="B1632" s="10" t="n">
        <x:v>3</x:v>
      </x:c>
      <x:c r="C1632" s="9" t="d">
        <x:v>2011-11-16T00:00:00.000Z</x:v>
      </x:c>
      <x:c r="D1632" s="9" t="d">
        <x:v>2011-11-19T00:00:00.000Z</x:v>
      </x:c>
      <x:c r="E1632" s="1" t="str">
        <x:v>ridge</x:v>
      </x:c>
      <x:c r="F1632" s="10" t="n">
        <x:v>0</x:v>
      </x:c>
      <x:c r="G1632" s="10" t="n">
        <x:v>6.6772035744</x:v>
      </x:c>
      <x:c r="H1632" s="10" t="n">
        <x:f>ABS(G1632-F1632)</x:f>
        <x:v>6.6772035744</x:v>
      </x:c>
      <x:c r="I1632" s="10" t="n">
        <x:f>G1632-F1632</x:f>
        <x:v>6.6772035744</x:v>
      </x:c>
    </x:row>
    <x:row r="1633" ht="20" customHeight="1">
      <x:c r="A1633" s="1" t="str">
        <x:v>22720</x:v>
      </x:c>
      <x:c r="B1633" s="10" t="n">
        <x:v>3</x:v>
      </x:c>
      <x:c r="C1633" s="9" t="d">
        <x:v>2011-11-16T00:00:00.000Z</x:v>
      </x:c>
      <x:c r="D1633" s="9" t="d">
        <x:v>2011-11-20T00:00:00.000Z</x:v>
      </x:c>
      <x:c r="E1633" s="1" t="str">
        <x:v>ridge</x:v>
      </x:c>
      <x:c r="F1633" s="10" t="n">
        <x:v>8</x:v>
      </x:c>
      <x:c r="G1633" s="10" t="n">
        <x:v>8.5803412688</x:v>
      </x:c>
      <x:c r="H1633" s="10" t="n">
        <x:f>ABS(G1633-F1633)</x:f>
        <x:v>0.5803412687999998</x:v>
      </x:c>
      <x:c r="I1633" s="10" t="n">
        <x:f>G1633-F1633</x:f>
        <x:v>0.5803412687999998</x:v>
      </x:c>
    </x:row>
    <x:row r="1634" ht="20" customHeight="1">
      <x:c r="A1634" s="1" t="str">
        <x:v>22720</x:v>
      </x:c>
      <x:c r="B1634" s="10" t="n">
        <x:v>3</x:v>
      </x:c>
      <x:c r="C1634" s="9" t="d">
        <x:v>2011-11-16T00:00:00.000Z</x:v>
      </x:c>
      <x:c r="D1634" s="9" t="d">
        <x:v>2011-11-21T00:00:00.000Z</x:v>
      </x:c>
      <x:c r="E1634" s="1" t="str">
        <x:v>ridge</x:v>
      </x:c>
      <x:c r="F1634" s="10" t="n">
        <x:v>6</x:v>
      </x:c>
      <x:c r="G1634" s="10" t="n">
        <x:v>18.5322184884</x:v>
      </x:c>
      <x:c r="H1634" s="10" t="n">
        <x:f>ABS(G1634-F1634)</x:f>
        <x:v>12.532218488400002</x:v>
      </x:c>
      <x:c r="I1634" s="10" t="n">
        <x:f>G1634-F1634</x:f>
        <x:v>12.532218488400002</x:v>
      </x:c>
    </x:row>
    <x:row r="1635" ht="20" customHeight="1">
      <x:c r="A1635" s="1" t="str">
        <x:v>22720</x:v>
      </x:c>
      <x:c r="B1635" s="10" t="n">
        <x:v>3</x:v>
      </x:c>
      <x:c r="C1635" s="9" t="d">
        <x:v>2011-11-16T00:00:00.000Z</x:v>
      </x:c>
      <x:c r="D1635" s="9" t="d">
        <x:v>2011-11-22T00:00:00.000Z</x:v>
      </x:c>
      <x:c r="E1635" s="1" t="str">
        <x:v>ridge</x:v>
      </x:c>
      <x:c r="F1635" s="10" t="n">
        <x:v>10</x:v>
      </x:c>
      <x:c r="G1635" s="10" t="n">
        <x:v>30.2057272059</x:v>
      </x:c>
      <x:c r="H1635" s="10" t="n">
        <x:f>ABS(G1635-F1635)</x:f>
        <x:v>20.2057272059</x:v>
      </x:c>
      <x:c r="I1635" s="10" t="n">
        <x:f>G1635-F1635</x:f>
        <x:v>20.2057272059</x:v>
      </x:c>
    </x:row>
    <x:row r="1636" ht="20" customHeight="1">
      <x:c r="A1636" s="1" t="str">
        <x:v>22720</x:v>
      </x:c>
      <x:c r="B1636" s="10" t="n">
        <x:v>3</x:v>
      </x:c>
      <x:c r="C1636" s="9" t="d">
        <x:v>2011-11-16T00:00:00.000Z</x:v>
      </x:c>
      <x:c r="D1636" s="9" t="d">
        <x:v>2011-11-23T00:00:00.000Z</x:v>
      </x:c>
      <x:c r="E1636" s="1" t="str">
        <x:v>ridge</x:v>
      </x:c>
      <x:c r="F1636" s="10" t="n">
        <x:v>26</x:v>
      </x:c>
      <x:c r="G1636" s="10" t="n">
        <x:v>34.1378611277</x:v>
      </x:c>
      <x:c r="H1636" s="10" t="n">
        <x:f>ABS(G1636-F1636)</x:f>
        <x:v>8.137861127699999</x:v>
      </x:c>
      <x:c r="I1636" s="10" t="n">
        <x:f>G1636-F1636</x:f>
        <x:v>8.137861127699999</x:v>
      </x:c>
    </x:row>
    <x:row r="1637" ht="20" customHeight="1">
      <x:c r="A1637" s="1" t="str">
        <x:v>22720</x:v>
      </x:c>
      <x:c r="B1637" s="10" t="n">
        <x:v>3</x:v>
      </x:c>
      <x:c r="C1637" s="9" t="d">
        <x:v>2011-11-16T00:00:00.000Z</x:v>
      </x:c>
      <x:c r="D1637" s="9" t="d">
        <x:v>2011-11-24T00:00:00.000Z</x:v>
      </x:c>
      <x:c r="E1637" s="1" t="str">
        <x:v>ridge</x:v>
      </x:c>
      <x:c r="F1637" s="10" t="n">
        <x:v>18</x:v>
      </x:c>
      <x:c r="G1637" s="10" t="n">
        <x:v>27.722706571</x:v>
      </x:c>
      <x:c r="H1637" s="10" t="n">
        <x:f>ABS(G1637-F1637)</x:f>
        <x:v>9.722706571</x:v>
      </x:c>
      <x:c r="I1637" s="10" t="n">
        <x:f>G1637-F1637</x:f>
        <x:v>9.722706571</x:v>
      </x:c>
    </x:row>
    <x:row r="1638" ht="20" customHeight="1">
      <x:c r="A1638" s="1" t="str">
        <x:v>22720</x:v>
      </x:c>
      <x:c r="B1638" s="10" t="n">
        <x:v>3</x:v>
      </x:c>
      <x:c r="C1638" s="9" t="d">
        <x:v>2011-11-16T00:00:00.000Z</x:v>
      </x:c>
      <x:c r="D1638" s="9" t="d">
        <x:v>2011-11-25T00:00:00.000Z</x:v>
      </x:c>
      <x:c r="E1638" s="1" t="str">
        <x:v>ridge</x:v>
      </x:c>
      <x:c r="F1638" s="10" t="n">
        <x:v>11</x:v>
      </x:c>
      <x:c r="G1638" s="10" t="n">
        <x:v>15.7077984637</x:v>
      </x:c>
      <x:c r="H1638" s="10" t="n">
        <x:f>ABS(G1638-F1638)</x:f>
        <x:v>4.7077984637</x:v>
      </x:c>
      <x:c r="I1638" s="10" t="n">
        <x:f>G1638-F1638</x:f>
        <x:v>4.7077984637</x:v>
      </x:c>
    </x:row>
    <x:row r="1639" ht="20" customHeight="1">
      <x:c r="A1639" s="1" t="str">
        <x:v>22720</x:v>
      </x:c>
      <x:c r="B1639" s="10" t="n">
        <x:v>3</x:v>
      </x:c>
      <x:c r="C1639" s="9" t="d">
        <x:v>2011-11-16T00:00:00.000Z</x:v>
      </x:c>
      <x:c r="D1639" s="9" t="d">
        <x:v>2011-11-26T00:00:00.000Z</x:v>
      </x:c>
      <x:c r="E1639" s="1" t="str">
        <x:v>ridge</x:v>
      </x:c>
      <x:c r="F1639" s="10" t="n">
        <x:v>0</x:v>
      </x:c>
      <x:c r="G1639" s="10" t="n">
        <x:v>7.5020140819</x:v>
      </x:c>
      <x:c r="H1639" s="10" t="n">
        <x:f>ABS(G1639-F1639)</x:f>
        <x:v>7.5020140819</x:v>
      </x:c>
      <x:c r="I1639" s="10" t="n">
        <x:f>G1639-F1639</x:f>
        <x:v>7.5020140819</x:v>
      </x:c>
    </x:row>
    <x:row r="1640" ht="20" customHeight="1">
      <x:c r="A1640" s="1" t="str">
        <x:v>22720</x:v>
      </x:c>
      <x:c r="B1640" s="10" t="n">
        <x:v>3</x:v>
      </x:c>
      <x:c r="C1640" s="9" t="d">
        <x:v>2011-11-16T00:00:00.000Z</x:v>
      </x:c>
      <x:c r="D1640" s="9" t="d">
        <x:v>2011-11-27T00:00:00.000Z</x:v>
      </x:c>
      <x:c r="E1640" s="1" t="str">
        <x:v>ridge</x:v>
      </x:c>
      <x:c r="F1640" s="10" t="n">
        <x:v>2</x:v>
      </x:c>
      <x:c r="G1640" s="10" t="n">
        <x:v>9.278030997</x:v>
      </x:c>
      <x:c r="H1640" s="10" t="n">
        <x:f>ABS(G1640-F1640)</x:f>
        <x:v>7.278030997</x:v>
      </x:c>
      <x:c r="I1640" s="10" t="n">
        <x:f>G1640-F1640</x:f>
        <x:v>7.278030997</x:v>
      </x:c>
    </x:row>
    <x:row r="1641" ht="20" customHeight="1">
      <x:c r="A1641" s="1" t="str">
        <x:v>22720</x:v>
      </x:c>
      <x:c r="B1641" s="10" t="n">
        <x:v>3</x:v>
      </x:c>
      <x:c r="C1641" s="9" t="d">
        <x:v>2011-11-16T00:00:00.000Z</x:v>
      </x:c>
      <x:c r="D1641" s="9" t="d">
        <x:v>2011-11-28T00:00:00.000Z</x:v>
      </x:c>
      <x:c r="E1641" s="1" t="str">
        <x:v>ridge</x:v>
      </x:c>
      <x:c r="F1641" s="10" t="n">
        <x:v>14</x:v>
      </x:c>
      <x:c r="G1641" s="10" t="n">
        <x:v>19.5983369874</x:v>
      </x:c>
      <x:c r="H1641" s="10" t="n">
        <x:f>ABS(G1641-F1641)</x:f>
        <x:v>5.5983369874</x:v>
      </x:c>
      <x:c r="I1641" s="10" t="n">
        <x:f>G1641-F1641</x:f>
        <x:v>5.5983369874</x:v>
      </x:c>
    </x:row>
    <x:row r="1642" ht="20" customHeight="1">
      <x:c r="A1642" s="1" t="str">
        <x:v>22720</x:v>
      </x:c>
      <x:c r="B1642" s="10" t="n">
        <x:v>3</x:v>
      </x:c>
      <x:c r="C1642" s="9" t="d">
        <x:v>2011-11-16T00:00:00.000Z</x:v>
      </x:c>
      <x:c r="D1642" s="9" t="d">
        <x:v>2011-11-29T00:00:00.000Z</x:v>
      </x:c>
      <x:c r="E1642" s="1" t="str">
        <x:v>ridge</x:v>
      </x:c>
      <x:c r="F1642" s="10" t="n">
        <x:v>82</x:v>
      </x:c>
      <x:c r="G1642" s="10" t="n">
        <x:v>30.8969245703</x:v>
      </x:c>
      <x:c r="H1642" s="10" t="n">
        <x:f>ABS(G1642-F1642)</x:f>
        <x:v>51.1030754297</x:v>
      </x:c>
      <x:c r="I1642" s="10" t="n">
        <x:f>G1642-F1642</x:f>
        <x:v>-51.1030754297</x:v>
      </x:c>
    </x:row>
    <x:row r="1643" ht="20" customHeight="1">
      <x:c r="A1643" s="1" t="str">
        <x:v>22720</x:v>
      </x:c>
      <x:c r="B1643" s="10" t="n">
        <x:v>3</x:v>
      </x:c>
      <x:c r="C1643" s="9" t="d">
        <x:v>2011-11-16T00:00:00.000Z</x:v>
      </x:c>
      <x:c r="D1643" s="9" t="d">
        <x:v>2011-11-30T00:00:00.000Z</x:v>
      </x:c>
      <x:c r="E1643" s="1" t="str">
        <x:v>ridge</x:v>
      </x:c>
      <x:c r="F1643" s="10" t="n">
        <x:v>26</x:v>
      </x:c>
      <x:c r="G1643" s="10" t="n">
        <x:v>34.246289061</x:v>
      </x:c>
      <x:c r="H1643" s="10" t="n">
        <x:f>ABS(G1643-F1643)</x:f>
        <x:v>8.246289060999999</x:v>
      </x:c>
      <x:c r="I1643" s="10" t="n">
        <x:f>G1643-F1643</x:f>
        <x:v>8.246289060999999</x:v>
      </x:c>
    </x:row>
    <x:row r="1644" ht="20" customHeight="1">
      <x:c r="A1644" s="1" t="str">
        <x:v>22722</x:v>
      </x:c>
      <x:c r="B1644" s="10" t="n">
        <x:v>1</x:v>
      </x:c>
      <x:c r="C1644" s="9" t="d">
        <x:v>2011-10-19T00:00:00.000Z</x:v>
      </x:c>
      <x:c r="D1644" s="9" t="d">
        <x:v>2011-10-20T00:00:00.000Z</x:v>
      </x:c>
      <x:c r="E1644" s="1" t="str">
        <x:v>naive</x:v>
      </x:c>
      <x:c r="F1644" s="10" t="n">
        <x:v>1</x:v>
      </x:c>
      <x:c r="G1644" s="10" t="n">
        <x:v>5</x:v>
      </x:c>
      <x:c r="H1644" s="10" t="n">
        <x:f>ABS(G1644-F1644)</x:f>
        <x:v>4</x:v>
      </x:c>
      <x:c r="I1644" s="10" t="n">
        <x:f>G1644-F1644</x:f>
        <x:v>4</x:v>
      </x:c>
    </x:row>
    <x:row r="1645" ht="20" customHeight="1">
      <x:c r="A1645" s="1" t="str">
        <x:v>22722</x:v>
      </x:c>
      <x:c r="B1645" s="10" t="n">
        <x:v>1</x:v>
      </x:c>
      <x:c r="C1645" s="9" t="d">
        <x:v>2011-10-19T00:00:00.000Z</x:v>
      </x:c>
      <x:c r="D1645" s="9" t="d">
        <x:v>2011-10-21T00:00:00.000Z</x:v>
      </x:c>
      <x:c r="E1645" s="1" t="str">
        <x:v>naive</x:v>
      </x:c>
      <x:c r="F1645" s="10" t="n">
        <x:v>4</x:v>
      </x:c>
      <x:c r="G1645" s="10" t="n">
        <x:v>5</x:v>
      </x:c>
      <x:c r="H1645" s="10" t="n">
        <x:f>ABS(G1645-F1645)</x:f>
        <x:v>1</x:v>
      </x:c>
      <x:c r="I1645" s="10" t="n">
        <x:f>G1645-F1645</x:f>
        <x:v>1</x:v>
      </x:c>
    </x:row>
    <x:row r="1646" ht="20" customHeight="1">
      <x:c r="A1646" s="1" t="str">
        <x:v>22722</x:v>
      </x:c>
      <x:c r="B1646" s="10" t="n">
        <x:v>1</x:v>
      </x:c>
      <x:c r="C1646" s="9" t="d">
        <x:v>2011-10-19T00:00:00.000Z</x:v>
      </x:c>
      <x:c r="D1646" s="9" t="d">
        <x:v>2011-10-22T00:00:00.000Z</x:v>
      </x:c>
      <x:c r="E1646" s="1" t="str">
        <x:v>naive</x:v>
      </x:c>
      <x:c r="F1646" s="10" t="n">
        <x:v>0</x:v>
      </x:c>
      <x:c r="G1646" s="10" t="n">
        <x:v>5</x:v>
      </x:c>
      <x:c r="H1646" s="10" t="n">
        <x:f>ABS(G1646-F1646)</x:f>
        <x:v>5</x:v>
      </x:c>
      <x:c r="I1646" s="10" t="n">
        <x:f>G1646-F1646</x:f>
        <x:v>5</x:v>
      </x:c>
    </x:row>
    <x:row r="1647" ht="20" customHeight="1">
      <x:c r="A1647" s="1" t="str">
        <x:v>22722</x:v>
      </x:c>
      <x:c r="B1647" s="10" t="n">
        <x:v>1</x:v>
      </x:c>
      <x:c r="C1647" s="9" t="d">
        <x:v>2011-10-19T00:00:00.000Z</x:v>
      </x:c>
      <x:c r="D1647" s="9" t="d">
        <x:v>2011-10-23T00:00:00.000Z</x:v>
      </x:c>
      <x:c r="E1647" s="1" t="str">
        <x:v>naive</x:v>
      </x:c>
      <x:c r="F1647" s="10" t="n">
        <x:v>3</x:v>
      </x:c>
      <x:c r="G1647" s="10" t="n">
        <x:v>5</x:v>
      </x:c>
      <x:c r="H1647" s="10" t="n">
        <x:f>ABS(G1647-F1647)</x:f>
        <x:v>2</x:v>
      </x:c>
      <x:c r="I1647" s="10" t="n">
        <x:f>G1647-F1647</x:f>
        <x:v>2</x:v>
      </x:c>
    </x:row>
    <x:row r="1648" ht="20" customHeight="1">
      <x:c r="A1648" s="1" t="str">
        <x:v>22722</x:v>
      </x:c>
      <x:c r="B1648" s="10" t="n">
        <x:v>1</x:v>
      </x:c>
      <x:c r="C1648" s="9" t="d">
        <x:v>2011-10-19T00:00:00.000Z</x:v>
      </x:c>
      <x:c r="D1648" s="9" t="d">
        <x:v>2011-10-24T00:00:00.000Z</x:v>
      </x:c>
      <x:c r="E1648" s="1" t="str">
        <x:v>naive</x:v>
      </x:c>
      <x:c r="F1648" s="10" t="n">
        <x:v>32</x:v>
      </x:c>
      <x:c r="G1648" s="10" t="n">
        <x:v>5</x:v>
      </x:c>
      <x:c r="H1648" s="10" t="n">
        <x:f>ABS(G1648-F1648)</x:f>
        <x:v>27</x:v>
      </x:c>
      <x:c r="I1648" s="10" t="n">
        <x:f>G1648-F1648</x:f>
        <x:v>-27</x:v>
      </x:c>
    </x:row>
    <x:row r="1649" ht="20" customHeight="1">
      <x:c r="A1649" s="1" t="str">
        <x:v>22722</x:v>
      </x:c>
      <x:c r="B1649" s="10" t="n">
        <x:v>1</x:v>
      </x:c>
      <x:c r="C1649" s="9" t="d">
        <x:v>2011-10-19T00:00:00.000Z</x:v>
      </x:c>
      <x:c r="D1649" s="9" t="d">
        <x:v>2011-10-25T00:00:00.000Z</x:v>
      </x:c>
      <x:c r="E1649" s="1" t="str">
        <x:v>naive</x:v>
      </x:c>
      <x:c r="F1649" s="10" t="n">
        <x:v>66</x:v>
      </x:c>
      <x:c r="G1649" s="10" t="n">
        <x:v>5</x:v>
      </x:c>
      <x:c r="H1649" s="10" t="n">
        <x:f>ABS(G1649-F1649)</x:f>
        <x:v>61</x:v>
      </x:c>
      <x:c r="I1649" s="10" t="n">
        <x:f>G1649-F1649</x:f>
        <x:v>-61</x:v>
      </x:c>
    </x:row>
    <x:row r="1650" ht="20" customHeight="1">
      <x:c r="A1650" s="1" t="str">
        <x:v>22722</x:v>
      </x:c>
      <x:c r="B1650" s="10" t="n">
        <x:v>1</x:v>
      </x:c>
      <x:c r="C1650" s="9" t="d">
        <x:v>2011-10-19T00:00:00.000Z</x:v>
      </x:c>
      <x:c r="D1650" s="9" t="d">
        <x:v>2011-10-26T00:00:00.000Z</x:v>
      </x:c>
      <x:c r="E1650" s="1" t="str">
        <x:v>naive</x:v>
      </x:c>
      <x:c r="F1650" s="10" t="n">
        <x:v>20</x:v>
      </x:c>
      <x:c r="G1650" s="10" t="n">
        <x:v>5</x:v>
      </x:c>
      <x:c r="H1650" s="10" t="n">
        <x:f>ABS(G1650-F1650)</x:f>
        <x:v>15</x:v>
      </x:c>
      <x:c r="I1650" s="10" t="n">
        <x:f>G1650-F1650</x:f>
        <x:v>-15</x:v>
      </x:c>
    </x:row>
    <x:row r="1651" ht="20" customHeight="1">
      <x:c r="A1651" s="1" t="str">
        <x:v>22722</x:v>
      </x:c>
      <x:c r="B1651" s="10" t="n">
        <x:v>1</x:v>
      </x:c>
      <x:c r="C1651" s="9" t="d">
        <x:v>2011-10-19T00:00:00.000Z</x:v>
      </x:c>
      <x:c r="D1651" s="9" t="d">
        <x:v>2011-10-27T00:00:00.000Z</x:v>
      </x:c>
      <x:c r="E1651" s="1" t="str">
        <x:v>naive</x:v>
      </x:c>
      <x:c r="F1651" s="10" t="n">
        <x:v>18</x:v>
      </x:c>
      <x:c r="G1651" s="10" t="n">
        <x:v>5</x:v>
      </x:c>
      <x:c r="H1651" s="10" t="n">
        <x:f>ABS(G1651-F1651)</x:f>
        <x:v>13</x:v>
      </x:c>
      <x:c r="I1651" s="10" t="n">
        <x:f>G1651-F1651</x:f>
        <x:v>-13</x:v>
      </x:c>
    </x:row>
    <x:row r="1652" ht="20" customHeight="1">
      <x:c r="A1652" s="1" t="str">
        <x:v>22722</x:v>
      </x:c>
      <x:c r="B1652" s="10" t="n">
        <x:v>1</x:v>
      </x:c>
      <x:c r="C1652" s="9" t="d">
        <x:v>2011-10-19T00:00:00.000Z</x:v>
      </x:c>
      <x:c r="D1652" s="9" t="d">
        <x:v>2011-10-28T00:00:00.000Z</x:v>
      </x:c>
      <x:c r="E1652" s="1" t="str">
        <x:v>naive</x:v>
      </x:c>
      <x:c r="F1652" s="10" t="n">
        <x:v>0</x:v>
      </x:c>
      <x:c r="G1652" s="10" t="n">
        <x:v>5</x:v>
      </x:c>
      <x:c r="H1652" s="10" t="n">
        <x:f>ABS(G1652-F1652)</x:f>
        <x:v>5</x:v>
      </x:c>
      <x:c r="I1652" s="10" t="n">
        <x:f>G1652-F1652</x:f>
        <x:v>5</x:v>
      </x:c>
    </x:row>
    <x:row r="1653" ht="20" customHeight="1">
      <x:c r="A1653" s="1" t="str">
        <x:v>22722</x:v>
      </x:c>
      <x:c r="B1653" s="10" t="n">
        <x:v>1</x:v>
      </x:c>
      <x:c r="C1653" s="9" t="d">
        <x:v>2011-10-19T00:00:00.000Z</x:v>
      </x:c>
      <x:c r="D1653" s="9" t="d">
        <x:v>2011-10-29T00:00:00.000Z</x:v>
      </x:c>
      <x:c r="E1653" s="1" t="str">
        <x:v>naive</x:v>
      </x:c>
      <x:c r="F1653" s="10" t="n">
        <x:v>0</x:v>
      </x:c>
      <x:c r="G1653" s="10" t="n">
        <x:v>5</x:v>
      </x:c>
      <x:c r="H1653" s="10" t="n">
        <x:f>ABS(G1653-F1653)</x:f>
        <x:v>5</x:v>
      </x:c>
      <x:c r="I1653" s="10" t="n">
        <x:f>G1653-F1653</x:f>
        <x:v>5</x:v>
      </x:c>
    </x:row>
    <x:row r="1654" ht="20" customHeight="1">
      <x:c r="A1654" s="1" t="str">
        <x:v>22722</x:v>
      </x:c>
      <x:c r="B1654" s="10" t="n">
        <x:v>1</x:v>
      </x:c>
      <x:c r="C1654" s="9" t="d">
        <x:v>2011-10-19T00:00:00.000Z</x:v>
      </x:c>
      <x:c r="D1654" s="9" t="d">
        <x:v>2011-10-30T00:00:00.000Z</x:v>
      </x:c>
      <x:c r="E1654" s="1" t="str">
        <x:v>naive</x:v>
      </x:c>
      <x:c r="F1654" s="10" t="n">
        <x:v>20</x:v>
      </x:c>
      <x:c r="G1654" s="10" t="n">
        <x:v>5</x:v>
      </x:c>
      <x:c r="H1654" s="10" t="n">
        <x:f>ABS(G1654-F1654)</x:f>
        <x:v>15</x:v>
      </x:c>
      <x:c r="I1654" s="10" t="n">
        <x:f>G1654-F1654</x:f>
        <x:v>-15</x:v>
      </x:c>
    </x:row>
    <x:row r="1655" ht="20" customHeight="1">
      <x:c r="A1655" s="1" t="str">
        <x:v>22722</x:v>
      </x:c>
      <x:c r="B1655" s="10" t="n">
        <x:v>1</x:v>
      </x:c>
      <x:c r="C1655" s="9" t="d">
        <x:v>2011-10-19T00:00:00.000Z</x:v>
      </x:c>
      <x:c r="D1655" s="9" t="d">
        <x:v>2011-10-31T00:00:00.000Z</x:v>
      </x:c>
      <x:c r="E1655" s="1" t="str">
        <x:v>naive</x:v>
      </x:c>
      <x:c r="F1655" s="10" t="n">
        <x:v>11</x:v>
      </x:c>
      <x:c r="G1655" s="10" t="n">
        <x:v>5</x:v>
      </x:c>
      <x:c r="H1655" s="10" t="n">
        <x:f>ABS(G1655-F1655)</x:f>
        <x:v>6</x:v>
      </x:c>
      <x:c r="I1655" s="10" t="n">
        <x:f>G1655-F1655</x:f>
        <x:v>-6</x:v>
      </x:c>
    </x:row>
    <x:row r="1656" ht="20" customHeight="1">
      <x:c r="A1656" s="1" t="str">
        <x:v>22722</x:v>
      </x:c>
      <x:c r="B1656" s="10" t="n">
        <x:v>1</x:v>
      </x:c>
      <x:c r="C1656" s="9" t="d">
        <x:v>2011-10-19T00:00:00.000Z</x:v>
      </x:c>
      <x:c r="D1656" s="9" t="d">
        <x:v>2011-11-01T00:00:00.000Z</x:v>
      </x:c>
      <x:c r="E1656" s="1" t="str">
        <x:v>naive</x:v>
      </x:c>
      <x:c r="F1656" s="10" t="n">
        <x:v>4</x:v>
      </x:c>
      <x:c r="G1656" s="10" t="n">
        <x:v>5</x:v>
      </x:c>
      <x:c r="H1656" s="10" t="n">
        <x:f>ABS(G1656-F1656)</x:f>
        <x:v>1</x:v>
      </x:c>
      <x:c r="I1656" s="10" t="n">
        <x:f>G1656-F1656</x:f>
        <x:v>1</x:v>
      </x:c>
    </x:row>
    <x:row r="1657" ht="20" customHeight="1">
      <x:c r="A1657" s="1" t="str">
        <x:v>22722</x:v>
      </x:c>
      <x:c r="B1657" s="10" t="n">
        <x:v>1</x:v>
      </x:c>
      <x:c r="C1657" s="9" t="d">
        <x:v>2011-10-19T00:00:00.000Z</x:v>
      </x:c>
      <x:c r="D1657" s="9" t="d">
        <x:v>2011-11-02T00:00:00.000Z</x:v>
      </x:c>
      <x:c r="E1657" s="1" t="str">
        <x:v>naive</x:v>
      </x:c>
      <x:c r="F1657" s="10" t="n">
        <x:v>25</x:v>
      </x:c>
      <x:c r="G1657" s="10" t="n">
        <x:v>5</x:v>
      </x:c>
      <x:c r="H1657" s="10" t="n">
        <x:f>ABS(G1657-F1657)</x:f>
        <x:v>20</x:v>
      </x:c>
      <x:c r="I1657" s="10" t="n">
        <x:f>G1657-F1657</x:f>
        <x:v>-20</x:v>
      </x:c>
    </x:row>
    <x:row r="1658" ht="20" customHeight="1">
      <x:c r="A1658" s="1" t="str">
        <x:v>22722</x:v>
      </x:c>
      <x:c r="B1658" s="10" t="n">
        <x:v>1</x:v>
      </x:c>
      <x:c r="C1658" s="9" t="d">
        <x:v>2011-10-19T00:00:00.000Z</x:v>
      </x:c>
      <x:c r="D1658" s="9" t="d">
        <x:v>2011-10-20T00:00:00.000Z</x:v>
      </x:c>
      <x:c r="E1658" s="1" t="str">
        <x:v>seasonal_naive</x:v>
      </x:c>
      <x:c r="F1658" s="10" t="n">
        <x:v>1</x:v>
      </x:c>
      <x:c r="G1658" s="10" t="n">
        <x:v>5</x:v>
      </x:c>
      <x:c r="H1658" s="10" t="n">
        <x:f>ABS(G1658-F1658)</x:f>
        <x:v>4</x:v>
      </x:c>
      <x:c r="I1658" s="10" t="n">
        <x:f>G1658-F1658</x:f>
        <x:v>4</x:v>
      </x:c>
    </x:row>
    <x:row r="1659" ht="20" customHeight="1">
      <x:c r="A1659" s="1" t="str">
        <x:v>22722</x:v>
      </x:c>
      <x:c r="B1659" s="10" t="n">
        <x:v>1</x:v>
      </x:c>
      <x:c r="C1659" s="9" t="d">
        <x:v>2011-10-19T00:00:00.000Z</x:v>
      </x:c>
      <x:c r="D1659" s="9" t="d">
        <x:v>2011-10-21T00:00:00.000Z</x:v>
      </x:c>
      <x:c r="E1659" s="1" t="str">
        <x:v>seasonal_naive</x:v>
      </x:c>
      <x:c r="F1659" s="10" t="n">
        <x:v>4</x:v>
      </x:c>
      <x:c r="G1659" s="10" t="n">
        <x:v>21</x:v>
      </x:c>
      <x:c r="H1659" s="10" t="n">
        <x:f>ABS(G1659-F1659)</x:f>
        <x:v>17</x:v>
      </x:c>
      <x:c r="I1659" s="10" t="n">
        <x:f>G1659-F1659</x:f>
        <x:v>17</x:v>
      </x:c>
    </x:row>
    <x:row r="1660" ht="20" customHeight="1">
      <x:c r="A1660" s="1" t="str">
        <x:v>22722</x:v>
      </x:c>
      <x:c r="B1660" s="10" t="n">
        <x:v>1</x:v>
      </x:c>
      <x:c r="C1660" s="9" t="d">
        <x:v>2011-10-19T00:00:00.000Z</x:v>
      </x:c>
      <x:c r="D1660" s="9" t="d">
        <x:v>2011-10-22T00:00:00.000Z</x:v>
      </x:c>
      <x:c r="E1660" s="1" t="str">
        <x:v>seasonal_naive</x:v>
      </x:c>
      <x:c r="F1660" s="10" t="n">
        <x:v>0</x:v>
      </x:c>
      <x:c r="G1660" s="10" t="n">
        <x:v>0</x:v>
      </x:c>
      <x:c r="H1660" s="10" t="n">
        <x:f>ABS(G1660-F1660)</x:f>
        <x:v>0</x:v>
      </x:c>
      <x:c r="I1660" s="10" t="n">
        <x:f>G1660-F1660</x:f>
        <x:v>0</x:v>
      </x:c>
    </x:row>
    <x:row r="1661" ht="20" customHeight="1">
      <x:c r="A1661" s="1" t="str">
        <x:v>22722</x:v>
      </x:c>
      <x:c r="B1661" s="10" t="n">
        <x:v>1</x:v>
      </x:c>
      <x:c r="C1661" s="9" t="d">
        <x:v>2011-10-19T00:00:00.000Z</x:v>
      </x:c>
      <x:c r="D1661" s="9" t="d">
        <x:v>2011-10-23T00:00:00.000Z</x:v>
      </x:c>
      <x:c r="E1661" s="1" t="str">
        <x:v>seasonal_naive</x:v>
      </x:c>
      <x:c r="F1661" s="10" t="n">
        <x:v>3</x:v>
      </x:c>
      <x:c r="G1661" s="10" t="n">
        <x:v>5</x:v>
      </x:c>
      <x:c r="H1661" s="10" t="n">
        <x:f>ABS(G1661-F1661)</x:f>
        <x:v>2</x:v>
      </x:c>
      <x:c r="I1661" s="10" t="n">
        <x:f>G1661-F1661</x:f>
        <x:v>2</x:v>
      </x:c>
    </x:row>
    <x:row r="1662" ht="20" customHeight="1">
      <x:c r="A1662" s="1" t="str">
        <x:v>22722</x:v>
      </x:c>
      <x:c r="B1662" s="10" t="n">
        <x:v>1</x:v>
      </x:c>
      <x:c r="C1662" s="9" t="d">
        <x:v>2011-10-19T00:00:00.000Z</x:v>
      </x:c>
      <x:c r="D1662" s="9" t="d">
        <x:v>2011-10-24T00:00:00.000Z</x:v>
      </x:c>
      <x:c r="E1662" s="1" t="str">
        <x:v>seasonal_naive</x:v>
      </x:c>
      <x:c r="F1662" s="10" t="n">
        <x:v>32</x:v>
      </x:c>
      <x:c r="G1662" s="10" t="n">
        <x:v>0</x:v>
      </x:c>
      <x:c r="H1662" s="10" t="n">
        <x:f>ABS(G1662-F1662)</x:f>
        <x:v>32</x:v>
      </x:c>
      <x:c r="I1662" s="10" t="n">
        <x:f>G1662-F1662</x:f>
        <x:v>-32</x:v>
      </x:c>
    </x:row>
    <x:row r="1663" ht="20" customHeight="1">
      <x:c r="A1663" s="1" t="str">
        <x:v>22722</x:v>
      </x:c>
      <x:c r="B1663" s="10" t="n">
        <x:v>1</x:v>
      </x:c>
      <x:c r="C1663" s="9" t="d">
        <x:v>2011-10-19T00:00:00.000Z</x:v>
      </x:c>
      <x:c r="D1663" s="9" t="d">
        <x:v>2011-10-25T00:00:00.000Z</x:v>
      </x:c>
      <x:c r="E1663" s="1" t="str">
        <x:v>seasonal_naive</x:v>
      </x:c>
      <x:c r="F1663" s="10" t="n">
        <x:v>66</x:v>
      </x:c>
      <x:c r="G1663" s="10" t="n">
        <x:v>9</x:v>
      </x:c>
      <x:c r="H1663" s="10" t="n">
        <x:f>ABS(G1663-F1663)</x:f>
        <x:v>57</x:v>
      </x:c>
      <x:c r="I1663" s="10" t="n">
        <x:f>G1663-F1663</x:f>
        <x:v>-57</x:v>
      </x:c>
    </x:row>
    <x:row r="1664" ht="20" customHeight="1">
      <x:c r="A1664" s="1" t="str">
        <x:v>22722</x:v>
      </x:c>
      <x:c r="B1664" s="10" t="n">
        <x:v>1</x:v>
      </x:c>
      <x:c r="C1664" s="9" t="d">
        <x:v>2011-10-19T00:00:00.000Z</x:v>
      </x:c>
      <x:c r="D1664" s="9" t="d">
        <x:v>2011-10-26T00:00:00.000Z</x:v>
      </x:c>
      <x:c r="E1664" s="1" t="str">
        <x:v>seasonal_naive</x:v>
      </x:c>
      <x:c r="F1664" s="10" t="n">
        <x:v>20</x:v>
      </x:c>
      <x:c r="G1664" s="10" t="n">
        <x:v>5</x:v>
      </x:c>
      <x:c r="H1664" s="10" t="n">
        <x:f>ABS(G1664-F1664)</x:f>
        <x:v>15</x:v>
      </x:c>
      <x:c r="I1664" s="10" t="n">
        <x:f>G1664-F1664</x:f>
        <x:v>-15</x:v>
      </x:c>
    </x:row>
    <x:row r="1665" ht="20" customHeight="1">
      <x:c r="A1665" s="1" t="str">
        <x:v>22722</x:v>
      </x:c>
      <x:c r="B1665" s="10" t="n">
        <x:v>1</x:v>
      </x:c>
      <x:c r="C1665" s="9" t="d">
        <x:v>2011-10-19T00:00:00.000Z</x:v>
      </x:c>
      <x:c r="D1665" s="9" t="d">
        <x:v>2011-10-27T00:00:00.000Z</x:v>
      </x:c>
      <x:c r="E1665" s="1" t="str">
        <x:v>seasonal_naive</x:v>
      </x:c>
      <x:c r="F1665" s="10" t="n">
        <x:v>18</x:v>
      </x:c>
      <x:c r="G1665" s="10" t="n">
        <x:v>5</x:v>
      </x:c>
      <x:c r="H1665" s="10" t="n">
        <x:f>ABS(G1665-F1665)</x:f>
        <x:v>13</x:v>
      </x:c>
      <x:c r="I1665" s="10" t="n">
        <x:f>G1665-F1665</x:f>
        <x:v>-13</x:v>
      </x:c>
    </x:row>
    <x:row r="1666" ht="20" customHeight="1">
      <x:c r="A1666" s="1" t="str">
        <x:v>22722</x:v>
      </x:c>
      <x:c r="B1666" s="10" t="n">
        <x:v>1</x:v>
      </x:c>
      <x:c r="C1666" s="9" t="d">
        <x:v>2011-10-19T00:00:00.000Z</x:v>
      </x:c>
      <x:c r="D1666" s="9" t="d">
        <x:v>2011-10-28T00:00:00.000Z</x:v>
      </x:c>
      <x:c r="E1666" s="1" t="str">
        <x:v>seasonal_naive</x:v>
      </x:c>
      <x:c r="F1666" s="10" t="n">
        <x:v>0</x:v>
      </x:c>
      <x:c r="G1666" s="10" t="n">
        <x:v>21</x:v>
      </x:c>
      <x:c r="H1666" s="10" t="n">
        <x:f>ABS(G1666-F1666)</x:f>
        <x:v>21</x:v>
      </x:c>
      <x:c r="I1666" s="10" t="n">
        <x:f>G1666-F1666</x:f>
        <x:v>21</x:v>
      </x:c>
    </x:row>
    <x:row r="1667" ht="20" customHeight="1">
      <x:c r="A1667" s="1" t="str">
        <x:v>22722</x:v>
      </x:c>
      <x:c r="B1667" s="10" t="n">
        <x:v>1</x:v>
      </x:c>
      <x:c r="C1667" s="9" t="d">
        <x:v>2011-10-19T00:00:00.000Z</x:v>
      </x:c>
      <x:c r="D1667" s="9" t="d">
        <x:v>2011-10-29T00:00:00.000Z</x:v>
      </x:c>
      <x:c r="E1667" s="1" t="str">
        <x:v>seasonal_naive</x:v>
      </x:c>
      <x:c r="F1667" s="10" t="n">
        <x:v>0</x:v>
      </x:c>
      <x:c r="G1667" s="10" t="n">
        <x:v>0</x:v>
      </x:c>
      <x:c r="H1667" s="10" t="n">
        <x:f>ABS(G1667-F1667)</x:f>
        <x:v>0</x:v>
      </x:c>
      <x:c r="I1667" s="10" t="n">
        <x:f>G1667-F1667</x:f>
        <x:v>0</x:v>
      </x:c>
    </x:row>
    <x:row r="1668" ht="20" customHeight="1">
      <x:c r="A1668" s="1" t="str">
        <x:v>22722</x:v>
      </x:c>
      <x:c r="B1668" s="10" t="n">
        <x:v>1</x:v>
      </x:c>
      <x:c r="C1668" s="9" t="d">
        <x:v>2011-10-19T00:00:00.000Z</x:v>
      </x:c>
      <x:c r="D1668" s="9" t="d">
        <x:v>2011-10-30T00:00:00.000Z</x:v>
      </x:c>
      <x:c r="E1668" s="1" t="str">
        <x:v>seasonal_naive</x:v>
      </x:c>
      <x:c r="F1668" s="10" t="n">
        <x:v>20</x:v>
      </x:c>
      <x:c r="G1668" s="10" t="n">
        <x:v>5</x:v>
      </x:c>
      <x:c r="H1668" s="10" t="n">
        <x:f>ABS(G1668-F1668)</x:f>
        <x:v>15</x:v>
      </x:c>
      <x:c r="I1668" s="10" t="n">
        <x:f>G1668-F1668</x:f>
        <x:v>-15</x:v>
      </x:c>
    </x:row>
    <x:row r="1669" ht="20" customHeight="1">
      <x:c r="A1669" s="1" t="str">
        <x:v>22722</x:v>
      </x:c>
      <x:c r="B1669" s="10" t="n">
        <x:v>1</x:v>
      </x:c>
      <x:c r="C1669" s="9" t="d">
        <x:v>2011-10-19T00:00:00.000Z</x:v>
      </x:c>
      <x:c r="D1669" s="9" t="d">
        <x:v>2011-10-31T00:00:00.000Z</x:v>
      </x:c>
      <x:c r="E1669" s="1" t="str">
        <x:v>seasonal_naive</x:v>
      </x:c>
      <x:c r="F1669" s="10" t="n">
        <x:v>11</x:v>
      </x:c>
      <x:c r="G1669" s="10" t="n">
        <x:v>0</x:v>
      </x:c>
      <x:c r="H1669" s="10" t="n">
        <x:f>ABS(G1669-F1669)</x:f>
        <x:v>11</x:v>
      </x:c>
      <x:c r="I1669" s="10" t="n">
        <x:f>G1669-F1669</x:f>
        <x:v>-11</x:v>
      </x:c>
    </x:row>
    <x:row r="1670" ht="20" customHeight="1">
      <x:c r="A1670" s="1" t="str">
        <x:v>22722</x:v>
      </x:c>
      <x:c r="B1670" s="10" t="n">
        <x:v>1</x:v>
      </x:c>
      <x:c r="C1670" s="9" t="d">
        <x:v>2011-10-19T00:00:00.000Z</x:v>
      </x:c>
      <x:c r="D1670" s="9" t="d">
        <x:v>2011-11-01T00:00:00.000Z</x:v>
      </x:c>
      <x:c r="E1670" s="1" t="str">
        <x:v>seasonal_naive</x:v>
      </x:c>
      <x:c r="F1670" s="10" t="n">
        <x:v>4</x:v>
      </x:c>
      <x:c r="G1670" s="10" t="n">
        <x:v>9</x:v>
      </x:c>
      <x:c r="H1670" s="10" t="n">
        <x:f>ABS(G1670-F1670)</x:f>
        <x:v>5</x:v>
      </x:c>
      <x:c r="I1670" s="10" t="n">
        <x:f>G1670-F1670</x:f>
        <x:v>5</x:v>
      </x:c>
    </x:row>
    <x:row r="1671" ht="20" customHeight="1">
      <x:c r="A1671" s="1" t="str">
        <x:v>22722</x:v>
      </x:c>
      <x:c r="B1671" s="10" t="n">
        <x:v>1</x:v>
      </x:c>
      <x:c r="C1671" s="9" t="d">
        <x:v>2011-10-19T00:00:00.000Z</x:v>
      </x:c>
      <x:c r="D1671" s="9" t="d">
        <x:v>2011-11-02T00:00:00.000Z</x:v>
      </x:c>
      <x:c r="E1671" s="1" t="str">
        <x:v>seasonal_naive</x:v>
      </x:c>
      <x:c r="F1671" s="10" t="n">
        <x:v>25</x:v>
      </x:c>
      <x:c r="G1671" s="10" t="n">
        <x:v>5</x:v>
      </x:c>
      <x:c r="H1671" s="10" t="n">
        <x:f>ABS(G1671-F1671)</x:f>
        <x:v>20</x:v>
      </x:c>
      <x:c r="I1671" s="10" t="n">
        <x:f>G1671-F1671</x:f>
        <x:v>-20</x:v>
      </x:c>
    </x:row>
    <x:row r="1672" ht="20" customHeight="1">
      <x:c r="A1672" s="1" t="str">
        <x:v>22722</x:v>
      </x:c>
      <x:c r="B1672" s="10" t="n">
        <x:v>1</x:v>
      </x:c>
      <x:c r="C1672" s="9" t="d">
        <x:v>2011-10-19T00:00:00.000Z</x:v>
      </x:c>
      <x:c r="D1672" s="9" t="d">
        <x:v>2011-10-20T00:00:00.000Z</x:v>
      </x:c>
      <x:c r="E1672" s="1" t="str">
        <x:v>ridge</x:v>
      </x:c>
      <x:c r="F1672" s="10" t="n">
        <x:v>1</x:v>
      </x:c>
      <x:c r="G1672" s="10" t="n">
        <x:v>27.5397075985</x:v>
      </x:c>
      <x:c r="H1672" s="10" t="n">
        <x:f>ABS(G1672-F1672)</x:f>
        <x:v>26.5397075985</x:v>
      </x:c>
      <x:c r="I1672" s="10" t="n">
        <x:f>G1672-F1672</x:f>
        <x:v>26.5397075985</x:v>
      </x:c>
    </x:row>
    <x:row r="1673" ht="20" customHeight="1">
      <x:c r="A1673" s="1" t="str">
        <x:v>22722</x:v>
      </x:c>
      <x:c r="B1673" s="10" t="n">
        <x:v>1</x:v>
      </x:c>
      <x:c r="C1673" s="9" t="d">
        <x:v>2011-10-19T00:00:00.000Z</x:v>
      </x:c>
      <x:c r="D1673" s="9" t="d">
        <x:v>2011-10-21T00:00:00.000Z</x:v>
      </x:c>
      <x:c r="E1673" s="1" t="str">
        <x:v>ridge</x:v>
      </x:c>
      <x:c r="F1673" s="10" t="n">
        <x:v>4</x:v>
      </x:c>
      <x:c r="G1673" s="10" t="n">
        <x:v>12.5835560845</x:v>
      </x:c>
      <x:c r="H1673" s="10" t="n">
        <x:f>ABS(G1673-F1673)</x:f>
        <x:v>8.5835560845</x:v>
      </x:c>
      <x:c r="I1673" s="10" t="n">
        <x:f>G1673-F1673</x:f>
        <x:v>8.5835560845</x:v>
      </x:c>
    </x:row>
    <x:row r="1674" ht="20" customHeight="1">
      <x:c r="A1674" s="1" t="str">
        <x:v>22722</x:v>
      </x:c>
      <x:c r="B1674" s="10" t="n">
        <x:v>1</x:v>
      </x:c>
      <x:c r="C1674" s="9" t="d">
        <x:v>2011-10-19T00:00:00.000Z</x:v>
      </x:c>
      <x:c r="D1674" s="9" t="d">
        <x:v>2011-10-22T00:00:00.000Z</x:v>
      </x:c>
      <x:c r="E1674" s="1" t="str">
        <x:v>ridge</x:v>
      </x:c>
      <x:c r="F1674" s="10" t="n">
        <x:v>0</x:v>
      </x:c>
      <x:c r="G1674" s="10" t="n">
        <x:v>5.4595394682</x:v>
      </x:c>
      <x:c r="H1674" s="10" t="n">
        <x:f>ABS(G1674-F1674)</x:f>
        <x:v>5.4595394682</x:v>
      </x:c>
      <x:c r="I1674" s="10" t="n">
        <x:f>G1674-F1674</x:f>
        <x:v>5.4595394682</x:v>
      </x:c>
    </x:row>
    <x:row r="1675" ht="20" customHeight="1">
      <x:c r="A1675" s="1" t="str">
        <x:v>22722</x:v>
      </x:c>
      <x:c r="B1675" s="10" t="n">
        <x:v>1</x:v>
      </x:c>
      <x:c r="C1675" s="9" t="d">
        <x:v>2011-10-19T00:00:00.000Z</x:v>
      </x:c>
      <x:c r="D1675" s="9" t="d">
        <x:v>2011-10-23T00:00:00.000Z</x:v>
      </x:c>
      <x:c r="E1675" s="1" t="str">
        <x:v>ridge</x:v>
      </x:c>
      <x:c r="F1675" s="10" t="n">
        <x:v>3</x:v>
      </x:c>
      <x:c r="G1675" s="10" t="n">
        <x:v>7.8047261304</x:v>
      </x:c>
      <x:c r="H1675" s="10" t="n">
        <x:f>ABS(G1675-F1675)</x:f>
        <x:v>4.8047261304</x:v>
      </x:c>
      <x:c r="I1675" s="10" t="n">
        <x:f>G1675-F1675</x:f>
        <x:v>4.8047261304</x:v>
      </x:c>
    </x:row>
    <x:row r="1676" ht="20" customHeight="1">
      <x:c r="A1676" s="1" t="str">
        <x:v>22722</x:v>
      </x:c>
      <x:c r="B1676" s="10" t="n">
        <x:v>1</x:v>
      </x:c>
      <x:c r="C1676" s="9" t="d">
        <x:v>2011-10-19T00:00:00.000Z</x:v>
      </x:c>
      <x:c r="D1676" s="9" t="d">
        <x:v>2011-10-24T00:00:00.000Z</x:v>
      </x:c>
      <x:c r="E1676" s="1" t="str">
        <x:v>ridge</x:v>
      </x:c>
      <x:c r="F1676" s="10" t="n">
        <x:v>32</x:v>
      </x:c>
      <x:c r="G1676" s="10" t="n">
        <x:v>18.6707225456</x:v>
      </x:c>
      <x:c r="H1676" s="10" t="n">
        <x:f>ABS(G1676-F1676)</x:f>
        <x:v>13.3292774544</x:v>
      </x:c>
      <x:c r="I1676" s="10" t="n">
        <x:f>G1676-F1676</x:f>
        <x:v>-13.3292774544</x:v>
      </x:c>
    </x:row>
    <x:row r="1677" ht="20" customHeight="1">
      <x:c r="A1677" s="1" t="str">
        <x:v>22722</x:v>
      </x:c>
      <x:c r="B1677" s="10" t="n">
        <x:v>1</x:v>
      </x:c>
      <x:c r="C1677" s="9" t="d">
        <x:v>2011-10-19T00:00:00.000Z</x:v>
      </x:c>
      <x:c r="D1677" s="9" t="d">
        <x:v>2011-10-25T00:00:00.000Z</x:v>
      </x:c>
      <x:c r="E1677" s="1" t="str">
        <x:v>ridge</x:v>
      </x:c>
      <x:c r="F1677" s="10" t="n">
        <x:v>66</x:v>
      </x:c>
      <x:c r="G1677" s="10" t="n">
        <x:v>29.9684039038</x:v>
      </x:c>
      <x:c r="H1677" s="10" t="n">
        <x:f>ABS(G1677-F1677)</x:f>
        <x:v>36.031596096200005</x:v>
      </x:c>
      <x:c r="I1677" s="10" t="n">
        <x:f>G1677-F1677</x:f>
        <x:v>-36.031596096200005</x:v>
      </x:c>
    </x:row>
    <x:row r="1678" ht="20" customHeight="1">
      <x:c r="A1678" s="1" t="str">
        <x:v>22722</x:v>
      </x:c>
      <x:c r="B1678" s="10" t="n">
        <x:v>1</x:v>
      </x:c>
      <x:c r="C1678" s="9" t="d">
        <x:v>2011-10-19T00:00:00.000Z</x:v>
      </x:c>
      <x:c r="D1678" s="9" t="d">
        <x:v>2011-10-26T00:00:00.000Z</x:v>
      </x:c>
      <x:c r="E1678" s="1" t="str">
        <x:v>ridge</x:v>
      </x:c>
      <x:c r="F1678" s="10" t="n">
        <x:v>20</x:v>
      </x:c>
      <x:c r="G1678" s="10" t="n">
        <x:v>34.9067932173</x:v>
      </x:c>
      <x:c r="H1678" s="10" t="n">
        <x:f>ABS(G1678-F1678)</x:f>
        <x:v>14.906793217299999</x:v>
      </x:c>
      <x:c r="I1678" s="10" t="n">
        <x:f>G1678-F1678</x:f>
        <x:v>14.906793217299999</x:v>
      </x:c>
    </x:row>
    <x:row r="1679" ht="20" customHeight="1">
      <x:c r="A1679" s="1" t="str">
        <x:v>22722</x:v>
      </x:c>
      <x:c r="B1679" s="10" t="n">
        <x:v>1</x:v>
      </x:c>
      <x:c r="C1679" s="9" t="d">
        <x:v>2011-10-19T00:00:00.000Z</x:v>
      </x:c>
      <x:c r="D1679" s="9" t="d">
        <x:v>2011-10-27T00:00:00.000Z</x:v>
      </x:c>
      <x:c r="E1679" s="1" t="str">
        <x:v>ridge</x:v>
      </x:c>
      <x:c r="F1679" s="10" t="n">
        <x:v>18</x:v>
      </x:c>
      <x:c r="G1679" s="10" t="n">
        <x:v>26.020275012</x:v>
      </x:c>
      <x:c r="H1679" s="10" t="n">
        <x:f>ABS(G1679-F1679)</x:f>
        <x:v>8.020275011999999</x:v>
      </x:c>
      <x:c r="I1679" s="10" t="n">
        <x:f>G1679-F1679</x:f>
        <x:v>8.020275011999999</x:v>
      </x:c>
    </x:row>
    <x:row r="1680" ht="20" customHeight="1">
      <x:c r="A1680" s="1" t="str">
        <x:v>22722</x:v>
      </x:c>
      <x:c r="B1680" s="10" t="n">
        <x:v>1</x:v>
      </x:c>
      <x:c r="C1680" s="9" t="d">
        <x:v>2011-10-19T00:00:00.000Z</x:v>
      </x:c>
      <x:c r="D1680" s="9" t="d">
        <x:v>2011-10-28T00:00:00.000Z</x:v>
      </x:c>
      <x:c r="E1680" s="1" t="str">
        <x:v>ridge</x:v>
      </x:c>
      <x:c r="F1680" s="10" t="n">
        <x:v>0</x:v>
      </x:c>
      <x:c r="G1680" s="10" t="n">
        <x:v>12.9273176685</x:v>
      </x:c>
      <x:c r="H1680" s="10" t="n">
        <x:f>ABS(G1680-F1680)</x:f>
        <x:v>12.9273176685</x:v>
      </x:c>
      <x:c r="I1680" s="10" t="n">
        <x:f>G1680-F1680</x:f>
        <x:v>12.9273176685</x:v>
      </x:c>
    </x:row>
    <x:row r="1681" ht="20" customHeight="1">
      <x:c r="A1681" s="1" t="str">
        <x:v>22722</x:v>
      </x:c>
      <x:c r="B1681" s="10" t="n">
        <x:v>1</x:v>
      </x:c>
      <x:c r="C1681" s="9" t="d">
        <x:v>2011-10-19T00:00:00.000Z</x:v>
      </x:c>
      <x:c r="D1681" s="9" t="d">
        <x:v>2011-10-29T00:00:00.000Z</x:v>
      </x:c>
      <x:c r="E1681" s="1" t="str">
        <x:v>ridge</x:v>
      </x:c>
      <x:c r="F1681" s="10" t="n">
        <x:v>0</x:v>
      </x:c>
      <x:c r="G1681" s="10" t="n">
        <x:v>5.127132042</x:v>
      </x:c>
      <x:c r="H1681" s="10" t="n">
        <x:f>ABS(G1681-F1681)</x:f>
        <x:v>5.127132042</x:v>
      </x:c>
      <x:c r="I1681" s="10" t="n">
        <x:f>G1681-F1681</x:f>
        <x:v>5.127132042</x:v>
      </x:c>
    </x:row>
    <x:row r="1682" ht="20" customHeight="1">
      <x:c r="A1682" s="1" t="str">
        <x:v>22722</x:v>
      </x:c>
      <x:c r="B1682" s="10" t="n">
        <x:v>1</x:v>
      </x:c>
      <x:c r="C1682" s="9" t="d">
        <x:v>2011-10-19T00:00:00.000Z</x:v>
      </x:c>
      <x:c r="D1682" s="9" t="d">
        <x:v>2011-10-30T00:00:00.000Z</x:v>
      </x:c>
      <x:c r="E1682" s="1" t="str">
        <x:v>ridge</x:v>
      </x:c>
      <x:c r="F1682" s="10" t="n">
        <x:v>20</x:v>
      </x:c>
      <x:c r="G1682" s="10" t="n">
        <x:v>7.6233423212</x:v>
      </x:c>
      <x:c r="H1682" s="10" t="n">
        <x:f>ABS(G1682-F1682)</x:f>
        <x:v>12.376657678800001</x:v>
      </x:c>
      <x:c r="I1682" s="10" t="n">
        <x:f>G1682-F1682</x:f>
        <x:v>-12.376657678800001</x:v>
      </x:c>
    </x:row>
    <x:row r="1683" ht="20" customHeight="1">
      <x:c r="A1683" s="1" t="str">
        <x:v>22722</x:v>
      </x:c>
      <x:c r="B1683" s="10" t="n">
        <x:v>1</x:v>
      </x:c>
      <x:c r="C1683" s="9" t="d">
        <x:v>2011-10-19T00:00:00.000Z</x:v>
      </x:c>
      <x:c r="D1683" s="9" t="d">
        <x:v>2011-10-31T00:00:00.000Z</x:v>
      </x:c>
      <x:c r="E1683" s="1" t="str">
        <x:v>ridge</x:v>
      </x:c>
      <x:c r="F1683" s="10" t="n">
        <x:v>11</x:v>
      </x:c>
      <x:c r="G1683" s="10" t="n">
        <x:v>19.3667435467</x:v>
      </x:c>
      <x:c r="H1683" s="10" t="n">
        <x:f>ABS(G1683-F1683)</x:f>
        <x:v>8.3667435467</x:v>
      </x:c>
      <x:c r="I1683" s="10" t="n">
        <x:f>G1683-F1683</x:f>
        <x:v>8.3667435467</x:v>
      </x:c>
    </x:row>
    <x:row r="1684" ht="20" customHeight="1">
      <x:c r="A1684" s="1" t="str">
        <x:v>22722</x:v>
      </x:c>
      <x:c r="B1684" s="10" t="n">
        <x:v>1</x:v>
      </x:c>
      <x:c r="C1684" s="9" t="d">
        <x:v>2011-10-19T00:00:00.000Z</x:v>
      </x:c>
      <x:c r="D1684" s="9" t="d">
        <x:v>2011-11-01T00:00:00.000Z</x:v>
      </x:c>
      <x:c r="E1684" s="1" t="str">
        <x:v>ridge</x:v>
      </x:c>
      <x:c r="F1684" s="10" t="n">
        <x:v>4</x:v>
      </x:c>
      <x:c r="G1684" s="10" t="n">
        <x:v>31.032483918</x:v>
      </x:c>
      <x:c r="H1684" s="10" t="n">
        <x:f>ABS(G1684-F1684)</x:f>
        <x:v>27.032483918</x:v>
      </x:c>
      <x:c r="I1684" s="10" t="n">
        <x:f>G1684-F1684</x:f>
        <x:v>27.032483918</x:v>
      </x:c>
    </x:row>
    <x:row r="1685" ht="20" customHeight="1">
      <x:c r="A1685" s="1" t="str">
        <x:v>22722</x:v>
      </x:c>
      <x:c r="B1685" s="10" t="n">
        <x:v>1</x:v>
      </x:c>
      <x:c r="C1685" s="9" t="d">
        <x:v>2011-10-19T00:00:00.000Z</x:v>
      </x:c>
      <x:c r="D1685" s="9" t="d">
        <x:v>2011-11-02T00:00:00.000Z</x:v>
      </x:c>
      <x:c r="E1685" s="1" t="str">
        <x:v>ridge</x:v>
      </x:c>
      <x:c r="F1685" s="10" t="n">
        <x:v>25</x:v>
      </x:c>
      <x:c r="G1685" s="10" t="n">
        <x:v>34.2218290668</x:v>
      </x:c>
      <x:c r="H1685" s="10" t="n">
        <x:f>ABS(G1685-F1685)</x:f>
        <x:v>9.221829066799998</x:v>
      </x:c>
      <x:c r="I1685" s="10" t="n">
        <x:f>G1685-F1685</x:f>
        <x:v>9.221829066799998</x:v>
      </x:c>
    </x:row>
    <x:row r="1686" ht="20" customHeight="1">
      <x:c r="A1686" s="1" t="str">
        <x:v>22722</x:v>
      </x:c>
      <x:c r="B1686" s="10" t="n">
        <x:v>2</x:v>
      </x:c>
      <x:c r="C1686" s="9" t="d">
        <x:v>2011-11-02T00:00:00.000Z</x:v>
      </x:c>
      <x:c r="D1686" s="9" t="d">
        <x:v>2011-11-03T00:00:00.000Z</x:v>
      </x:c>
      <x:c r="E1686" s="1" t="str">
        <x:v>naive</x:v>
      </x:c>
      <x:c r="F1686" s="10" t="n">
        <x:v>9</x:v>
      </x:c>
      <x:c r="G1686" s="10" t="n">
        <x:v>25</x:v>
      </x:c>
      <x:c r="H1686" s="10" t="n">
        <x:f>ABS(G1686-F1686)</x:f>
        <x:v>16</x:v>
      </x:c>
      <x:c r="I1686" s="10" t="n">
        <x:f>G1686-F1686</x:f>
        <x:v>16</x:v>
      </x:c>
    </x:row>
    <x:row r="1687" ht="20" customHeight="1">
      <x:c r="A1687" s="1" t="str">
        <x:v>22722</x:v>
      </x:c>
      <x:c r="B1687" s="10" t="n">
        <x:v>2</x:v>
      </x:c>
      <x:c r="C1687" s="9" t="d">
        <x:v>2011-11-02T00:00:00.000Z</x:v>
      </x:c>
      <x:c r="D1687" s="9" t="d">
        <x:v>2011-11-04T00:00:00.000Z</x:v>
      </x:c>
      <x:c r="E1687" s="1" t="str">
        <x:v>naive</x:v>
      </x:c>
      <x:c r="F1687" s="10" t="n">
        <x:v>9</x:v>
      </x:c>
      <x:c r="G1687" s="10" t="n">
        <x:v>25</x:v>
      </x:c>
      <x:c r="H1687" s="10" t="n">
        <x:f>ABS(G1687-F1687)</x:f>
        <x:v>16</x:v>
      </x:c>
      <x:c r="I1687" s="10" t="n">
        <x:f>G1687-F1687</x:f>
        <x:v>16</x:v>
      </x:c>
    </x:row>
    <x:row r="1688" ht="20" customHeight="1">
      <x:c r="A1688" s="1" t="str">
        <x:v>22722</x:v>
      </x:c>
      <x:c r="B1688" s="10" t="n">
        <x:v>2</x:v>
      </x:c>
      <x:c r="C1688" s="9" t="d">
        <x:v>2011-11-02T00:00:00.000Z</x:v>
      </x:c>
      <x:c r="D1688" s="9" t="d">
        <x:v>2011-11-05T00:00:00.000Z</x:v>
      </x:c>
      <x:c r="E1688" s="1" t="str">
        <x:v>naive</x:v>
      </x:c>
      <x:c r="F1688" s="10" t="n">
        <x:v>0</x:v>
      </x:c>
      <x:c r="G1688" s="10" t="n">
        <x:v>25</x:v>
      </x:c>
      <x:c r="H1688" s="10" t="n">
        <x:f>ABS(G1688-F1688)</x:f>
        <x:v>25</x:v>
      </x:c>
      <x:c r="I1688" s="10" t="n">
        <x:f>G1688-F1688</x:f>
        <x:v>25</x:v>
      </x:c>
    </x:row>
    <x:row r="1689" ht="20" customHeight="1">
      <x:c r="A1689" s="1" t="str">
        <x:v>22722</x:v>
      </x:c>
      <x:c r="B1689" s="10" t="n">
        <x:v>2</x:v>
      </x:c>
      <x:c r="C1689" s="9" t="d">
        <x:v>2011-11-02T00:00:00.000Z</x:v>
      </x:c>
      <x:c r="D1689" s="9" t="d">
        <x:v>2011-11-06T00:00:00.000Z</x:v>
      </x:c>
      <x:c r="E1689" s="1" t="str">
        <x:v>naive</x:v>
      </x:c>
      <x:c r="F1689" s="10" t="n">
        <x:v>8</x:v>
      </x:c>
      <x:c r="G1689" s="10" t="n">
        <x:v>25</x:v>
      </x:c>
      <x:c r="H1689" s="10" t="n">
        <x:f>ABS(G1689-F1689)</x:f>
        <x:v>17</x:v>
      </x:c>
      <x:c r="I1689" s="10" t="n">
        <x:f>G1689-F1689</x:f>
        <x:v>17</x:v>
      </x:c>
    </x:row>
    <x:row r="1690" ht="20" customHeight="1">
      <x:c r="A1690" s="1" t="str">
        <x:v>22722</x:v>
      </x:c>
      <x:c r="B1690" s="10" t="n">
        <x:v>2</x:v>
      </x:c>
      <x:c r="C1690" s="9" t="d">
        <x:v>2011-11-02T00:00:00.000Z</x:v>
      </x:c>
      <x:c r="D1690" s="9" t="d">
        <x:v>2011-11-07T00:00:00.000Z</x:v>
      </x:c>
      <x:c r="E1690" s="1" t="str">
        <x:v>naive</x:v>
      </x:c>
      <x:c r="F1690" s="10" t="n">
        <x:v>12</x:v>
      </x:c>
      <x:c r="G1690" s="10" t="n">
        <x:v>25</x:v>
      </x:c>
      <x:c r="H1690" s="10" t="n">
        <x:f>ABS(G1690-F1690)</x:f>
        <x:v>13</x:v>
      </x:c>
      <x:c r="I1690" s="10" t="n">
        <x:f>G1690-F1690</x:f>
        <x:v>13</x:v>
      </x:c>
    </x:row>
    <x:row r="1691" ht="20" customHeight="1">
      <x:c r="A1691" s="1" t="str">
        <x:v>22722</x:v>
      </x:c>
      <x:c r="B1691" s="10" t="n">
        <x:v>2</x:v>
      </x:c>
      <x:c r="C1691" s="9" t="d">
        <x:v>2011-11-02T00:00:00.000Z</x:v>
      </x:c>
      <x:c r="D1691" s="9" t="d">
        <x:v>2011-11-08T00:00:00.000Z</x:v>
      </x:c>
      <x:c r="E1691" s="1" t="str">
        <x:v>naive</x:v>
      </x:c>
      <x:c r="F1691" s="10" t="n">
        <x:v>65</x:v>
      </x:c>
      <x:c r="G1691" s="10" t="n">
        <x:v>25</x:v>
      </x:c>
      <x:c r="H1691" s="10" t="n">
        <x:f>ABS(G1691-F1691)</x:f>
        <x:v>40</x:v>
      </x:c>
      <x:c r="I1691" s="10" t="n">
        <x:f>G1691-F1691</x:f>
        <x:v>-40</x:v>
      </x:c>
    </x:row>
    <x:row r="1692" ht="20" customHeight="1">
      <x:c r="A1692" s="1" t="str">
        <x:v>22722</x:v>
      </x:c>
      <x:c r="B1692" s="10" t="n">
        <x:v>2</x:v>
      </x:c>
      <x:c r="C1692" s="9" t="d">
        <x:v>2011-11-02T00:00:00.000Z</x:v>
      </x:c>
      <x:c r="D1692" s="9" t="d">
        <x:v>2011-11-09T00:00:00.000Z</x:v>
      </x:c>
      <x:c r="E1692" s="1" t="str">
        <x:v>naive</x:v>
      </x:c>
      <x:c r="F1692" s="10" t="n">
        <x:v>32</x:v>
      </x:c>
      <x:c r="G1692" s="10" t="n">
        <x:v>25</x:v>
      </x:c>
      <x:c r="H1692" s="10" t="n">
        <x:f>ABS(G1692-F1692)</x:f>
        <x:v>7</x:v>
      </x:c>
      <x:c r="I1692" s="10" t="n">
        <x:f>G1692-F1692</x:f>
        <x:v>-7</x:v>
      </x:c>
    </x:row>
    <x:row r="1693" ht="20" customHeight="1">
      <x:c r="A1693" s="1" t="str">
        <x:v>22722</x:v>
      </x:c>
      <x:c r="B1693" s="10" t="n">
        <x:v>2</x:v>
      </x:c>
      <x:c r="C1693" s="9" t="d">
        <x:v>2011-11-02T00:00:00.000Z</x:v>
      </x:c>
      <x:c r="D1693" s="9" t="d">
        <x:v>2011-11-10T00:00:00.000Z</x:v>
      </x:c>
      <x:c r="E1693" s="1" t="str">
        <x:v>naive</x:v>
      </x:c>
      <x:c r="F1693" s="10" t="n">
        <x:v>18</x:v>
      </x:c>
      <x:c r="G1693" s="10" t="n">
        <x:v>25</x:v>
      </x:c>
      <x:c r="H1693" s="10" t="n">
        <x:f>ABS(G1693-F1693)</x:f>
        <x:v>7</x:v>
      </x:c>
      <x:c r="I1693" s="10" t="n">
        <x:f>G1693-F1693</x:f>
        <x:v>7</x:v>
      </x:c>
    </x:row>
    <x:row r="1694" ht="20" customHeight="1">
      <x:c r="A1694" s="1" t="str">
        <x:v>22722</x:v>
      </x:c>
      <x:c r="B1694" s="10" t="n">
        <x:v>2</x:v>
      </x:c>
      <x:c r="C1694" s="9" t="d">
        <x:v>2011-11-02T00:00:00.000Z</x:v>
      </x:c>
      <x:c r="D1694" s="9" t="d">
        <x:v>2011-11-11T00:00:00.000Z</x:v>
      </x:c>
      <x:c r="E1694" s="1" t="str">
        <x:v>naive</x:v>
      </x:c>
      <x:c r="F1694" s="10" t="n">
        <x:v>48</x:v>
      </x:c>
      <x:c r="G1694" s="10" t="n">
        <x:v>25</x:v>
      </x:c>
      <x:c r="H1694" s="10" t="n">
        <x:f>ABS(G1694-F1694)</x:f>
        <x:v>23</x:v>
      </x:c>
      <x:c r="I1694" s="10" t="n">
        <x:f>G1694-F1694</x:f>
        <x:v>-23</x:v>
      </x:c>
    </x:row>
    <x:row r="1695" ht="20" customHeight="1">
      <x:c r="A1695" s="1" t="str">
        <x:v>22722</x:v>
      </x:c>
      <x:c r="B1695" s="10" t="n">
        <x:v>2</x:v>
      </x:c>
      <x:c r="C1695" s="9" t="d">
        <x:v>2011-11-02T00:00:00.000Z</x:v>
      </x:c>
      <x:c r="D1695" s="9" t="d">
        <x:v>2011-11-12T00:00:00.000Z</x:v>
      </x:c>
      <x:c r="E1695" s="1" t="str">
        <x:v>naive</x:v>
      </x:c>
      <x:c r="F1695" s="10" t="n">
        <x:v>0</x:v>
      </x:c>
      <x:c r="G1695" s="10" t="n">
        <x:v>25</x:v>
      </x:c>
      <x:c r="H1695" s="10" t="n">
        <x:f>ABS(G1695-F1695)</x:f>
        <x:v>25</x:v>
      </x:c>
      <x:c r="I1695" s="10" t="n">
        <x:f>G1695-F1695</x:f>
        <x:v>25</x:v>
      </x:c>
    </x:row>
    <x:row r="1696" ht="20" customHeight="1">
      <x:c r="A1696" s="1" t="str">
        <x:v>22722</x:v>
      </x:c>
      <x:c r="B1696" s="10" t="n">
        <x:v>2</x:v>
      </x:c>
      <x:c r="C1696" s="9" t="d">
        <x:v>2011-11-02T00:00:00.000Z</x:v>
      </x:c>
      <x:c r="D1696" s="9" t="d">
        <x:v>2011-11-13T00:00:00.000Z</x:v>
      </x:c>
      <x:c r="E1696" s="1" t="str">
        <x:v>naive</x:v>
      </x:c>
      <x:c r="F1696" s="10" t="n">
        <x:v>33</x:v>
      </x:c>
      <x:c r="G1696" s="10" t="n">
        <x:v>25</x:v>
      </x:c>
      <x:c r="H1696" s="10" t="n">
        <x:f>ABS(G1696-F1696)</x:f>
        <x:v>8</x:v>
      </x:c>
      <x:c r="I1696" s="10" t="n">
        <x:f>G1696-F1696</x:f>
        <x:v>-8</x:v>
      </x:c>
    </x:row>
    <x:row r="1697" ht="20" customHeight="1">
      <x:c r="A1697" s="1" t="str">
        <x:v>22722</x:v>
      </x:c>
      <x:c r="B1697" s="10" t="n">
        <x:v>2</x:v>
      </x:c>
      <x:c r="C1697" s="9" t="d">
        <x:v>2011-11-02T00:00:00.000Z</x:v>
      </x:c>
      <x:c r="D1697" s="9" t="d">
        <x:v>2011-11-14T00:00:00.000Z</x:v>
      </x:c>
      <x:c r="E1697" s="1" t="str">
        <x:v>naive</x:v>
      </x:c>
      <x:c r="F1697" s="10" t="n">
        <x:v>13</x:v>
      </x:c>
      <x:c r="G1697" s="10" t="n">
        <x:v>25</x:v>
      </x:c>
      <x:c r="H1697" s="10" t="n">
        <x:f>ABS(G1697-F1697)</x:f>
        <x:v>12</x:v>
      </x:c>
      <x:c r="I1697" s="10" t="n">
        <x:f>G1697-F1697</x:f>
        <x:v>12</x:v>
      </x:c>
    </x:row>
    <x:row r="1698" ht="20" customHeight="1">
      <x:c r="A1698" s="1" t="str">
        <x:v>22722</x:v>
      </x:c>
      <x:c r="B1698" s="10" t="n">
        <x:v>2</x:v>
      </x:c>
      <x:c r="C1698" s="9" t="d">
        <x:v>2011-11-02T00:00:00.000Z</x:v>
      </x:c>
      <x:c r="D1698" s="9" t="d">
        <x:v>2011-11-15T00:00:00.000Z</x:v>
      </x:c>
      <x:c r="E1698" s="1" t="str">
        <x:v>naive</x:v>
      </x:c>
      <x:c r="F1698" s="10" t="n">
        <x:v>9</x:v>
      </x:c>
      <x:c r="G1698" s="10" t="n">
        <x:v>25</x:v>
      </x:c>
      <x:c r="H1698" s="10" t="n">
        <x:f>ABS(G1698-F1698)</x:f>
        <x:v>16</x:v>
      </x:c>
      <x:c r="I1698" s="10" t="n">
        <x:f>G1698-F1698</x:f>
        <x:v>16</x:v>
      </x:c>
    </x:row>
    <x:row r="1699" ht="20" customHeight="1">
      <x:c r="A1699" s="1" t="str">
        <x:v>22722</x:v>
      </x:c>
      <x:c r="B1699" s="10" t="n">
        <x:v>2</x:v>
      </x:c>
      <x:c r="C1699" s="9" t="d">
        <x:v>2011-11-02T00:00:00.000Z</x:v>
      </x:c>
      <x:c r="D1699" s="9" t="d">
        <x:v>2011-11-16T00:00:00.000Z</x:v>
      </x:c>
      <x:c r="E1699" s="1" t="str">
        <x:v>naive</x:v>
      </x:c>
      <x:c r="F1699" s="10" t="n">
        <x:v>36</x:v>
      </x:c>
      <x:c r="G1699" s="10" t="n">
        <x:v>25</x:v>
      </x:c>
      <x:c r="H1699" s="10" t="n">
        <x:f>ABS(G1699-F1699)</x:f>
        <x:v>11</x:v>
      </x:c>
      <x:c r="I1699" s="10" t="n">
        <x:f>G1699-F1699</x:f>
        <x:v>-11</x:v>
      </x:c>
    </x:row>
    <x:row r="1700" ht="20" customHeight="1">
      <x:c r="A1700" s="1" t="str">
        <x:v>22722</x:v>
      </x:c>
      <x:c r="B1700" s="10" t="n">
        <x:v>2</x:v>
      </x:c>
      <x:c r="C1700" s="9" t="d">
        <x:v>2011-11-02T00:00:00.000Z</x:v>
      </x:c>
      <x:c r="D1700" s="9" t="d">
        <x:v>2011-11-03T00:00:00.000Z</x:v>
      </x:c>
      <x:c r="E1700" s="1" t="str">
        <x:v>seasonal_naive</x:v>
      </x:c>
      <x:c r="F1700" s="10" t="n">
        <x:v>9</x:v>
      </x:c>
      <x:c r="G1700" s="10" t="n">
        <x:v>18</x:v>
      </x:c>
      <x:c r="H1700" s="10" t="n">
        <x:f>ABS(G1700-F1700)</x:f>
        <x:v>9</x:v>
      </x:c>
      <x:c r="I1700" s="10" t="n">
        <x:f>G1700-F1700</x:f>
        <x:v>9</x:v>
      </x:c>
    </x:row>
    <x:row r="1701" ht="20" customHeight="1">
      <x:c r="A1701" s="1" t="str">
        <x:v>22722</x:v>
      </x:c>
      <x:c r="B1701" s="10" t="n">
        <x:v>2</x:v>
      </x:c>
      <x:c r="C1701" s="9" t="d">
        <x:v>2011-11-02T00:00:00.000Z</x:v>
      </x:c>
      <x:c r="D1701" s="9" t="d">
        <x:v>2011-11-04T00:00:00.000Z</x:v>
      </x:c>
      <x:c r="E1701" s="1" t="str">
        <x:v>seasonal_naive</x:v>
      </x:c>
      <x:c r="F1701" s="10" t="n">
        <x:v>9</x:v>
      </x:c>
      <x:c r="G1701" s="10" t="n">
        <x:v>0</x:v>
      </x:c>
      <x:c r="H1701" s="10" t="n">
        <x:f>ABS(G1701-F1701)</x:f>
        <x:v>9</x:v>
      </x:c>
      <x:c r="I1701" s="10" t="n">
        <x:f>G1701-F1701</x:f>
        <x:v>-9</x:v>
      </x:c>
    </x:row>
    <x:row r="1702" ht="20" customHeight="1">
      <x:c r="A1702" s="1" t="str">
        <x:v>22722</x:v>
      </x:c>
      <x:c r="B1702" s="10" t="n">
        <x:v>2</x:v>
      </x:c>
      <x:c r="C1702" s="9" t="d">
        <x:v>2011-11-02T00:00:00.000Z</x:v>
      </x:c>
      <x:c r="D1702" s="9" t="d">
        <x:v>2011-11-05T00:00:00.000Z</x:v>
      </x:c>
      <x:c r="E1702" s="1" t="str">
        <x:v>seasonal_naive</x:v>
      </x:c>
      <x:c r="F1702" s="10" t="n">
        <x:v>0</x:v>
      </x:c>
      <x:c r="G1702" s="10" t="n">
        <x:v>0</x:v>
      </x:c>
      <x:c r="H1702" s="10" t="n">
        <x:f>ABS(G1702-F1702)</x:f>
        <x:v>0</x:v>
      </x:c>
      <x:c r="I1702" s="10" t="n">
        <x:f>G1702-F1702</x:f>
        <x:v>0</x:v>
      </x:c>
    </x:row>
    <x:row r="1703" ht="20" customHeight="1">
      <x:c r="A1703" s="1" t="str">
        <x:v>22722</x:v>
      </x:c>
      <x:c r="B1703" s="10" t="n">
        <x:v>2</x:v>
      </x:c>
      <x:c r="C1703" s="9" t="d">
        <x:v>2011-11-02T00:00:00.000Z</x:v>
      </x:c>
      <x:c r="D1703" s="9" t="d">
        <x:v>2011-11-06T00:00:00.000Z</x:v>
      </x:c>
      <x:c r="E1703" s="1" t="str">
        <x:v>seasonal_naive</x:v>
      </x:c>
      <x:c r="F1703" s="10" t="n">
        <x:v>8</x:v>
      </x:c>
      <x:c r="G1703" s="10" t="n">
        <x:v>20</x:v>
      </x:c>
      <x:c r="H1703" s="10" t="n">
        <x:f>ABS(G1703-F1703)</x:f>
        <x:v>12</x:v>
      </x:c>
      <x:c r="I1703" s="10" t="n">
        <x:f>G1703-F1703</x:f>
        <x:v>12</x:v>
      </x:c>
    </x:row>
    <x:row r="1704" ht="20" customHeight="1">
      <x:c r="A1704" s="1" t="str">
        <x:v>22722</x:v>
      </x:c>
      <x:c r="B1704" s="10" t="n">
        <x:v>2</x:v>
      </x:c>
      <x:c r="C1704" s="9" t="d">
        <x:v>2011-11-02T00:00:00.000Z</x:v>
      </x:c>
      <x:c r="D1704" s="9" t="d">
        <x:v>2011-11-07T00:00:00.000Z</x:v>
      </x:c>
      <x:c r="E1704" s="1" t="str">
        <x:v>seasonal_naive</x:v>
      </x:c>
      <x:c r="F1704" s="10" t="n">
        <x:v>12</x:v>
      </x:c>
      <x:c r="G1704" s="10" t="n">
        <x:v>11</x:v>
      </x:c>
      <x:c r="H1704" s="10" t="n">
        <x:f>ABS(G1704-F1704)</x:f>
        <x:v>1</x:v>
      </x:c>
      <x:c r="I1704" s="10" t="n">
        <x:f>G1704-F1704</x:f>
        <x:v>-1</x:v>
      </x:c>
    </x:row>
    <x:row r="1705" ht="20" customHeight="1">
      <x:c r="A1705" s="1" t="str">
        <x:v>22722</x:v>
      </x:c>
      <x:c r="B1705" s="10" t="n">
        <x:v>2</x:v>
      </x:c>
      <x:c r="C1705" s="9" t="d">
        <x:v>2011-11-02T00:00:00.000Z</x:v>
      </x:c>
      <x:c r="D1705" s="9" t="d">
        <x:v>2011-11-08T00:00:00.000Z</x:v>
      </x:c>
      <x:c r="E1705" s="1" t="str">
        <x:v>seasonal_naive</x:v>
      </x:c>
      <x:c r="F1705" s="10" t="n">
        <x:v>65</x:v>
      </x:c>
      <x:c r="G1705" s="10" t="n">
        <x:v>4</x:v>
      </x:c>
      <x:c r="H1705" s="10" t="n">
        <x:f>ABS(G1705-F1705)</x:f>
        <x:v>61</x:v>
      </x:c>
      <x:c r="I1705" s="10" t="n">
        <x:f>G1705-F1705</x:f>
        <x:v>-61</x:v>
      </x:c>
    </x:row>
    <x:row r="1706" ht="20" customHeight="1">
      <x:c r="A1706" s="1" t="str">
        <x:v>22722</x:v>
      </x:c>
      <x:c r="B1706" s="10" t="n">
        <x:v>2</x:v>
      </x:c>
      <x:c r="C1706" s="9" t="d">
        <x:v>2011-11-02T00:00:00.000Z</x:v>
      </x:c>
      <x:c r="D1706" s="9" t="d">
        <x:v>2011-11-09T00:00:00.000Z</x:v>
      </x:c>
      <x:c r="E1706" s="1" t="str">
        <x:v>seasonal_naive</x:v>
      </x:c>
      <x:c r="F1706" s="10" t="n">
        <x:v>32</x:v>
      </x:c>
      <x:c r="G1706" s="10" t="n">
        <x:v>25</x:v>
      </x:c>
      <x:c r="H1706" s="10" t="n">
        <x:f>ABS(G1706-F1706)</x:f>
        <x:v>7</x:v>
      </x:c>
      <x:c r="I1706" s="10" t="n">
        <x:f>G1706-F1706</x:f>
        <x:v>-7</x:v>
      </x:c>
    </x:row>
    <x:row r="1707" ht="20" customHeight="1">
      <x:c r="A1707" s="1" t="str">
        <x:v>22722</x:v>
      </x:c>
      <x:c r="B1707" s="10" t="n">
        <x:v>2</x:v>
      </x:c>
      <x:c r="C1707" s="9" t="d">
        <x:v>2011-11-02T00:00:00.000Z</x:v>
      </x:c>
      <x:c r="D1707" s="9" t="d">
        <x:v>2011-11-10T00:00:00.000Z</x:v>
      </x:c>
      <x:c r="E1707" s="1" t="str">
        <x:v>seasonal_naive</x:v>
      </x:c>
      <x:c r="F1707" s="10" t="n">
        <x:v>18</x:v>
      </x:c>
      <x:c r="G1707" s="10" t="n">
        <x:v>18</x:v>
      </x:c>
      <x:c r="H1707" s="10" t="n">
        <x:f>ABS(G1707-F1707)</x:f>
        <x:v>0</x:v>
      </x:c>
      <x:c r="I1707" s="10" t="n">
        <x:f>G1707-F1707</x:f>
        <x:v>0</x:v>
      </x:c>
    </x:row>
    <x:row r="1708" ht="20" customHeight="1">
      <x:c r="A1708" s="1" t="str">
        <x:v>22722</x:v>
      </x:c>
      <x:c r="B1708" s="10" t="n">
        <x:v>2</x:v>
      </x:c>
      <x:c r="C1708" s="9" t="d">
        <x:v>2011-11-02T00:00:00.000Z</x:v>
      </x:c>
      <x:c r="D1708" s="9" t="d">
        <x:v>2011-11-11T00:00:00.000Z</x:v>
      </x:c>
      <x:c r="E1708" s="1" t="str">
        <x:v>seasonal_naive</x:v>
      </x:c>
      <x:c r="F1708" s="10" t="n">
        <x:v>48</x:v>
      </x:c>
      <x:c r="G1708" s="10" t="n">
        <x:v>0</x:v>
      </x:c>
      <x:c r="H1708" s="10" t="n">
        <x:f>ABS(G1708-F1708)</x:f>
        <x:v>48</x:v>
      </x:c>
      <x:c r="I1708" s="10" t="n">
        <x:f>G1708-F1708</x:f>
        <x:v>-48</x:v>
      </x:c>
    </x:row>
    <x:row r="1709" ht="20" customHeight="1">
      <x:c r="A1709" s="1" t="str">
        <x:v>22722</x:v>
      </x:c>
      <x:c r="B1709" s="10" t="n">
        <x:v>2</x:v>
      </x:c>
      <x:c r="C1709" s="9" t="d">
        <x:v>2011-11-02T00:00:00.000Z</x:v>
      </x:c>
      <x:c r="D1709" s="9" t="d">
        <x:v>2011-11-12T00:00:00.000Z</x:v>
      </x:c>
      <x:c r="E1709" s="1" t="str">
        <x:v>seasonal_naive</x:v>
      </x:c>
      <x:c r="F1709" s="10" t="n">
        <x:v>0</x:v>
      </x:c>
      <x:c r="G1709" s="10" t="n">
        <x:v>0</x:v>
      </x:c>
      <x:c r="H1709" s="10" t="n">
        <x:f>ABS(G1709-F1709)</x:f>
        <x:v>0</x:v>
      </x:c>
      <x:c r="I1709" s="10" t="n">
        <x:f>G1709-F1709</x:f>
        <x:v>0</x:v>
      </x:c>
    </x:row>
    <x:row r="1710" ht="20" customHeight="1">
      <x:c r="A1710" s="1" t="str">
        <x:v>22722</x:v>
      </x:c>
      <x:c r="B1710" s="10" t="n">
        <x:v>2</x:v>
      </x:c>
      <x:c r="C1710" s="9" t="d">
        <x:v>2011-11-02T00:00:00.000Z</x:v>
      </x:c>
      <x:c r="D1710" s="9" t="d">
        <x:v>2011-11-13T00:00:00.000Z</x:v>
      </x:c>
      <x:c r="E1710" s="1" t="str">
        <x:v>seasonal_naive</x:v>
      </x:c>
      <x:c r="F1710" s="10" t="n">
        <x:v>33</x:v>
      </x:c>
      <x:c r="G1710" s="10" t="n">
        <x:v>20</x:v>
      </x:c>
      <x:c r="H1710" s="10" t="n">
        <x:f>ABS(G1710-F1710)</x:f>
        <x:v>13</x:v>
      </x:c>
      <x:c r="I1710" s="10" t="n">
        <x:f>G1710-F1710</x:f>
        <x:v>-13</x:v>
      </x:c>
    </x:row>
    <x:row r="1711" ht="20" customHeight="1">
      <x:c r="A1711" s="1" t="str">
        <x:v>22722</x:v>
      </x:c>
      <x:c r="B1711" s="10" t="n">
        <x:v>2</x:v>
      </x:c>
      <x:c r="C1711" s="9" t="d">
        <x:v>2011-11-02T00:00:00.000Z</x:v>
      </x:c>
      <x:c r="D1711" s="9" t="d">
        <x:v>2011-11-14T00:00:00.000Z</x:v>
      </x:c>
      <x:c r="E1711" s="1" t="str">
        <x:v>seasonal_naive</x:v>
      </x:c>
      <x:c r="F1711" s="10" t="n">
        <x:v>13</x:v>
      </x:c>
      <x:c r="G1711" s="10" t="n">
        <x:v>11</x:v>
      </x:c>
      <x:c r="H1711" s="10" t="n">
        <x:f>ABS(G1711-F1711)</x:f>
        <x:v>2</x:v>
      </x:c>
      <x:c r="I1711" s="10" t="n">
        <x:f>G1711-F1711</x:f>
        <x:v>-2</x:v>
      </x:c>
    </x:row>
    <x:row r="1712" ht="20" customHeight="1">
      <x:c r="A1712" s="1" t="str">
        <x:v>22722</x:v>
      </x:c>
      <x:c r="B1712" s="10" t="n">
        <x:v>2</x:v>
      </x:c>
      <x:c r="C1712" s="9" t="d">
        <x:v>2011-11-02T00:00:00.000Z</x:v>
      </x:c>
      <x:c r="D1712" s="9" t="d">
        <x:v>2011-11-15T00:00:00.000Z</x:v>
      </x:c>
      <x:c r="E1712" s="1" t="str">
        <x:v>seasonal_naive</x:v>
      </x:c>
      <x:c r="F1712" s="10" t="n">
        <x:v>9</x:v>
      </x:c>
      <x:c r="G1712" s="10" t="n">
        <x:v>4</x:v>
      </x:c>
      <x:c r="H1712" s="10" t="n">
        <x:f>ABS(G1712-F1712)</x:f>
        <x:v>5</x:v>
      </x:c>
      <x:c r="I1712" s="10" t="n">
        <x:f>G1712-F1712</x:f>
        <x:v>-5</x:v>
      </x:c>
    </x:row>
    <x:row r="1713" ht="20" customHeight="1">
      <x:c r="A1713" s="1" t="str">
        <x:v>22722</x:v>
      </x:c>
      <x:c r="B1713" s="10" t="n">
        <x:v>2</x:v>
      </x:c>
      <x:c r="C1713" s="9" t="d">
        <x:v>2011-11-02T00:00:00.000Z</x:v>
      </x:c>
      <x:c r="D1713" s="9" t="d">
        <x:v>2011-11-16T00:00:00.000Z</x:v>
      </x:c>
      <x:c r="E1713" s="1" t="str">
        <x:v>seasonal_naive</x:v>
      </x:c>
      <x:c r="F1713" s="10" t="n">
        <x:v>36</x:v>
      </x:c>
      <x:c r="G1713" s="10" t="n">
        <x:v>25</x:v>
      </x:c>
      <x:c r="H1713" s="10" t="n">
        <x:f>ABS(G1713-F1713)</x:f>
        <x:v>11</x:v>
      </x:c>
      <x:c r="I1713" s="10" t="n">
        <x:f>G1713-F1713</x:f>
        <x:v>-11</x:v>
      </x:c>
    </x:row>
    <x:row r="1714" ht="20" customHeight="1">
      <x:c r="A1714" s="1" t="str">
        <x:v>22722</x:v>
      </x:c>
      <x:c r="B1714" s="10" t="n">
        <x:v>2</x:v>
      </x:c>
      <x:c r="C1714" s="9" t="d">
        <x:v>2011-11-02T00:00:00.000Z</x:v>
      </x:c>
      <x:c r="D1714" s="9" t="d">
        <x:v>2011-11-03T00:00:00.000Z</x:v>
      </x:c>
      <x:c r="E1714" s="1" t="str">
        <x:v>ridge</x:v>
      </x:c>
      <x:c r="F1714" s="10" t="n">
        <x:v>9</x:v>
      </x:c>
      <x:c r="G1714" s="10" t="n">
        <x:v>23.0772013634</x:v>
      </x:c>
      <x:c r="H1714" s="10" t="n">
        <x:f>ABS(G1714-F1714)</x:f>
        <x:v>14.0772013634</x:v>
      </x:c>
      <x:c r="I1714" s="10" t="n">
        <x:f>G1714-F1714</x:f>
        <x:v>14.0772013634</x:v>
      </x:c>
    </x:row>
    <x:row r="1715" ht="20" customHeight="1">
      <x:c r="A1715" s="1" t="str">
        <x:v>22722</x:v>
      </x:c>
      <x:c r="B1715" s="10" t="n">
        <x:v>2</x:v>
      </x:c>
      <x:c r="C1715" s="9" t="d">
        <x:v>2011-11-02T00:00:00.000Z</x:v>
      </x:c>
      <x:c r="D1715" s="9" t="d">
        <x:v>2011-11-04T00:00:00.000Z</x:v>
      </x:c>
      <x:c r="E1715" s="1" t="str">
        <x:v>ridge</x:v>
      </x:c>
      <x:c r="F1715" s="10" t="n">
        <x:v>9</x:v>
      </x:c>
      <x:c r="G1715" s="10" t="n">
        <x:v>10.2084506143</x:v>
      </x:c>
      <x:c r="H1715" s="10" t="n">
        <x:f>ABS(G1715-F1715)</x:f>
        <x:v>1.2084506143000002</x:v>
      </x:c>
      <x:c r="I1715" s="10" t="n">
        <x:f>G1715-F1715</x:f>
        <x:v>1.2084506143000002</x:v>
      </x:c>
    </x:row>
    <x:row r="1716" ht="20" customHeight="1">
      <x:c r="A1716" s="1" t="str">
        <x:v>22722</x:v>
      </x:c>
      <x:c r="B1716" s="10" t="n">
        <x:v>2</x:v>
      </x:c>
      <x:c r="C1716" s="9" t="d">
        <x:v>2011-11-02T00:00:00.000Z</x:v>
      </x:c>
      <x:c r="D1716" s="9" t="d">
        <x:v>2011-11-05T00:00:00.000Z</x:v>
      </x:c>
      <x:c r="E1716" s="1" t="str">
        <x:v>ridge</x:v>
      </x:c>
      <x:c r="F1716" s="10" t="n">
        <x:v>0</x:v>
      </x:c>
      <x:c r="G1716" s="10" t="n">
        <x:v>2.003290965</x:v>
      </x:c>
      <x:c r="H1716" s="10" t="n">
        <x:f>ABS(G1716-F1716)</x:f>
        <x:v>2.003290965</x:v>
      </x:c>
      <x:c r="I1716" s="10" t="n">
        <x:f>G1716-F1716</x:f>
        <x:v>2.003290965</x:v>
      </x:c>
    </x:row>
    <x:row r="1717" ht="20" customHeight="1">
      <x:c r="A1717" s="1" t="str">
        <x:v>22722</x:v>
      </x:c>
      <x:c r="B1717" s="10" t="n">
        <x:v>2</x:v>
      </x:c>
      <x:c r="C1717" s="9" t="d">
        <x:v>2011-11-02T00:00:00.000Z</x:v>
      </x:c>
      <x:c r="D1717" s="9" t="d">
        <x:v>2011-11-06T00:00:00.000Z</x:v>
      </x:c>
      <x:c r="E1717" s="1" t="str">
        <x:v>ridge</x:v>
      </x:c>
      <x:c r="F1717" s="10" t="n">
        <x:v>8</x:v>
      </x:c>
      <x:c r="G1717" s="10" t="n">
        <x:v>4.4506586162</x:v>
      </x:c>
      <x:c r="H1717" s="10" t="n">
        <x:f>ABS(G1717-F1717)</x:f>
        <x:v>3.5493413838</x:v>
      </x:c>
      <x:c r="I1717" s="10" t="n">
        <x:f>G1717-F1717</x:f>
        <x:v>-3.5493413838</x:v>
      </x:c>
    </x:row>
    <x:row r="1718" ht="20" customHeight="1">
      <x:c r="A1718" s="1" t="str">
        <x:v>22722</x:v>
      </x:c>
      <x:c r="B1718" s="10" t="n">
        <x:v>2</x:v>
      </x:c>
      <x:c r="C1718" s="9" t="d">
        <x:v>2011-11-02T00:00:00.000Z</x:v>
      </x:c>
      <x:c r="D1718" s="9" t="d">
        <x:v>2011-11-07T00:00:00.000Z</x:v>
      </x:c>
      <x:c r="E1718" s="1" t="str">
        <x:v>ridge</x:v>
      </x:c>
      <x:c r="F1718" s="10" t="n">
        <x:v>12</x:v>
      </x:c>
      <x:c r="G1718" s="10" t="n">
        <x:v>16.0239816999</x:v>
      </x:c>
      <x:c r="H1718" s="10" t="n">
        <x:f>ABS(G1718-F1718)</x:f>
        <x:v>4.023981699899998</x:v>
      </x:c>
      <x:c r="I1718" s="10" t="n">
        <x:f>G1718-F1718</x:f>
        <x:v>4.023981699899998</x:v>
      </x:c>
    </x:row>
    <x:row r="1719" ht="20" customHeight="1">
      <x:c r="A1719" s="1" t="str">
        <x:v>22722</x:v>
      </x:c>
      <x:c r="B1719" s="10" t="n">
        <x:v>2</x:v>
      </x:c>
      <x:c r="C1719" s="9" t="d">
        <x:v>2011-11-02T00:00:00.000Z</x:v>
      </x:c>
      <x:c r="D1719" s="9" t="d">
        <x:v>2011-11-08T00:00:00.000Z</x:v>
      </x:c>
      <x:c r="E1719" s="1" t="str">
        <x:v>ridge</x:v>
      </x:c>
      <x:c r="F1719" s="10" t="n">
        <x:v>65</x:v>
      </x:c>
      <x:c r="G1719" s="10" t="n">
        <x:v>27.1776498099</x:v>
      </x:c>
      <x:c r="H1719" s="10" t="n">
        <x:f>ABS(G1719-F1719)</x:f>
        <x:v>37.822350190099996</x:v>
      </x:c>
      <x:c r="I1719" s="10" t="n">
        <x:f>G1719-F1719</x:f>
        <x:v>-37.822350190099996</x:v>
      </x:c>
    </x:row>
    <x:row r="1720" ht="20" customHeight="1">
      <x:c r="A1720" s="1" t="str">
        <x:v>22722</x:v>
      </x:c>
      <x:c r="B1720" s="10" t="n">
        <x:v>2</x:v>
      </x:c>
      <x:c r="C1720" s="9" t="d">
        <x:v>2011-11-02T00:00:00.000Z</x:v>
      </x:c>
      <x:c r="D1720" s="9" t="d">
        <x:v>2011-11-09T00:00:00.000Z</x:v>
      </x:c>
      <x:c r="E1720" s="1" t="str">
        <x:v>ridge</x:v>
      </x:c>
      <x:c r="F1720" s="10" t="n">
        <x:v>32</x:v>
      </x:c>
      <x:c r="G1720" s="10" t="n">
        <x:v>30.1674241385</x:v>
      </x:c>
      <x:c r="H1720" s="10" t="n">
        <x:f>ABS(G1720-F1720)</x:f>
        <x:v>1.8325758615000005</x:v>
      </x:c>
      <x:c r="I1720" s="10" t="n">
        <x:f>G1720-F1720</x:f>
        <x:v>-1.8325758615000005</x:v>
      </x:c>
    </x:row>
    <x:row r="1721" ht="20" customHeight="1">
      <x:c r="A1721" s="1" t="str">
        <x:v>22722</x:v>
      </x:c>
      <x:c r="B1721" s="10" t="n">
        <x:v>2</x:v>
      </x:c>
      <x:c r="C1721" s="9" t="d">
        <x:v>2011-11-02T00:00:00.000Z</x:v>
      </x:c>
      <x:c r="D1721" s="9" t="d">
        <x:v>2011-11-10T00:00:00.000Z</x:v>
      </x:c>
      <x:c r="E1721" s="1" t="str">
        <x:v>ridge</x:v>
      </x:c>
      <x:c r="F1721" s="10" t="n">
        <x:v>18</x:v>
      </x:c>
      <x:c r="G1721" s="10" t="n">
        <x:v>22.1291536122</x:v>
      </x:c>
      <x:c r="H1721" s="10" t="n">
        <x:f>ABS(G1721-F1721)</x:f>
        <x:v>4.1291536122</x:v>
      </x:c>
      <x:c r="I1721" s="10" t="n">
        <x:f>G1721-F1721</x:f>
        <x:v>4.1291536122</x:v>
      </x:c>
    </x:row>
    <x:row r="1722" ht="20" customHeight="1">
      <x:c r="A1722" s="1" t="str">
        <x:v>22722</x:v>
      </x:c>
      <x:c r="B1722" s="10" t="n">
        <x:v>2</x:v>
      </x:c>
      <x:c r="C1722" s="9" t="d">
        <x:v>2011-11-02T00:00:00.000Z</x:v>
      </x:c>
      <x:c r="D1722" s="9" t="d">
        <x:v>2011-11-11T00:00:00.000Z</x:v>
      </x:c>
      <x:c r="E1722" s="1" t="str">
        <x:v>ridge</x:v>
      </x:c>
      <x:c r="F1722" s="10" t="n">
        <x:v>48</x:v>
      </x:c>
      <x:c r="G1722" s="10" t="n">
        <x:v>9.7807868047</x:v>
      </x:c>
      <x:c r="H1722" s="10" t="n">
        <x:f>ABS(G1722-F1722)</x:f>
        <x:v>38.2192131953</x:v>
      </x:c>
      <x:c r="I1722" s="10" t="n">
        <x:f>G1722-F1722</x:f>
        <x:v>-38.2192131953</x:v>
      </x:c>
    </x:row>
    <x:row r="1723" ht="20" customHeight="1">
      <x:c r="A1723" s="1" t="str">
        <x:v>22722</x:v>
      </x:c>
      <x:c r="B1723" s="10" t="n">
        <x:v>2</x:v>
      </x:c>
      <x:c r="C1723" s="9" t="d">
        <x:v>2011-11-02T00:00:00.000Z</x:v>
      </x:c>
      <x:c r="D1723" s="9" t="d">
        <x:v>2011-11-12T00:00:00.000Z</x:v>
      </x:c>
      <x:c r="E1723" s="1" t="str">
        <x:v>ridge</x:v>
      </x:c>
      <x:c r="F1723" s="10" t="n">
        <x:v>0</x:v>
      </x:c>
      <x:c r="G1723" s="10" t="n">
        <x:v>1.7688237926</x:v>
      </x:c>
      <x:c r="H1723" s="10" t="n">
        <x:f>ABS(G1723-F1723)</x:f>
        <x:v>1.7688237926</x:v>
      </x:c>
      <x:c r="I1723" s="10" t="n">
        <x:f>G1723-F1723</x:f>
        <x:v>1.7688237926</x:v>
      </x:c>
    </x:row>
    <x:row r="1724" ht="20" customHeight="1">
      <x:c r="A1724" s="1" t="str">
        <x:v>22722</x:v>
      </x:c>
      <x:c r="B1724" s="10" t="n">
        <x:v>2</x:v>
      </x:c>
      <x:c r="C1724" s="9" t="d">
        <x:v>2011-11-02T00:00:00.000Z</x:v>
      </x:c>
      <x:c r="D1724" s="9" t="d">
        <x:v>2011-11-13T00:00:00.000Z</x:v>
      </x:c>
      <x:c r="E1724" s="1" t="str">
        <x:v>ridge</x:v>
      </x:c>
      <x:c r="F1724" s="10" t="n">
        <x:v>33</x:v>
      </x:c>
      <x:c r="G1724" s="10" t="n">
        <x:v>4.3193614042</x:v>
      </x:c>
      <x:c r="H1724" s="10" t="n">
        <x:f>ABS(G1724-F1724)</x:f>
        <x:v>28.680638595799998</x:v>
      </x:c>
      <x:c r="I1724" s="10" t="n">
        <x:f>G1724-F1724</x:f>
        <x:v>-28.680638595799998</x:v>
      </x:c>
    </x:row>
    <x:row r="1725" ht="20" customHeight="1">
      <x:c r="A1725" s="1" t="str">
        <x:v>22722</x:v>
      </x:c>
      <x:c r="B1725" s="10" t="n">
        <x:v>2</x:v>
      </x:c>
      <x:c r="C1725" s="9" t="d">
        <x:v>2011-11-02T00:00:00.000Z</x:v>
      </x:c>
      <x:c r="D1725" s="9" t="d">
        <x:v>2011-11-14T00:00:00.000Z</x:v>
      </x:c>
      <x:c r="E1725" s="1" t="str">
        <x:v>ridge</x:v>
      </x:c>
      <x:c r="F1725" s="10" t="n">
        <x:v>13</x:v>
      </x:c>
      <x:c r="G1725" s="10" t="n">
        <x:v>16.1335582604</x:v>
      </x:c>
      <x:c r="H1725" s="10" t="n">
        <x:f>ABS(G1725-F1725)</x:f>
        <x:v>3.133558260400001</x:v>
      </x:c>
      <x:c r="I1725" s="10" t="n">
        <x:f>G1725-F1725</x:f>
        <x:v>3.133558260400001</x:v>
      </x:c>
    </x:row>
    <x:row r="1726" ht="20" customHeight="1">
      <x:c r="A1726" s="1" t="str">
        <x:v>22722</x:v>
      </x:c>
      <x:c r="B1726" s="10" t="n">
        <x:v>2</x:v>
      </x:c>
      <x:c r="C1726" s="9" t="d">
        <x:v>2011-11-02T00:00:00.000Z</x:v>
      </x:c>
      <x:c r="D1726" s="9" t="d">
        <x:v>2011-11-15T00:00:00.000Z</x:v>
      </x:c>
      <x:c r="E1726" s="1" t="str">
        <x:v>ridge</x:v>
      </x:c>
      <x:c r="F1726" s="10" t="n">
        <x:v>9</x:v>
      </x:c>
      <x:c r="G1726" s="10" t="n">
        <x:v>27.92657443</x:v>
      </x:c>
      <x:c r="H1726" s="10" t="n">
        <x:f>ABS(G1726-F1726)</x:f>
        <x:v>18.92657443</x:v>
      </x:c>
      <x:c r="I1726" s="10" t="n">
        <x:f>G1726-F1726</x:f>
        <x:v>18.92657443</x:v>
      </x:c>
    </x:row>
    <x:row r="1727" ht="20" customHeight="1">
      <x:c r="A1727" s="1" t="str">
        <x:v>22722</x:v>
      </x:c>
      <x:c r="B1727" s="10" t="n">
        <x:v>2</x:v>
      </x:c>
      <x:c r="C1727" s="9" t="d">
        <x:v>2011-11-02T00:00:00.000Z</x:v>
      </x:c>
      <x:c r="D1727" s="9" t="d">
        <x:v>2011-11-16T00:00:00.000Z</x:v>
      </x:c>
      <x:c r="E1727" s="1" t="str">
        <x:v>ridge</x:v>
      </x:c>
      <x:c r="F1727" s="10" t="n">
        <x:v>36</x:v>
      </x:c>
      <x:c r="G1727" s="10" t="n">
        <x:v>30.3530534662</x:v>
      </x:c>
      <x:c r="H1727" s="10" t="n">
        <x:f>ABS(G1727-F1727)</x:f>
        <x:v>5.646946533800001</x:v>
      </x:c>
      <x:c r="I1727" s="10" t="n">
        <x:f>G1727-F1727</x:f>
        <x:v>-5.646946533800001</x:v>
      </x:c>
    </x:row>
    <x:row r="1728" ht="20" customHeight="1">
      <x:c r="A1728" s="1" t="str">
        <x:v>22722</x:v>
      </x:c>
      <x:c r="B1728" s="10" t="n">
        <x:v>3</x:v>
      </x:c>
      <x:c r="C1728" s="9" t="d">
        <x:v>2011-11-16T00:00:00.000Z</x:v>
      </x:c>
      <x:c r="D1728" s="9" t="d">
        <x:v>2011-11-17T00:00:00.000Z</x:v>
      </x:c>
      <x:c r="E1728" s="1" t="str">
        <x:v>naive</x:v>
      </x:c>
      <x:c r="F1728" s="10" t="n">
        <x:v>48</x:v>
      </x:c>
      <x:c r="G1728" s="10" t="n">
        <x:v>36</x:v>
      </x:c>
      <x:c r="H1728" s="10" t="n">
        <x:f>ABS(G1728-F1728)</x:f>
        <x:v>12</x:v>
      </x:c>
      <x:c r="I1728" s="10" t="n">
        <x:f>G1728-F1728</x:f>
        <x:v>-12</x:v>
      </x:c>
    </x:row>
    <x:row r="1729" ht="20" customHeight="1">
      <x:c r="A1729" s="1" t="str">
        <x:v>22722</x:v>
      </x:c>
      <x:c r="B1729" s="10" t="n">
        <x:v>3</x:v>
      </x:c>
      <x:c r="C1729" s="9" t="d">
        <x:v>2011-11-16T00:00:00.000Z</x:v>
      </x:c>
      <x:c r="D1729" s="9" t="d">
        <x:v>2011-11-18T00:00:00.000Z</x:v>
      </x:c>
      <x:c r="E1729" s="1" t="str">
        <x:v>naive</x:v>
      </x:c>
      <x:c r="F1729" s="10" t="n">
        <x:v>17</x:v>
      </x:c>
      <x:c r="G1729" s="10" t="n">
        <x:v>36</x:v>
      </x:c>
      <x:c r="H1729" s="10" t="n">
        <x:f>ABS(G1729-F1729)</x:f>
        <x:v>19</x:v>
      </x:c>
      <x:c r="I1729" s="10" t="n">
        <x:f>G1729-F1729</x:f>
        <x:v>19</x:v>
      </x:c>
    </x:row>
    <x:row r="1730" ht="20" customHeight="1">
      <x:c r="A1730" s="1" t="str">
        <x:v>22722</x:v>
      </x:c>
      <x:c r="B1730" s="10" t="n">
        <x:v>3</x:v>
      </x:c>
      <x:c r="C1730" s="9" t="d">
        <x:v>2011-11-16T00:00:00.000Z</x:v>
      </x:c>
      <x:c r="D1730" s="9" t="d">
        <x:v>2011-11-19T00:00:00.000Z</x:v>
      </x:c>
      <x:c r="E1730" s="1" t="str">
        <x:v>naive</x:v>
      </x:c>
      <x:c r="F1730" s="10" t="n">
        <x:v>0</x:v>
      </x:c>
      <x:c r="G1730" s="10" t="n">
        <x:v>36</x:v>
      </x:c>
      <x:c r="H1730" s="10" t="n">
        <x:f>ABS(G1730-F1730)</x:f>
        <x:v>36</x:v>
      </x:c>
      <x:c r="I1730" s="10" t="n">
        <x:f>G1730-F1730</x:f>
        <x:v>36</x:v>
      </x:c>
    </x:row>
    <x:row r="1731" ht="20" customHeight="1">
      <x:c r="A1731" s="1" t="str">
        <x:v>22722</x:v>
      </x:c>
      <x:c r="B1731" s="10" t="n">
        <x:v>3</x:v>
      </x:c>
      <x:c r="C1731" s="9" t="d">
        <x:v>2011-11-16T00:00:00.000Z</x:v>
      </x:c>
      <x:c r="D1731" s="9" t="d">
        <x:v>2011-11-20T00:00:00.000Z</x:v>
      </x:c>
      <x:c r="E1731" s="1" t="str">
        <x:v>naive</x:v>
      </x:c>
      <x:c r="F1731" s="10" t="n">
        <x:v>1</x:v>
      </x:c>
      <x:c r="G1731" s="10" t="n">
        <x:v>36</x:v>
      </x:c>
      <x:c r="H1731" s="10" t="n">
        <x:f>ABS(G1731-F1731)</x:f>
        <x:v>35</x:v>
      </x:c>
      <x:c r="I1731" s="10" t="n">
        <x:f>G1731-F1731</x:f>
        <x:v>35</x:v>
      </x:c>
    </x:row>
    <x:row r="1732" ht="20" customHeight="1">
      <x:c r="A1732" s="1" t="str">
        <x:v>22722</x:v>
      </x:c>
      <x:c r="B1732" s="10" t="n">
        <x:v>3</x:v>
      </x:c>
      <x:c r="C1732" s="9" t="d">
        <x:v>2011-11-16T00:00:00.000Z</x:v>
      </x:c>
      <x:c r="D1732" s="9" t="d">
        <x:v>2011-11-21T00:00:00.000Z</x:v>
      </x:c>
      <x:c r="E1732" s="1" t="str">
        <x:v>naive</x:v>
      </x:c>
      <x:c r="F1732" s="10" t="n">
        <x:v>15</x:v>
      </x:c>
      <x:c r="G1732" s="10" t="n">
        <x:v>36</x:v>
      </x:c>
      <x:c r="H1732" s="10" t="n">
        <x:f>ABS(G1732-F1732)</x:f>
        <x:v>21</x:v>
      </x:c>
      <x:c r="I1732" s="10" t="n">
        <x:f>G1732-F1732</x:f>
        <x:v>21</x:v>
      </x:c>
    </x:row>
    <x:row r="1733" ht="20" customHeight="1">
      <x:c r="A1733" s="1" t="str">
        <x:v>22722</x:v>
      </x:c>
      <x:c r="B1733" s="10" t="n">
        <x:v>3</x:v>
      </x:c>
      <x:c r="C1733" s="9" t="d">
        <x:v>2011-11-16T00:00:00.000Z</x:v>
      </x:c>
      <x:c r="D1733" s="9" t="d">
        <x:v>2011-11-22T00:00:00.000Z</x:v>
      </x:c>
      <x:c r="E1733" s="1" t="str">
        <x:v>naive</x:v>
      </x:c>
      <x:c r="F1733" s="10" t="n">
        <x:v>15</x:v>
      </x:c>
      <x:c r="G1733" s="10" t="n">
        <x:v>36</x:v>
      </x:c>
      <x:c r="H1733" s="10" t="n">
        <x:f>ABS(G1733-F1733)</x:f>
        <x:v>21</x:v>
      </x:c>
      <x:c r="I1733" s="10" t="n">
        <x:f>G1733-F1733</x:f>
        <x:v>21</x:v>
      </x:c>
    </x:row>
    <x:row r="1734" ht="20" customHeight="1">
      <x:c r="A1734" s="1" t="str">
        <x:v>22722</x:v>
      </x:c>
      <x:c r="B1734" s="10" t="n">
        <x:v>3</x:v>
      </x:c>
      <x:c r="C1734" s="9" t="d">
        <x:v>2011-11-16T00:00:00.000Z</x:v>
      </x:c>
      <x:c r="D1734" s="9" t="d">
        <x:v>2011-11-23T00:00:00.000Z</x:v>
      </x:c>
      <x:c r="E1734" s="1" t="str">
        <x:v>naive</x:v>
      </x:c>
      <x:c r="F1734" s="10" t="n">
        <x:v>33</x:v>
      </x:c>
      <x:c r="G1734" s="10" t="n">
        <x:v>36</x:v>
      </x:c>
      <x:c r="H1734" s="10" t="n">
        <x:f>ABS(G1734-F1734)</x:f>
        <x:v>3</x:v>
      </x:c>
      <x:c r="I1734" s="10" t="n">
        <x:f>G1734-F1734</x:f>
        <x:v>3</x:v>
      </x:c>
    </x:row>
    <x:row r="1735" ht="20" customHeight="1">
      <x:c r="A1735" s="1" t="str">
        <x:v>22722</x:v>
      </x:c>
      <x:c r="B1735" s="10" t="n">
        <x:v>3</x:v>
      </x:c>
      <x:c r="C1735" s="9" t="d">
        <x:v>2011-11-16T00:00:00.000Z</x:v>
      </x:c>
      <x:c r="D1735" s="9" t="d">
        <x:v>2011-11-24T00:00:00.000Z</x:v>
      </x:c>
      <x:c r="E1735" s="1" t="str">
        <x:v>naive</x:v>
      </x:c>
      <x:c r="F1735" s="10" t="n">
        <x:v>25</x:v>
      </x:c>
      <x:c r="G1735" s="10" t="n">
        <x:v>36</x:v>
      </x:c>
      <x:c r="H1735" s="10" t="n">
        <x:f>ABS(G1735-F1735)</x:f>
        <x:v>11</x:v>
      </x:c>
      <x:c r="I1735" s="10" t="n">
        <x:f>G1735-F1735</x:f>
        <x:v>11</x:v>
      </x:c>
    </x:row>
    <x:row r="1736" ht="20" customHeight="1">
      <x:c r="A1736" s="1" t="str">
        <x:v>22722</x:v>
      </x:c>
      <x:c r="B1736" s="10" t="n">
        <x:v>3</x:v>
      </x:c>
      <x:c r="C1736" s="9" t="d">
        <x:v>2011-11-16T00:00:00.000Z</x:v>
      </x:c>
      <x:c r="D1736" s="9" t="d">
        <x:v>2011-11-25T00:00:00.000Z</x:v>
      </x:c>
      <x:c r="E1736" s="1" t="str">
        <x:v>naive</x:v>
      </x:c>
      <x:c r="F1736" s="10" t="n">
        <x:v>10</x:v>
      </x:c>
      <x:c r="G1736" s="10" t="n">
        <x:v>36</x:v>
      </x:c>
      <x:c r="H1736" s="10" t="n">
        <x:f>ABS(G1736-F1736)</x:f>
        <x:v>26</x:v>
      </x:c>
      <x:c r="I1736" s="10" t="n">
        <x:f>G1736-F1736</x:f>
        <x:v>26</x:v>
      </x:c>
    </x:row>
    <x:row r="1737" ht="20" customHeight="1">
      <x:c r="A1737" s="1" t="str">
        <x:v>22722</x:v>
      </x:c>
      <x:c r="B1737" s="10" t="n">
        <x:v>3</x:v>
      </x:c>
      <x:c r="C1737" s="9" t="d">
        <x:v>2011-11-16T00:00:00.000Z</x:v>
      </x:c>
      <x:c r="D1737" s="9" t="d">
        <x:v>2011-11-26T00:00:00.000Z</x:v>
      </x:c>
      <x:c r="E1737" s="1" t="str">
        <x:v>naive</x:v>
      </x:c>
      <x:c r="F1737" s="10" t="n">
        <x:v>0</x:v>
      </x:c>
      <x:c r="G1737" s="10" t="n">
        <x:v>36</x:v>
      </x:c>
      <x:c r="H1737" s="10" t="n">
        <x:f>ABS(G1737-F1737)</x:f>
        <x:v>36</x:v>
      </x:c>
      <x:c r="I1737" s="10" t="n">
        <x:f>G1737-F1737</x:f>
        <x:v>36</x:v>
      </x:c>
    </x:row>
    <x:row r="1738" ht="20" customHeight="1">
      <x:c r="A1738" s="1" t="str">
        <x:v>22722</x:v>
      </x:c>
      <x:c r="B1738" s="10" t="n">
        <x:v>3</x:v>
      </x:c>
      <x:c r="C1738" s="9" t="d">
        <x:v>2011-11-16T00:00:00.000Z</x:v>
      </x:c>
      <x:c r="D1738" s="9" t="d">
        <x:v>2011-11-27T00:00:00.000Z</x:v>
      </x:c>
      <x:c r="E1738" s="1" t="str">
        <x:v>naive</x:v>
      </x:c>
      <x:c r="F1738" s="10" t="n">
        <x:v>3</x:v>
      </x:c>
      <x:c r="G1738" s="10" t="n">
        <x:v>36</x:v>
      </x:c>
      <x:c r="H1738" s="10" t="n">
        <x:f>ABS(G1738-F1738)</x:f>
        <x:v>33</x:v>
      </x:c>
      <x:c r="I1738" s="10" t="n">
        <x:f>G1738-F1738</x:f>
        <x:v>33</x:v>
      </x:c>
    </x:row>
    <x:row r="1739" ht="20" customHeight="1">
      <x:c r="A1739" s="1" t="str">
        <x:v>22722</x:v>
      </x:c>
      <x:c r="B1739" s="10" t="n">
        <x:v>3</x:v>
      </x:c>
      <x:c r="C1739" s="9" t="d">
        <x:v>2011-11-16T00:00:00.000Z</x:v>
      </x:c>
      <x:c r="D1739" s="9" t="d">
        <x:v>2011-11-28T00:00:00.000Z</x:v>
      </x:c>
      <x:c r="E1739" s="1" t="str">
        <x:v>naive</x:v>
      </x:c>
      <x:c r="F1739" s="10" t="n">
        <x:v>7</x:v>
      </x:c>
      <x:c r="G1739" s="10" t="n">
        <x:v>36</x:v>
      </x:c>
      <x:c r="H1739" s="10" t="n">
        <x:f>ABS(G1739-F1739)</x:f>
        <x:v>29</x:v>
      </x:c>
      <x:c r="I1739" s="10" t="n">
        <x:f>G1739-F1739</x:f>
        <x:v>29</x:v>
      </x:c>
    </x:row>
    <x:row r="1740" ht="20" customHeight="1">
      <x:c r="A1740" s="1" t="str">
        <x:v>22722</x:v>
      </x:c>
      <x:c r="B1740" s="10" t="n">
        <x:v>3</x:v>
      </x:c>
      <x:c r="C1740" s="9" t="d">
        <x:v>2011-11-16T00:00:00.000Z</x:v>
      </x:c>
      <x:c r="D1740" s="9" t="d">
        <x:v>2011-11-29T00:00:00.000Z</x:v>
      </x:c>
      <x:c r="E1740" s="1" t="str">
        <x:v>naive</x:v>
      </x:c>
      <x:c r="F1740" s="10" t="n">
        <x:v>27</x:v>
      </x:c>
      <x:c r="G1740" s="10" t="n">
        <x:v>36</x:v>
      </x:c>
      <x:c r="H1740" s="10" t="n">
        <x:f>ABS(G1740-F1740)</x:f>
        <x:v>9</x:v>
      </x:c>
      <x:c r="I1740" s="10" t="n">
        <x:f>G1740-F1740</x:f>
        <x:v>9</x:v>
      </x:c>
    </x:row>
    <x:row r="1741" ht="20" customHeight="1">
      <x:c r="A1741" s="1" t="str">
        <x:v>22722</x:v>
      </x:c>
      <x:c r="B1741" s="10" t="n">
        <x:v>3</x:v>
      </x:c>
      <x:c r="C1741" s="9" t="d">
        <x:v>2011-11-16T00:00:00.000Z</x:v>
      </x:c>
      <x:c r="D1741" s="9" t="d">
        <x:v>2011-11-30T00:00:00.000Z</x:v>
      </x:c>
      <x:c r="E1741" s="1" t="str">
        <x:v>naive</x:v>
      </x:c>
      <x:c r="F1741" s="10" t="n">
        <x:v>7</x:v>
      </x:c>
      <x:c r="G1741" s="10" t="n">
        <x:v>36</x:v>
      </x:c>
      <x:c r="H1741" s="10" t="n">
        <x:f>ABS(G1741-F1741)</x:f>
        <x:v>29</x:v>
      </x:c>
      <x:c r="I1741" s="10" t="n">
        <x:f>G1741-F1741</x:f>
        <x:v>29</x:v>
      </x:c>
    </x:row>
    <x:row r="1742" ht="20" customHeight="1">
      <x:c r="A1742" s="1" t="str">
        <x:v>22722</x:v>
      </x:c>
      <x:c r="B1742" s="10" t="n">
        <x:v>3</x:v>
      </x:c>
      <x:c r="C1742" s="9" t="d">
        <x:v>2011-11-16T00:00:00.000Z</x:v>
      </x:c>
      <x:c r="D1742" s="9" t="d">
        <x:v>2011-11-17T00:00:00.000Z</x:v>
      </x:c>
      <x:c r="E1742" s="1" t="str">
        <x:v>seasonal_naive</x:v>
      </x:c>
      <x:c r="F1742" s="10" t="n">
        <x:v>48</x:v>
      </x:c>
      <x:c r="G1742" s="10" t="n">
        <x:v>18</x:v>
      </x:c>
      <x:c r="H1742" s="10" t="n">
        <x:f>ABS(G1742-F1742)</x:f>
        <x:v>30</x:v>
      </x:c>
      <x:c r="I1742" s="10" t="n">
        <x:f>G1742-F1742</x:f>
        <x:v>-30</x:v>
      </x:c>
    </x:row>
    <x:row r="1743" ht="20" customHeight="1">
      <x:c r="A1743" s="1" t="str">
        <x:v>22722</x:v>
      </x:c>
      <x:c r="B1743" s="10" t="n">
        <x:v>3</x:v>
      </x:c>
      <x:c r="C1743" s="9" t="d">
        <x:v>2011-11-16T00:00:00.000Z</x:v>
      </x:c>
      <x:c r="D1743" s="9" t="d">
        <x:v>2011-11-18T00:00:00.000Z</x:v>
      </x:c>
      <x:c r="E1743" s="1" t="str">
        <x:v>seasonal_naive</x:v>
      </x:c>
      <x:c r="F1743" s="10" t="n">
        <x:v>17</x:v>
      </x:c>
      <x:c r="G1743" s="10" t="n">
        <x:v>48</x:v>
      </x:c>
      <x:c r="H1743" s="10" t="n">
        <x:f>ABS(G1743-F1743)</x:f>
        <x:v>31</x:v>
      </x:c>
      <x:c r="I1743" s="10" t="n">
        <x:f>G1743-F1743</x:f>
        <x:v>31</x:v>
      </x:c>
    </x:row>
    <x:row r="1744" ht="20" customHeight="1">
      <x:c r="A1744" s="1" t="str">
        <x:v>22722</x:v>
      </x:c>
      <x:c r="B1744" s="10" t="n">
        <x:v>3</x:v>
      </x:c>
      <x:c r="C1744" s="9" t="d">
        <x:v>2011-11-16T00:00:00.000Z</x:v>
      </x:c>
      <x:c r="D1744" s="9" t="d">
        <x:v>2011-11-19T00:00:00.000Z</x:v>
      </x:c>
      <x:c r="E1744" s="1" t="str">
        <x:v>seasonal_naive</x:v>
      </x:c>
      <x:c r="F1744" s="10" t="n">
        <x:v>0</x:v>
      </x:c>
      <x:c r="G1744" s="10" t="n">
        <x:v>0</x:v>
      </x:c>
      <x:c r="H1744" s="10" t="n">
        <x:f>ABS(G1744-F1744)</x:f>
        <x:v>0</x:v>
      </x:c>
      <x:c r="I1744" s="10" t="n">
        <x:f>G1744-F1744</x:f>
        <x:v>0</x:v>
      </x:c>
    </x:row>
    <x:row r="1745" ht="20" customHeight="1">
      <x:c r="A1745" s="1" t="str">
        <x:v>22722</x:v>
      </x:c>
      <x:c r="B1745" s="10" t="n">
        <x:v>3</x:v>
      </x:c>
      <x:c r="C1745" s="9" t="d">
        <x:v>2011-11-16T00:00:00.000Z</x:v>
      </x:c>
      <x:c r="D1745" s="9" t="d">
        <x:v>2011-11-20T00:00:00.000Z</x:v>
      </x:c>
      <x:c r="E1745" s="1" t="str">
        <x:v>seasonal_naive</x:v>
      </x:c>
      <x:c r="F1745" s="10" t="n">
        <x:v>1</x:v>
      </x:c>
      <x:c r="G1745" s="10" t="n">
        <x:v>33</x:v>
      </x:c>
      <x:c r="H1745" s="10" t="n">
        <x:f>ABS(G1745-F1745)</x:f>
        <x:v>32</x:v>
      </x:c>
      <x:c r="I1745" s="10" t="n">
        <x:f>G1745-F1745</x:f>
        <x:v>32</x:v>
      </x:c>
    </x:row>
    <x:row r="1746" ht="20" customHeight="1">
      <x:c r="A1746" s="1" t="str">
        <x:v>22722</x:v>
      </x:c>
      <x:c r="B1746" s="10" t="n">
        <x:v>3</x:v>
      </x:c>
      <x:c r="C1746" s="9" t="d">
        <x:v>2011-11-16T00:00:00.000Z</x:v>
      </x:c>
      <x:c r="D1746" s="9" t="d">
        <x:v>2011-11-21T00:00:00.000Z</x:v>
      </x:c>
      <x:c r="E1746" s="1" t="str">
        <x:v>seasonal_naive</x:v>
      </x:c>
      <x:c r="F1746" s="10" t="n">
        <x:v>15</x:v>
      </x:c>
      <x:c r="G1746" s="10" t="n">
        <x:v>13</x:v>
      </x:c>
      <x:c r="H1746" s="10" t="n">
        <x:f>ABS(G1746-F1746)</x:f>
        <x:v>2</x:v>
      </x:c>
      <x:c r="I1746" s="10" t="n">
        <x:f>G1746-F1746</x:f>
        <x:v>-2</x:v>
      </x:c>
    </x:row>
    <x:row r="1747" ht="20" customHeight="1">
      <x:c r="A1747" s="1" t="str">
        <x:v>22722</x:v>
      </x:c>
      <x:c r="B1747" s="10" t="n">
        <x:v>3</x:v>
      </x:c>
      <x:c r="C1747" s="9" t="d">
        <x:v>2011-11-16T00:00:00.000Z</x:v>
      </x:c>
      <x:c r="D1747" s="9" t="d">
        <x:v>2011-11-22T00:00:00.000Z</x:v>
      </x:c>
      <x:c r="E1747" s="1" t="str">
        <x:v>seasonal_naive</x:v>
      </x:c>
      <x:c r="F1747" s="10" t="n">
        <x:v>15</x:v>
      </x:c>
      <x:c r="G1747" s="10" t="n">
        <x:v>9</x:v>
      </x:c>
      <x:c r="H1747" s="10" t="n">
        <x:f>ABS(G1747-F1747)</x:f>
        <x:v>6</x:v>
      </x:c>
      <x:c r="I1747" s="10" t="n">
        <x:f>G1747-F1747</x:f>
        <x:v>-6</x:v>
      </x:c>
    </x:row>
    <x:row r="1748" ht="20" customHeight="1">
      <x:c r="A1748" s="1" t="str">
        <x:v>22722</x:v>
      </x:c>
      <x:c r="B1748" s="10" t="n">
        <x:v>3</x:v>
      </x:c>
      <x:c r="C1748" s="9" t="d">
        <x:v>2011-11-16T00:00:00.000Z</x:v>
      </x:c>
      <x:c r="D1748" s="9" t="d">
        <x:v>2011-11-23T00:00:00.000Z</x:v>
      </x:c>
      <x:c r="E1748" s="1" t="str">
        <x:v>seasonal_naive</x:v>
      </x:c>
      <x:c r="F1748" s="10" t="n">
        <x:v>33</x:v>
      </x:c>
      <x:c r="G1748" s="10" t="n">
        <x:v>36</x:v>
      </x:c>
      <x:c r="H1748" s="10" t="n">
        <x:f>ABS(G1748-F1748)</x:f>
        <x:v>3</x:v>
      </x:c>
      <x:c r="I1748" s="10" t="n">
        <x:f>G1748-F1748</x:f>
        <x:v>3</x:v>
      </x:c>
    </x:row>
    <x:row r="1749" ht="20" customHeight="1">
      <x:c r="A1749" s="1" t="str">
        <x:v>22722</x:v>
      </x:c>
      <x:c r="B1749" s="10" t="n">
        <x:v>3</x:v>
      </x:c>
      <x:c r="C1749" s="9" t="d">
        <x:v>2011-11-16T00:00:00.000Z</x:v>
      </x:c>
      <x:c r="D1749" s="9" t="d">
        <x:v>2011-11-24T00:00:00.000Z</x:v>
      </x:c>
      <x:c r="E1749" s="1" t="str">
        <x:v>seasonal_naive</x:v>
      </x:c>
      <x:c r="F1749" s="10" t="n">
        <x:v>25</x:v>
      </x:c>
      <x:c r="G1749" s="10" t="n">
        <x:v>18</x:v>
      </x:c>
      <x:c r="H1749" s="10" t="n">
        <x:f>ABS(G1749-F1749)</x:f>
        <x:v>7</x:v>
      </x:c>
      <x:c r="I1749" s="10" t="n">
        <x:f>G1749-F1749</x:f>
        <x:v>-7</x:v>
      </x:c>
    </x:row>
    <x:row r="1750" ht="20" customHeight="1">
      <x:c r="A1750" s="1" t="str">
        <x:v>22722</x:v>
      </x:c>
      <x:c r="B1750" s="10" t="n">
        <x:v>3</x:v>
      </x:c>
      <x:c r="C1750" s="9" t="d">
        <x:v>2011-11-16T00:00:00.000Z</x:v>
      </x:c>
      <x:c r="D1750" s="9" t="d">
        <x:v>2011-11-25T00:00:00.000Z</x:v>
      </x:c>
      <x:c r="E1750" s="1" t="str">
        <x:v>seasonal_naive</x:v>
      </x:c>
      <x:c r="F1750" s="10" t="n">
        <x:v>10</x:v>
      </x:c>
      <x:c r="G1750" s="10" t="n">
        <x:v>48</x:v>
      </x:c>
      <x:c r="H1750" s="10" t="n">
        <x:f>ABS(G1750-F1750)</x:f>
        <x:v>38</x:v>
      </x:c>
      <x:c r="I1750" s="10" t="n">
        <x:f>G1750-F1750</x:f>
        <x:v>38</x:v>
      </x:c>
    </x:row>
    <x:row r="1751" ht="20" customHeight="1">
      <x:c r="A1751" s="1" t="str">
        <x:v>22722</x:v>
      </x:c>
      <x:c r="B1751" s="10" t="n">
        <x:v>3</x:v>
      </x:c>
      <x:c r="C1751" s="9" t="d">
        <x:v>2011-11-16T00:00:00.000Z</x:v>
      </x:c>
      <x:c r="D1751" s="9" t="d">
        <x:v>2011-11-26T00:00:00.000Z</x:v>
      </x:c>
      <x:c r="E1751" s="1" t="str">
        <x:v>seasonal_naive</x:v>
      </x:c>
      <x:c r="F1751" s="10" t="n">
        <x:v>0</x:v>
      </x:c>
      <x:c r="G1751" s="10" t="n">
        <x:v>0</x:v>
      </x:c>
      <x:c r="H1751" s="10" t="n">
        <x:f>ABS(G1751-F1751)</x:f>
        <x:v>0</x:v>
      </x:c>
      <x:c r="I1751" s="10" t="n">
        <x:f>G1751-F1751</x:f>
        <x:v>0</x:v>
      </x:c>
    </x:row>
    <x:row r="1752" ht="20" customHeight="1">
      <x:c r="A1752" s="1" t="str">
        <x:v>22722</x:v>
      </x:c>
      <x:c r="B1752" s="10" t="n">
        <x:v>3</x:v>
      </x:c>
      <x:c r="C1752" s="9" t="d">
        <x:v>2011-11-16T00:00:00.000Z</x:v>
      </x:c>
      <x:c r="D1752" s="9" t="d">
        <x:v>2011-11-27T00:00:00.000Z</x:v>
      </x:c>
      <x:c r="E1752" s="1" t="str">
        <x:v>seasonal_naive</x:v>
      </x:c>
      <x:c r="F1752" s="10" t="n">
        <x:v>3</x:v>
      </x:c>
      <x:c r="G1752" s="10" t="n">
        <x:v>33</x:v>
      </x:c>
      <x:c r="H1752" s="10" t="n">
        <x:f>ABS(G1752-F1752)</x:f>
        <x:v>30</x:v>
      </x:c>
      <x:c r="I1752" s="10" t="n">
        <x:f>G1752-F1752</x:f>
        <x:v>30</x:v>
      </x:c>
    </x:row>
    <x:row r="1753" ht="20" customHeight="1">
      <x:c r="A1753" s="1" t="str">
        <x:v>22722</x:v>
      </x:c>
      <x:c r="B1753" s="10" t="n">
        <x:v>3</x:v>
      </x:c>
      <x:c r="C1753" s="9" t="d">
        <x:v>2011-11-16T00:00:00.000Z</x:v>
      </x:c>
      <x:c r="D1753" s="9" t="d">
        <x:v>2011-11-28T00:00:00.000Z</x:v>
      </x:c>
      <x:c r="E1753" s="1" t="str">
        <x:v>seasonal_naive</x:v>
      </x:c>
      <x:c r="F1753" s="10" t="n">
        <x:v>7</x:v>
      </x:c>
      <x:c r="G1753" s="10" t="n">
        <x:v>13</x:v>
      </x:c>
      <x:c r="H1753" s="10" t="n">
        <x:f>ABS(G1753-F1753)</x:f>
        <x:v>6</x:v>
      </x:c>
      <x:c r="I1753" s="10" t="n">
        <x:f>G1753-F1753</x:f>
        <x:v>6</x:v>
      </x:c>
    </x:row>
    <x:row r="1754" ht="20" customHeight="1">
      <x:c r="A1754" s="1" t="str">
        <x:v>22722</x:v>
      </x:c>
      <x:c r="B1754" s="10" t="n">
        <x:v>3</x:v>
      </x:c>
      <x:c r="C1754" s="9" t="d">
        <x:v>2011-11-16T00:00:00.000Z</x:v>
      </x:c>
      <x:c r="D1754" s="9" t="d">
        <x:v>2011-11-29T00:00:00.000Z</x:v>
      </x:c>
      <x:c r="E1754" s="1" t="str">
        <x:v>seasonal_naive</x:v>
      </x:c>
      <x:c r="F1754" s="10" t="n">
        <x:v>27</x:v>
      </x:c>
      <x:c r="G1754" s="10" t="n">
        <x:v>9</x:v>
      </x:c>
      <x:c r="H1754" s="10" t="n">
        <x:f>ABS(G1754-F1754)</x:f>
        <x:v>18</x:v>
      </x:c>
      <x:c r="I1754" s="10" t="n">
        <x:f>G1754-F1754</x:f>
        <x:v>-18</x:v>
      </x:c>
    </x:row>
    <x:row r="1755" ht="20" customHeight="1">
      <x:c r="A1755" s="1" t="str">
        <x:v>22722</x:v>
      </x:c>
      <x:c r="B1755" s="10" t="n">
        <x:v>3</x:v>
      </x:c>
      <x:c r="C1755" s="9" t="d">
        <x:v>2011-11-16T00:00:00.000Z</x:v>
      </x:c>
      <x:c r="D1755" s="9" t="d">
        <x:v>2011-11-30T00:00:00.000Z</x:v>
      </x:c>
      <x:c r="E1755" s="1" t="str">
        <x:v>seasonal_naive</x:v>
      </x:c>
      <x:c r="F1755" s="10" t="n">
        <x:v>7</x:v>
      </x:c>
      <x:c r="G1755" s="10" t="n">
        <x:v>36</x:v>
      </x:c>
      <x:c r="H1755" s="10" t="n">
        <x:f>ABS(G1755-F1755)</x:f>
        <x:v>29</x:v>
      </x:c>
      <x:c r="I1755" s="10" t="n">
        <x:f>G1755-F1755</x:f>
        <x:v>29</x:v>
      </x:c>
    </x:row>
    <x:row r="1756" ht="20" customHeight="1">
      <x:c r="A1756" s="1" t="str">
        <x:v>22722</x:v>
      </x:c>
      <x:c r="B1756" s="10" t="n">
        <x:v>3</x:v>
      </x:c>
      <x:c r="C1756" s="9" t="d">
        <x:v>2011-11-16T00:00:00.000Z</x:v>
      </x:c>
      <x:c r="D1756" s="9" t="d">
        <x:v>2011-11-17T00:00:00.000Z</x:v>
      </x:c>
      <x:c r="E1756" s="1" t="str">
        <x:v>ridge</x:v>
      </x:c>
      <x:c r="F1756" s="10" t="n">
        <x:v>48</x:v>
      </x:c>
      <x:c r="G1756" s="10" t="n">
        <x:v>23.190476949</x:v>
      </x:c>
      <x:c r="H1756" s="10" t="n">
        <x:f>ABS(G1756-F1756)</x:f>
        <x:v>24.809523051</x:v>
      </x:c>
      <x:c r="I1756" s="10" t="n">
        <x:f>G1756-F1756</x:f>
        <x:v>-24.809523051</x:v>
      </x:c>
    </x:row>
    <x:row r="1757" ht="20" customHeight="1">
      <x:c r="A1757" s="1" t="str">
        <x:v>22722</x:v>
      </x:c>
      <x:c r="B1757" s="10" t="n">
        <x:v>3</x:v>
      </x:c>
      <x:c r="C1757" s="9" t="d">
        <x:v>2011-11-16T00:00:00.000Z</x:v>
      </x:c>
      <x:c r="D1757" s="9" t="d">
        <x:v>2011-11-18T00:00:00.000Z</x:v>
      </x:c>
      <x:c r="E1757" s="1" t="str">
        <x:v>ridge</x:v>
      </x:c>
      <x:c r="F1757" s="10" t="n">
        <x:v>17</x:v>
      </x:c>
      <x:c r="G1757" s="10" t="n">
        <x:v>9.5368847252</x:v>
      </x:c>
      <x:c r="H1757" s="10" t="n">
        <x:f>ABS(G1757-F1757)</x:f>
        <x:v>7.4631152748</x:v>
      </x:c>
      <x:c r="I1757" s="10" t="n">
        <x:f>G1757-F1757</x:f>
        <x:v>-7.4631152748</x:v>
      </x:c>
    </x:row>
    <x:row r="1758" ht="20" customHeight="1">
      <x:c r="A1758" s="1" t="str">
        <x:v>22722</x:v>
      </x:c>
      <x:c r="B1758" s="10" t="n">
        <x:v>3</x:v>
      </x:c>
      <x:c r="C1758" s="9" t="d">
        <x:v>2011-11-16T00:00:00.000Z</x:v>
      </x:c>
      <x:c r="D1758" s="9" t="d">
        <x:v>2011-11-19T00:00:00.000Z</x:v>
      </x:c>
      <x:c r="E1758" s="1" t="str">
        <x:v>ridge</x:v>
      </x:c>
      <x:c r="F1758" s="10" t="n">
        <x:v>0</x:v>
      </x:c>
      <x:c r="G1758" s="10" t="n">
        <x:v>3.1364895902</x:v>
      </x:c>
      <x:c r="H1758" s="10" t="n">
        <x:f>ABS(G1758-F1758)</x:f>
        <x:v>3.1364895902</x:v>
      </x:c>
      <x:c r="I1758" s="10" t="n">
        <x:f>G1758-F1758</x:f>
        <x:v>3.1364895902</x:v>
      </x:c>
    </x:row>
    <x:row r="1759" ht="20" customHeight="1">
      <x:c r="A1759" s="1" t="str">
        <x:v>22722</x:v>
      </x:c>
      <x:c r="B1759" s="10" t="n">
        <x:v>3</x:v>
      </x:c>
      <x:c r="C1759" s="9" t="d">
        <x:v>2011-11-16T00:00:00.000Z</x:v>
      </x:c>
      <x:c r="D1759" s="9" t="d">
        <x:v>2011-11-20T00:00:00.000Z</x:v>
      </x:c>
      <x:c r="E1759" s="1" t="str">
        <x:v>ridge</x:v>
      </x:c>
      <x:c r="F1759" s="10" t="n">
        <x:v>1</x:v>
      </x:c>
      <x:c r="G1759" s="10" t="n">
        <x:v>5.0798676453</x:v>
      </x:c>
      <x:c r="H1759" s="10" t="n">
        <x:f>ABS(G1759-F1759)</x:f>
        <x:v>4.0798676453</x:v>
      </x:c>
      <x:c r="I1759" s="10" t="n">
        <x:f>G1759-F1759</x:f>
        <x:v>4.0798676453</x:v>
      </x:c>
    </x:row>
    <x:row r="1760" ht="20" customHeight="1">
      <x:c r="A1760" s="1" t="str">
        <x:v>22722</x:v>
      </x:c>
      <x:c r="B1760" s="10" t="n">
        <x:v>3</x:v>
      </x:c>
      <x:c r="C1760" s="9" t="d">
        <x:v>2011-11-16T00:00:00.000Z</x:v>
      </x:c>
      <x:c r="D1760" s="9" t="d">
        <x:v>2011-11-21T00:00:00.000Z</x:v>
      </x:c>
      <x:c r="E1760" s="1" t="str">
        <x:v>ridge</x:v>
      </x:c>
      <x:c r="F1760" s="10" t="n">
        <x:v>15</x:v>
      </x:c>
      <x:c r="G1760" s="10" t="n">
        <x:v>17.4685245002</x:v>
      </x:c>
      <x:c r="H1760" s="10" t="n">
        <x:f>ABS(G1760-F1760)</x:f>
        <x:v>2.468524500200001</x:v>
      </x:c>
      <x:c r="I1760" s="10" t="n">
        <x:f>G1760-F1760</x:f>
        <x:v>2.468524500200001</x:v>
      </x:c>
    </x:row>
    <x:row r="1761" ht="20" customHeight="1">
      <x:c r="A1761" s="1" t="str">
        <x:v>22722</x:v>
      </x:c>
      <x:c r="B1761" s="10" t="n">
        <x:v>3</x:v>
      </x:c>
      <x:c r="C1761" s="9" t="d">
        <x:v>2011-11-16T00:00:00.000Z</x:v>
      </x:c>
      <x:c r="D1761" s="9" t="d">
        <x:v>2011-11-22T00:00:00.000Z</x:v>
      </x:c>
      <x:c r="E1761" s="1" t="str">
        <x:v>ridge</x:v>
      </x:c>
      <x:c r="F1761" s="10" t="n">
        <x:v>15</x:v>
      </x:c>
      <x:c r="G1761" s="10" t="n">
        <x:v>28.1348071285</x:v>
      </x:c>
      <x:c r="H1761" s="10" t="n">
        <x:f>ABS(G1761-F1761)</x:f>
        <x:v>13.1348071285</x:v>
      </x:c>
      <x:c r="I1761" s="10" t="n">
        <x:f>G1761-F1761</x:f>
        <x:v>13.1348071285</x:v>
      </x:c>
    </x:row>
    <x:row r="1762" ht="20" customHeight="1">
      <x:c r="A1762" s="1" t="str">
        <x:v>22722</x:v>
      </x:c>
      <x:c r="B1762" s="10" t="n">
        <x:v>3</x:v>
      </x:c>
      <x:c r="C1762" s="9" t="d">
        <x:v>2011-11-16T00:00:00.000Z</x:v>
      </x:c>
      <x:c r="D1762" s="9" t="d">
        <x:v>2011-11-23T00:00:00.000Z</x:v>
      </x:c>
      <x:c r="E1762" s="1" t="str">
        <x:v>ridge</x:v>
      </x:c>
      <x:c r="F1762" s="10" t="n">
        <x:v>33</x:v>
      </x:c>
      <x:c r="G1762" s="10" t="n">
        <x:v>30.5459742814</x:v>
      </x:c>
      <x:c r="H1762" s="10" t="n">
        <x:f>ABS(G1762-F1762)</x:f>
        <x:v>2.4540257186000005</x:v>
      </x:c>
      <x:c r="I1762" s="10" t="n">
        <x:f>G1762-F1762</x:f>
        <x:v>-2.4540257186000005</x:v>
      </x:c>
    </x:row>
    <x:row r="1763" ht="20" customHeight="1">
      <x:c r="A1763" s="1" t="str">
        <x:v>22722</x:v>
      </x:c>
      <x:c r="B1763" s="10" t="n">
        <x:v>3</x:v>
      </x:c>
      <x:c r="C1763" s="9" t="d">
        <x:v>2011-11-16T00:00:00.000Z</x:v>
      </x:c>
      <x:c r="D1763" s="9" t="d">
        <x:v>2011-11-24T00:00:00.000Z</x:v>
      </x:c>
      <x:c r="E1763" s="1" t="str">
        <x:v>ridge</x:v>
      </x:c>
      <x:c r="F1763" s="10" t="n">
        <x:v>25</x:v>
      </x:c>
      <x:c r="G1763" s="10" t="n">
        <x:v>23.0073123645</x:v>
      </x:c>
      <x:c r="H1763" s="10" t="n">
        <x:f>ABS(G1763-F1763)</x:f>
        <x:v>1.9926876355000012</x:v>
      </x:c>
      <x:c r="I1763" s="10" t="n">
        <x:f>G1763-F1763</x:f>
        <x:v>-1.9926876355000012</x:v>
      </x:c>
    </x:row>
    <x:row r="1764" ht="20" customHeight="1">
      <x:c r="A1764" s="1" t="str">
        <x:v>22722</x:v>
      </x:c>
      <x:c r="B1764" s="10" t="n">
        <x:v>3</x:v>
      </x:c>
      <x:c r="C1764" s="9" t="d">
        <x:v>2011-11-16T00:00:00.000Z</x:v>
      </x:c>
      <x:c r="D1764" s="9" t="d">
        <x:v>2011-11-25T00:00:00.000Z</x:v>
      </x:c>
      <x:c r="E1764" s="1" t="str">
        <x:v>ridge</x:v>
      </x:c>
      <x:c r="F1764" s="10" t="n">
        <x:v>10</x:v>
      </x:c>
      <x:c r="G1764" s="10" t="n">
        <x:v>9.7636798227</x:v>
      </x:c>
      <x:c r="H1764" s="10" t="n">
        <x:f>ABS(G1764-F1764)</x:f>
        <x:v>0.23632017729999966</x:v>
      </x:c>
      <x:c r="I1764" s="10" t="n">
        <x:f>G1764-F1764</x:f>
        <x:v>-0.23632017729999966</x:v>
      </x:c>
    </x:row>
    <x:row r="1765" ht="20" customHeight="1">
      <x:c r="A1765" s="1" t="str">
        <x:v>22722</x:v>
      </x:c>
      <x:c r="B1765" s="10" t="n">
        <x:v>3</x:v>
      </x:c>
      <x:c r="C1765" s="9" t="d">
        <x:v>2011-11-16T00:00:00.000Z</x:v>
      </x:c>
      <x:c r="D1765" s="9" t="d">
        <x:v>2011-11-26T00:00:00.000Z</x:v>
      </x:c>
      <x:c r="E1765" s="1" t="str">
        <x:v>ridge</x:v>
      </x:c>
      <x:c r="F1765" s="10" t="n">
        <x:v>0</x:v>
      </x:c>
      <x:c r="G1765" s="10" t="n">
        <x:v>2.9171585323</x:v>
      </x:c>
      <x:c r="H1765" s="10" t="n">
        <x:f>ABS(G1765-F1765)</x:f>
        <x:v>2.9171585323</x:v>
      </x:c>
      <x:c r="I1765" s="10" t="n">
        <x:f>G1765-F1765</x:f>
        <x:v>2.9171585323</x:v>
      </x:c>
    </x:row>
    <x:row r="1766" ht="20" customHeight="1">
      <x:c r="A1766" s="1" t="str">
        <x:v>22722</x:v>
      </x:c>
      <x:c r="B1766" s="10" t="n">
        <x:v>3</x:v>
      </x:c>
      <x:c r="C1766" s="9" t="d">
        <x:v>2011-11-16T00:00:00.000Z</x:v>
      </x:c>
      <x:c r="D1766" s="9" t="d">
        <x:v>2011-11-27T00:00:00.000Z</x:v>
      </x:c>
      <x:c r="E1766" s="1" t="str">
        <x:v>ridge</x:v>
      </x:c>
      <x:c r="F1766" s="10" t="n">
        <x:v>3</x:v>
      </x:c>
      <x:c r="G1766" s="10" t="n">
        <x:v>5.2555741045</x:v>
      </x:c>
      <x:c r="H1766" s="10" t="n">
        <x:f>ABS(G1766-F1766)</x:f>
        <x:v>2.2555741045</x:v>
      </x:c>
      <x:c r="I1766" s="10" t="n">
        <x:f>G1766-F1766</x:f>
        <x:v>2.2555741045</x:v>
      </x:c>
    </x:row>
    <x:row r="1767" ht="20" customHeight="1">
      <x:c r="A1767" s="1" t="str">
        <x:v>22722</x:v>
      </x:c>
      <x:c r="B1767" s="10" t="n">
        <x:v>3</x:v>
      </x:c>
      <x:c r="C1767" s="9" t="d">
        <x:v>2011-11-16T00:00:00.000Z</x:v>
      </x:c>
      <x:c r="D1767" s="9" t="d">
        <x:v>2011-11-28T00:00:00.000Z</x:v>
      </x:c>
      <x:c r="E1767" s="1" t="str">
        <x:v>ridge</x:v>
      </x:c>
      <x:c r="F1767" s="10" t="n">
        <x:v>7</x:v>
      </x:c>
      <x:c r="G1767" s="10" t="n">
        <x:v>17.0484953204</x:v>
      </x:c>
      <x:c r="H1767" s="10" t="n">
        <x:f>ABS(G1767-F1767)</x:f>
        <x:v>10.0484953204</x:v>
      </x:c>
      <x:c r="I1767" s="10" t="n">
        <x:f>G1767-F1767</x:f>
        <x:v>10.0484953204</x:v>
      </x:c>
    </x:row>
    <x:row r="1768" ht="20" customHeight="1">
      <x:c r="A1768" s="1" t="str">
        <x:v>22722</x:v>
      </x:c>
      <x:c r="B1768" s="10" t="n">
        <x:v>3</x:v>
      </x:c>
      <x:c r="C1768" s="9" t="d">
        <x:v>2011-11-16T00:00:00.000Z</x:v>
      </x:c>
      <x:c r="D1768" s="9" t="d">
        <x:v>2011-11-29T00:00:00.000Z</x:v>
      </x:c>
      <x:c r="E1768" s="1" t="str">
        <x:v>ridge</x:v>
      </x:c>
      <x:c r="F1768" s="10" t="n">
        <x:v>27</x:v>
      </x:c>
      <x:c r="G1768" s="10" t="n">
        <x:v>28.5667874164</x:v>
      </x:c>
      <x:c r="H1768" s="10" t="n">
        <x:f>ABS(G1768-F1768)</x:f>
        <x:v>1.5667874164000004</x:v>
      </x:c>
      <x:c r="I1768" s="10" t="n">
        <x:f>G1768-F1768</x:f>
        <x:v>1.5667874164000004</x:v>
      </x:c>
    </x:row>
    <x:row r="1769" ht="20" customHeight="1">
      <x:c r="A1769" s="1" t="str">
        <x:v>22722</x:v>
      </x:c>
      <x:c r="B1769" s="10" t="n">
        <x:v>3</x:v>
      </x:c>
      <x:c r="C1769" s="9" t="d">
        <x:v>2011-11-16T00:00:00.000Z</x:v>
      </x:c>
      <x:c r="D1769" s="9" t="d">
        <x:v>2011-11-30T00:00:00.000Z</x:v>
      </x:c>
      <x:c r="E1769" s="1" t="str">
        <x:v>ridge</x:v>
      </x:c>
      <x:c r="F1769" s="10" t="n">
        <x:v>7</x:v>
      </x:c>
      <x:c r="G1769" s="10" t="n">
        <x:v>30.8940802106</x:v>
      </x:c>
      <x:c r="H1769" s="10" t="n">
        <x:f>ABS(G1769-F1769)</x:f>
        <x:v>23.8940802106</x:v>
      </x:c>
      <x:c r="I1769" s="10" t="n">
        <x:f>G1769-F1769</x:f>
        <x:v>23.8940802106</x:v>
      </x:c>
    </x:row>
    <x:row r="1770" ht="20" customHeight="1">
      <x:c r="A1770" s="1" t="str">
        <x:v>22960</x:v>
      </x:c>
      <x:c r="B1770" s="10" t="n">
        <x:v>1</x:v>
      </x:c>
      <x:c r="C1770" s="9" t="d">
        <x:v>2011-10-19T00:00:00.000Z</x:v>
      </x:c>
      <x:c r="D1770" s="9" t="d">
        <x:v>2011-10-20T00:00:00.000Z</x:v>
      </x:c>
      <x:c r="E1770" s="1" t="str">
        <x:v>naive</x:v>
      </x:c>
      <x:c r="F1770" s="10" t="n">
        <x:v>12</x:v>
      </x:c>
      <x:c r="G1770" s="10" t="n">
        <x:v>10</x:v>
      </x:c>
      <x:c r="H1770" s="10" t="n">
        <x:f>ABS(G1770-F1770)</x:f>
        <x:v>2</x:v>
      </x:c>
      <x:c r="I1770" s="10" t="n">
        <x:f>G1770-F1770</x:f>
        <x:v>-2</x:v>
      </x:c>
    </x:row>
    <x:row r="1771" ht="20" customHeight="1">
      <x:c r="A1771" s="1" t="str">
        <x:v>22960</x:v>
      </x:c>
      <x:c r="B1771" s="10" t="n">
        <x:v>1</x:v>
      </x:c>
      <x:c r="C1771" s="9" t="d">
        <x:v>2011-10-19T00:00:00.000Z</x:v>
      </x:c>
      <x:c r="D1771" s="9" t="d">
        <x:v>2011-10-21T00:00:00.000Z</x:v>
      </x:c>
      <x:c r="E1771" s="1" t="str">
        <x:v>naive</x:v>
      </x:c>
      <x:c r="F1771" s="10" t="n">
        <x:v>0</x:v>
      </x:c>
      <x:c r="G1771" s="10" t="n">
        <x:v>10</x:v>
      </x:c>
      <x:c r="H1771" s="10" t="n">
        <x:f>ABS(G1771-F1771)</x:f>
        <x:v>10</x:v>
      </x:c>
      <x:c r="I1771" s="10" t="n">
        <x:f>G1771-F1771</x:f>
        <x:v>10</x:v>
      </x:c>
    </x:row>
    <x:row r="1772" ht="20" customHeight="1">
      <x:c r="A1772" s="1" t="str">
        <x:v>22960</x:v>
      </x:c>
      <x:c r="B1772" s="10" t="n">
        <x:v>1</x:v>
      </x:c>
      <x:c r="C1772" s="9" t="d">
        <x:v>2011-10-19T00:00:00.000Z</x:v>
      </x:c>
      <x:c r="D1772" s="9" t="d">
        <x:v>2011-10-22T00:00:00.000Z</x:v>
      </x:c>
      <x:c r="E1772" s="1" t="str">
        <x:v>naive</x:v>
      </x:c>
      <x:c r="F1772" s="10" t="n">
        <x:v>0</x:v>
      </x:c>
      <x:c r="G1772" s="10" t="n">
        <x:v>10</x:v>
      </x:c>
      <x:c r="H1772" s="10" t="n">
        <x:f>ABS(G1772-F1772)</x:f>
        <x:v>10</x:v>
      </x:c>
      <x:c r="I1772" s="10" t="n">
        <x:f>G1772-F1772</x:f>
        <x:v>10</x:v>
      </x:c>
    </x:row>
    <x:row r="1773" ht="20" customHeight="1">
      <x:c r="A1773" s="1" t="str">
        <x:v>22960</x:v>
      </x:c>
      <x:c r="B1773" s="10" t="n">
        <x:v>1</x:v>
      </x:c>
      <x:c r="C1773" s="9" t="d">
        <x:v>2011-10-19T00:00:00.000Z</x:v>
      </x:c>
      <x:c r="D1773" s="9" t="d">
        <x:v>2011-10-23T00:00:00.000Z</x:v>
      </x:c>
      <x:c r="E1773" s="1" t="str">
        <x:v>naive</x:v>
      </x:c>
      <x:c r="F1773" s="10" t="n">
        <x:v>9</x:v>
      </x:c>
      <x:c r="G1773" s="10" t="n">
        <x:v>10</x:v>
      </x:c>
      <x:c r="H1773" s="10" t="n">
        <x:f>ABS(G1773-F1773)</x:f>
        <x:v>1</x:v>
      </x:c>
      <x:c r="I1773" s="10" t="n">
        <x:f>G1773-F1773</x:f>
        <x:v>1</x:v>
      </x:c>
    </x:row>
    <x:row r="1774" ht="20" customHeight="1">
      <x:c r="A1774" s="1" t="str">
        <x:v>22960</x:v>
      </x:c>
      <x:c r="B1774" s="10" t="n">
        <x:v>1</x:v>
      </x:c>
      <x:c r="C1774" s="9" t="d">
        <x:v>2011-10-19T00:00:00.000Z</x:v>
      </x:c>
      <x:c r="D1774" s="9" t="d">
        <x:v>2011-10-24T00:00:00.000Z</x:v>
      </x:c>
      <x:c r="E1774" s="1" t="str">
        <x:v>naive</x:v>
      </x:c>
      <x:c r="F1774" s="10" t="n">
        <x:v>4</x:v>
      </x:c>
      <x:c r="G1774" s="10" t="n">
        <x:v>10</x:v>
      </x:c>
      <x:c r="H1774" s="10" t="n">
        <x:f>ABS(G1774-F1774)</x:f>
        <x:v>6</x:v>
      </x:c>
      <x:c r="I1774" s="10" t="n">
        <x:f>G1774-F1774</x:f>
        <x:v>6</x:v>
      </x:c>
    </x:row>
    <x:row r="1775" ht="20" customHeight="1">
      <x:c r="A1775" s="1" t="str">
        <x:v>22960</x:v>
      </x:c>
      <x:c r="B1775" s="10" t="n">
        <x:v>1</x:v>
      </x:c>
      <x:c r="C1775" s="9" t="d">
        <x:v>2011-10-19T00:00:00.000Z</x:v>
      </x:c>
      <x:c r="D1775" s="9" t="d">
        <x:v>2011-10-25T00:00:00.000Z</x:v>
      </x:c>
      <x:c r="E1775" s="1" t="str">
        <x:v>naive</x:v>
      </x:c>
      <x:c r="F1775" s="10" t="n">
        <x:v>36</x:v>
      </x:c>
      <x:c r="G1775" s="10" t="n">
        <x:v>10</x:v>
      </x:c>
      <x:c r="H1775" s="10" t="n">
        <x:f>ABS(G1775-F1775)</x:f>
        <x:v>26</x:v>
      </x:c>
      <x:c r="I1775" s="10" t="n">
        <x:f>G1775-F1775</x:f>
        <x:v>-26</x:v>
      </x:c>
    </x:row>
    <x:row r="1776" ht="20" customHeight="1">
      <x:c r="A1776" s="1" t="str">
        <x:v>22960</x:v>
      </x:c>
      <x:c r="B1776" s="10" t="n">
        <x:v>1</x:v>
      </x:c>
      <x:c r="C1776" s="9" t="d">
        <x:v>2011-10-19T00:00:00.000Z</x:v>
      </x:c>
      <x:c r="D1776" s="9" t="d">
        <x:v>2011-10-26T00:00:00.000Z</x:v>
      </x:c>
      <x:c r="E1776" s="1" t="str">
        <x:v>naive</x:v>
      </x:c>
      <x:c r="F1776" s="10" t="n">
        <x:v>11</x:v>
      </x:c>
      <x:c r="G1776" s="10" t="n">
        <x:v>10</x:v>
      </x:c>
      <x:c r="H1776" s="10" t="n">
        <x:f>ABS(G1776-F1776)</x:f>
        <x:v>1</x:v>
      </x:c>
      <x:c r="I1776" s="10" t="n">
        <x:f>G1776-F1776</x:f>
        <x:v>-1</x:v>
      </x:c>
    </x:row>
    <x:row r="1777" ht="20" customHeight="1">
      <x:c r="A1777" s="1" t="str">
        <x:v>22960</x:v>
      </x:c>
      <x:c r="B1777" s="10" t="n">
        <x:v>1</x:v>
      </x:c>
      <x:c r="C1777" s="9" t="d">
        <x:v>2011-10-19T00:00:00.000Z</x:v>
      </x:c>
      <x:c r="D1777" s="9" t="d">
        <x:v>2011-10-27T00:00:00.000Z</x:v>
      </x:c>
      <x:c r="E1777" s="1" t="str">
        <x:v>naive</x:v>
      </x:c>
      <x:c r="F1777" s="10" t="n">
        <x:v>25</x:v>
      </x:c>
      <x:c r="G1777" s="10" t="n">
        <x:v>10</x:v>
      </x:c>
      <x:c r="H1777" s="10" t="n">
        <x:f>ABS(G1777-F1777)</x:f>
        <x:v>15</x:v>
      </x:c>
      <x:c r="I1777" s="10" t="n">
        <x:f>G1777-F1777</x:f>
        <x:v>-15</x:v>
      </x:c>
    </x:row>
    <x:row r="1778" ht="20" customHeight="1">
      <x:c r="A1778" s="1" t="str">
        <x:v>22960</x:v>
      </x:c>
      <x:c r="B1778" s="10" t="n">
        <x:v>1</x:v>
      </x:c>
      <x:c r="C1778" s="9" t="d">
        <x:v>2011-10-19T00:00:00.000Z</x:v>
      </x:c>
      <x:c r="D1778" s="9" t="d">
        <x:v>2011-10-28T00:00:00.000Z</x:v>
      </x:c>
      <x:c r="E1778" s="1" t="str">
        <x:v>naive</x:v>
      </x:c>
      <x:c r="F1778" s="10" t="n">
        <x:v>18</x:v>
      </x:c>
      <x:c r="G1778" s="10" t="n">
        <x:v>10</x:v>
      </x:c>
      <x:c r="H1778" s="10" t="n">
        <x:f>ABS(G1778-F1778)</x:f>
        <x:v>8</x:v>
      </x:c>
      <x:c r="I1778" s="10" t="n">
        <x:f>G1778-F1778</x:f>
        <x:v>-8</x:v>
      </x:c>
    </x:row>
    <x:row r="1779" ht="20" customHeight="1">
      <x:c r="A1779" s="1" t="str">
        <x:v>22960</x:v>
      </x:c>
      <x:c r="B1779" s="10" t="n">
        <x:v>1</x:v>
      </x:c>
      <x:c r="C1779" s="9" t="d">
        <x:v>2011-10-19T00:00:00.000Z</x:v>
      </x:c>
      <x:c r="D1779" s="9" t="d">
        <x:v>2011-10-29T00:00:00.000Z</x:v>
      </x:c>
      <x:c r="E1779" s="1" t="str">
        <x:v>naive</x:v>
      </x:c>
      <x:c r="F1779" s="10" t="n">
        <x:v>0</x:v>
      </x:c>
      <x:c r="G1779" s="10" t="n">
        <x:v>10</x:v>
      </x:c>
      <x:c r="H1779" s="10" t="n">
        <x:f>ABS(G1779-F1779)</x:f>
        <x:v>10</x:v>
      </x:c>
      <x:c r="I1779" s="10" t="n">
        <x:f>G1779-F1779</x:f>
        <x:v>10</x:v>
      </x:c>
    </x:row>
    <x:row r="1780" ht="20" customHeight="1">
      <x:c r="A1780" s="1" t="str">
        <x:v>22960</x:v>
      </x:c>
      <x:c r="B1780" s="10" t="n">
        <x:v>1</x:v>
      </x:c>
      <x:c r="C1780" s="9" t="d">
        <x:v>2011-10-19T00:00:00.000Z</x:v>
      </x:c>
      <x:c r="D1780" s="9" t="d">
        <x:v>2011-10-30T00:00:00.000Z</x:v>
      </x:c>
      <x:c r="E1780" s="1" t="str">
        <x:v>naive</x:v>
      </x:c>
      <x:c r="F1780" s="10" t="n">
        <x:v>30</x:v>
      </x:c>
      <x:c r="G1780" s="10" t="n">
        <x:v>10</x:v>
      </x:c>
      <x:c r="H1780" s="10" t="n">
        <x:f>ABS(G1780-F1780)</x:f>
        <x:v>20</x:v>
      </x:c>
      <x:c r="I1780" s="10" t="n">
        <x:f>G1780-F1780</x:f>
        <x:v>-20</x:v>
      </x:c>
    </x:row>
    <x:row r="1781" ht="20" customHeight="1">
      <x:c r="A1781" s="1" t="str">
        <x:v>22960</x:v>
      </x:c>
      <x:c r="B1781" s="10" t="n">
        <x:v>1</x:v>
      </x:c>
      <x:c r="C1781" s="9" t="d">
        <x:v>2011-10-19T00:00:00.000Z</x:v>
      </x:c>
      <x:c r="D1781" s="9" t="d">
        <x:v>2011-10-31T00:00:00.000Z</x:v>
      </x:c>
      <x:c r="E1781" s="1" t="str">
        <x:v>naive</x:v>
      </x:c>
      <x:c r="F1781" s="10" t="n">
        <x:v>73</x:v>
      </x:c>
      <x:c r="G1781" s="10" t="n">
        <x:v>10</x:v>
      </x:c>
      <x:c r="H1781" s="10" t="n">
        <x:f>ABS(G1781-F1781)</x:f>
        <x:v>63</x:v>
      </x:c>
      <x:c r="I1781" s="10" t="n">
        <x:f>G1781-F1781</x:f>
        <x:v>-63</x:v>
      </x:c>
    </x:row>
    <x:row r="1782" ht="20" customHeight="1">
      <x:c r="A1782" s="1" t="str">
        <x:v>22960</x:v>
      </x:c>
      <x:c r="B1782" s="10" t="n">
        <x:v>1</x:v>
      </x:c>
      <x:c r="C1782" s="9" t="d">
        <x:v>2011-10-19T00:00:00.000Z</x:v>
      </x:c>
      <x:c r="D1782" s="9" t="d">
        <x:v>2011-11-01T00:00:00.000Z</x:v>
      </x:c>
      <x:c r="E1782" s="1" t="str">
        <x:v>naive</x:v>
      </x:c>
      <x:c r="F1782" s="10" t="n">
        <x:v>2</x:v>
      </x:c>
      <x:c r="G1782" s="10" t="n">
        <x:v>10</x:v>
      </x:c>
      <x:c r="H1782" s="10" t="n">
        <x:f>ABS(G1782-F1782)</x:f>
        <x:v>8</x:v>
      </x:c>
      <x:c r="I1782" s="10" t="n">
        <x:f>G1782-F1782</x:f>
        <x:v>8</x:v>
      </x:c>
    </x:row>
    <x:row r="1783" ht="20" customHeight="1">
      <x:c r="A1783" s="1" t="str">
        <x:v>22960</x:v>
      </x:c>
      <x:c r="B1783" s="10" t="n">
        <x:v>1</x:v>
      </x:c>
      <x:c r="C1783" s="9" t="d">
        <x:v>2011-10-19T00:00:00.000Z</x:v>
      </x:c>
      <x:c r="D1783" s="9" t="d">
        <x:v>2011-11-02T00:00:00.000Z</x:v>
      </x:c>
      <x:c r="E1783" s="1" t="str">
        <x:v>naive</x:v>
      </x:c>
      <x:c r="F1783" s="10" t="n">
        <x:v>7</x:v>
      </x:c>
      <x:c r="G1783" s="10" t="n">
        <x:v>10</x:v>
      </x:c>
      <x:c r="H1783" s="10" t="n">
        <x:f>ABS(G1783-F1783)</x:f>
        <x:v>3</x:v>
      </x:c>
      <x:c r="I1783" s="10" t="n">
        <x:f>G1783-F1783</x:f>
        <x:v>3</x:v>
      </x:c>
    </x:row>
    <x:row r="1784" ht="20" customHeight="1">
      <x:c r="A1784" s="1" t="str">
        <x:v>22960</x:v>
      </x:c>
      <x:c r="B1784" s="10" t="n">
        <x:v>1</x:v>
      </x:c>
      <x:c r="C1784" s="9" t="d">
        <x:v>2011-10-19T00:00:00.000Z</x:v>
      </x:c>
      <x:c r="D1784" s="9" t="d">
        <x:v>2011-10-20T00:00:00.000Z</x:v>
      </x:c>
      <x:c r="E1784" s="1" t="str">
        <x:v>seasonal_naive</x:v>
      </x:c>
      <x:c r="F1784" s="10" t="n">
        <x:v>12</x:v>
      </x:c>
      <x:c r="G1784" s="10" t="n">
        <x:v>27</x:v>
      </x:c>
      <x:c r="H1784" s="10" t="n">
        <x:f>ABS(G1784-F1784)</x:f>
        <x:v>15</x:v>
      </x:c>
      <x:c r="I1784" s="10" t="n">
        <x:f>G1784-F1784</x:f>
        <x:v>15</x:v>
      </x:c>
    </x:row>
    <x:row r="1785" ht="20" customHeight="1">
      <x:c r="A1785" s="1" t="str">
        <x:v>22960</x:v>
      </x:c>
      <x:c r="B1785" s="10" t="n">
        <x:v>1</x:v>
      </x:c>
      <x:c r="C1785" s="9" t="d">
        <x:v>2011-10-19T00:00:00.000Z</x:v>
      </x:c>
      <x:c r="D1785" s="9" t="d">
        <x:v>2011-10-21T00:00:00.000Z</x:v>
      </x:c>
      <x:c r="E1785" s="1" t="str">
        <x:v>seasonal_naive</x:v>
      </x:c>
      <x:c r="F1785" s="10" t="n">
        <x:v>0</x:v>
      </x:c>
      <x:c r="G1785" s="10" t="n">
        <x:v>18</x:v>
      </x:c>
      <x:c r="H1785" s="10" t="n">
        <x:f>ABS(G1785-F1785)</x:f>
        <x:v>18</x:v>
      </x:c>
      <x:c r="I1785" s="10" t="n">
        <x:f>G1785-F1785</x:f>
        <x:v>18</x:v>
      </x:c>
    </x:row>
    <x:row r="1786" ht="20" customHeight="1">
      <x:c r="A1786" s="1" t="str">
        <x:v>22960</x:v>
      </x:c>
      <x:c r="B1786" s="10" t="n">
        <x:v>1</x:v>
      </x:c>
      <x:c r="C1786" s="9" t="d">
        <x:v>2011-10-19T00:00:00.000Z</x:v>
      </x:c>
      <x:c r="D1786" s="9" t="d">
        <x:v>2011-10-22T00:00:00.000Z</x:v>
      </x:c>
      <x:c r="E1786" s="1" t="str">
        <x:v>seasonal_naive</x:v>
      </x:c>
      <x:c r="F1786" s="10" t="n">
        <x:v>0</x:v>
      </x:c>
      <x:c r="G1786" s="10" t="n">
        <x:v>0</x:v>
      </x:c>
      <x:c r="H1786" s="10" t="n">
        <x:f>ABS(G1786-F1786)</x:f>
        <x:v>0</x:v>
      </x:c>
      <x:c r="I1786" s="10" t="n">
        <x:f>G1786-F1786</x:f>
        <x:v>0</x:v>
      </x:c>
    </x:row>
    <x:row r="1787" ht="20" customHeight="1">
      <x:c r="A1787" s="1" t="str">
        <x:v>22960</x:v>
      </x:c>
      <x:c r="B1787" s="10" t="n">
        <x:v>1</x:v>
      </x:c>
      <x:c r="C1787" s="9" t="d">
        <x:v>2011-10-19T00:00:00.000Z</x:v>
      </x:c>
      <x:c r="D1787" s="9" t="d">
        <x:v>2011-10-23T00:00:00.000Z</x:v>
      </x:c>
      <x:c r="E1787" s="1" t="str">
        <x:v>seasonal_naive</x:v>
      </x:c>
      <x:c r="F1787" s="10" t="n">
        <x:v>9</x:v>
      </x:c>
      <x:c r="G1787" s="10" t="n">
        <x:v>78</x:v>
      </x:c>
      <x:c r="H1787" s="10" t="n">
        <x:f>ABS(G1787-F1787)</x:f>
        <x:v>69</x:v>
      </x:c>
      <x:c r="I1787" s="10" t="n">
        <x:f>G1787-F1787</x:f>
        <x:v>69</x:v>
      </x:c>
    </x:row>
    <x:row r="1788" ht="20" customHeight="1">
      <x:c r="A1788" s="1" t="str">
        <x:v>22960</x:v>
      </x:c>
      <x:c r="B1788" s="10" t="n">
        <x:v>1</x:v>
      </x:c>
      <x:c r="C1788" s="9" t="d">
        <x:v>2011-10-19T00:00:00.000Z</x:v>
      </x:c>
      <x:c r="D1788" s="9" t="d">
        <x:v>2011-10-24T00:00:00.000Z</x:v>
      </x:c>
      <x:c r="E1788" s="1" t="str">
        <x:v>seasonal_naive</x:v>
      </x:c>
      <x:c r="F1788" s="10" t="n">
        <x:v>4</x:v>
      </x:c>
      <x:c r="G1788" s="10" t="n">
        <x:v>10</x:v>
      </x:c>
      <x:c r="H1788" s="10" t="n">
        <x:f>ABS(G1788-F1788)</x:f>
        <x:v>6</x:v>
      </x:c>
      <x:c r="I1788" s="10" t="n">
        <x:f>G1788-F1788</x:f>
        <x:v>6</x:v>
      </x:c>
    </x:row>
    <x:row r="1789" ht="20" customHeight="1">
      <x:c r="A1789" s="1" t="str">
        <x:v>22960</x:v>
      </x:c>
      <x:c r="B1789" s="10" t="n">
        <x:v>1</x:v>
      </x:c>
      <x:c r="C1789" s="9" t="d">
        <x:v>2011-10-19T00:00:00.000Z</x:v>
      </x:c>
      <x:c r="D1789" s="9" t="d">
        <x:v>2011-10-25T00:00:00.000Z</x:v>
      </x:c>
      <x:c r="E1789" s="1" t="str">
        <x:v>seasonal_naive</x:v>
      </x:c>
      <x:c r="F1789" s="10" t="n">
        <x:v>36</x:v>
      </x:c>
      <x:c r="G1789" s="10" t="n">
        <x:v>25</x:v>
      </x:c>
      <x:c r="H1789" s="10" t="n">
        <x:f>ABS(G1789-F1789)</x:f>
        <x:v>11</x:v>
      </x:c>
      <x:c r="I1789" s="10" t="n">
        <x:f>G1789-F1789</x:f>
        <x:v>-11</x:v>
      </x:c>
    </x:row>
    <x:row r="1790" ht="20" customHeight="1">
      <x:c r="A1790" s="1" t="str">
        <x:v>22960</x:v>
      </x:c>
      <x:c r="B1790" s="10" t="n">
        <x:v>1</x:v>
      </x:c>
      <x:c r="C1790" s="9" t="d">
        <x:v>2011-10-19T00:00:00.000Z</x:v>
      </x:c>
      <x:c r="D1790" s="9" t="d">
        <x:v>2011-10-26T00:00:00.000Z</x:v>
      </x:c>
      <x:c r="E1790" s="1" t="str">
        <x:v>seasonal_naive</x:v>
      </x:c>
      <x:c r="F1790" s="10" t="n">
        <x:v>11</x:v>
      </x:c>
      <x:c r="G1790" s="10" t="n">
        <x:v>10</x:v>
      </x:c>
      <x:c r="H1790" s="10" t="n">
        <x:f>ABS(G1790-F1790)</x:f>
        <x:v>1</x:v>
      </x:c>
      <x:c r="I1790" s="10" t="n">
        <x:f>G1790-F1790</x:f>
        <x:v>-1</x:v>
      </x:c>
    </x:row>
    <x:row r="1791" ht="20" customHeight="1">
      <x:c r="A1791" s="1" t="str">
        <x:v>22960</x:v>
      </x:c>
      <x:c r="B1791" s="10" t="n">
        <x:v>1</x:v>
      </x:c>
      <x:c r="C1791" s="9" t="d">
        <x:v>2011-10-19T00:00:00.000Z</x:v>
      </x:c>
      <x:c r="D1791" s="9" t="d">
        <x:v>2011-10-27T00:00:00.000Z</x:v>
      </x:c>
      <x:c r="E1791" s="1" t="str">
        <x:v>seasonal_naive</x:v>
      </x:c>
      <x:c r="F1791" s="10" t="n">
        <x:v>25</x:v>
      </x:c>
      <x:c r="G1791" s="10" t="n">
        <x:v>27</x:v>
      </x:c>
      <x:c r="H1791" s="10" t="n">
        <x:f>ABS(G1791-F1791)</x:f>
        <x:v>2</x:v>
      </x:c>
      <x:c r="I1791" s="10" t="n">
        <x:f>G1791-F1791</x:f>
        <x:v>2</x:v>
      </x:c>
    </x:row>
    <x:row r="1792" ht="20" customHeight="1">
      <x:c r="A1792" s="1" t="str">
        <x:v>22960</x:v>
      </x:c>
      <x:c r="B1792" s="10" t="n">
        <x:v>1</x:v>
      </x:c>
      <x:c r="C1792" s="9" t="d">
        <x:v>2011-10-19T00:00:00.000Z</x:v>
      </x:c>
      <x:c r="D1792" s="9" t="d">
        <x:v>2011-10-28T00:00:00.000Z</x:v>
      </x:c>
      <x:c r="E1792" s="1" t="str">
        <x:v>seasonal_naive</x:v>
      </x:c>
      <x:c r="F1792" s="10" t="n">
        <x:v>18</x:v>
      </x:c>
      <x:c r="G1792" s="10" t="n">
        <x:v>18</x:v>
      </x:c>
      <x:c r="H1792" s="10" t="n">
        <x:f>ABS(G1792-F1792)</x:f>
        <x:v>0</x:v>
      </x:c>
      <x:c r="I1792" s="10" t="n">
        <x:f>G1792-F1792</x:f>
        <x:v>0</x:v>
      </x:c>
    </x:row>
    <x:row r="1793" ht="20" customHeight="1">
      <x:c r="A1793" s="1" t="str">
        <x:v>22960</x:v>
      </x:c>
      <x:c r="B1793" s="10" t="n">
        <x:v>1</x:v>
      </x:c>
      <x:c r="C1793" s="9" t="d">
        <x:v>2011-10-19T00:00:00.000Z</x:v>
      </x:c>
      <x:c r="D1793" s="9" t="d">
        <x:v>2011-10-29T00:00:00.000Z</x:v>
      </x:c>
      <x:c r="E1793" s="1" t="str">
        <x:v>seasonal_naive</x:v>
      </x:c>
      <x:c r="F1793" s="10" t="n">
        <x:v>0</x:v>
      </x:c>
      <x:c r="G1793" s="10" t="n">
        <x:v>0</x:v>
      </x:c>
      <x:c r="H1793" s="10" t="n">
        <x:f>ABS(G1793-F1793)</x:f>
        <x:v>0</x:v>
      </x:c>
      <x:c r="I1793" s="10" t="n">
        <x:f>G1793-F1793</x:f>
        <x:v>0</x:v>
      </x:c>
    </x:row>
    <x:row r="1794" ht="20" customHeight="1">
      <x:c r="A1794" s="1" t="str">
        <x:v>22960</x:v>
      </x:c>
      <x:c r="B1794" s="10" t="n">
        <x:v>1</x:v>
      </x:c>
      <x:c r="C1794" s="9" t="d">
        <x:v>2011-10-19T00:00:00.000Z</x:v>
      </x:c>
      <x:c r="D1794" s="9" t="d">
        <x:v>2011-10-30T00:00:00.000Z</x:v>
      </x:c>
      <x:c r="E1794" s="1" t="str">
        <x:v>seasonal_naive</x:v>
      </x:c>
      <x:c r="F1794" s="10" t="n">
        <x:v>30</x:v>
      </x:c>
      <x:c r="G1794" s="10" t="n">
        <x:v>78</x:v>
      </x:c>
      <x:c r="H1794" s="10" t="n">
        <x:f>ABS(G1794-F1794)</x:f>
        <x:v>48</x:v>
      </x:c>
      <x:c r="I1794" s="10" t="n">
        <x:f>G1794-F1794</x:f>
        <x:v>48</x:v>
      </x:c>
    </x:row>
    <x:row r="1795" ht="20" customHeight="1">
      <x:c r="A1795" s="1" t="str">
        <x:v>22960</x:v>
      </x:c>
      <x:c r="B1795" s="10" t="n">
        <x:v>1</x:v>
      </x:c>
      <x:c r="C1795" s="9" t="d">
        <x:v>2011-10-19T00:00:00.000Z</x:v>
      </x:c>
      <x:c r="D1795" s="9" t="d">
        <x:v>2011-10-31T00:00:00.000Z</x:v>
      </x:c>
      <x:c r="E1795" s="1" t="str">
        <x:v>seasonal_naive</x:v>
      </x:c>
      <x:c r="F1795" s="10" t="n">
        <x:v>73</x:v>
      </x:c>
      <x:c r="G1795" s="10" t="n">
        <x:v>10</x:v>
      </x:c>
      <x:c r="H1795" s="10" t="n">
        <x:f>ABS(G1795-F1795)</x:f>
        <x:v>63</x:v>
      </x:c>
      <x:c r="I1795" s="10" t="n">
        <x:f>G1795-F1795</x:f>
        <x:v>-63</x:v>
      </x:c>
    </x:row>
    <x:row r="1796" ht="20" customHeight="1">
      <x:c r="A1796" s="1" t="str">
        <x:v>22960</x:v>
      </x:c>
      <x:c r="B1796" s="10" t="n">
        <x:v>1</x:v>
      </x:c>
      <x:c r="C1796" s="9" t="d">
        <x:v>2011-10-19T00:00:00.000Z</x:v>
      </x:c>
      <x:c r="D1796" s="9" t="d">
        <x:v>2011-11-01T00:00:00.000Z</x:v>
      </x:c>
      <x:c r="E1796" s="1" t="str">
        <x:v>seasonal_naive</x:v>
      </x:c>
      <x:c r="F1796" s="10" t="n">
        <x:v>2</x:v>
      </x:c>
      <x:c r="G1796" s="10" t="n">
        <x:v>25</x:v>
      </x:c>
      <x:c r="H1796" s="10" t="n">
        <x:f>ABS(G1796-F1796)</x:f>
        <x:v>23</x:v>
      </x:c>
      <x:c r="I1796" s="10" t="n">
        <x:f>G1796-F1796</x:f>
        <x:v>23</x:v>
      </x:c>
    </x:row>
    <x:row r="1797" ht="20" customHeight="1">
      <x:c r="A1797" s="1" t="str">
        <x:v>22960</x:v>
      </x:c>
      <x:c r="B1797" s="10" t="n">
        <x:v>1</x:v>
      </x:c>
      <x:c r="C1797" s="9" t="d">
        <x:v>2011-10-19T00:00:00.000Z</x:v>
      </x:c>
      <x:c r="D1797" s="9" t="d">
        <x:v>2011-11-02T00:00:00.000Z</x:v>
      </x:c>
      <x:c r="E1797" s="1" t="str">
        <x:v>seasonal_naive</x:v>
      </x:c>
      <x:c r="F1797" s="10" t="n">
        <x:v>7</x:v>
      </x:c>
      <x:c r="G1797" s="10" t="n">
        <x:v>10</x:v>
      </x:c>
      <x:c r="H1797" s="10" t="n">
        <x:f>ABS(G1797-F1797)</x:f>
        <x:v>3</x:v>
      </x:c>
      <x:c r="I1797" s="10" t="n">
        <x:f>G1797-F1797</x:f>
        <x:v>3</x:v>
      </x:c>
    </x:row>
    <x:row r="1798" ht="20" customHeight="1">
      <x:c r="A1798" s="1" t="str">
        <x:v>22960</x:v>
      </x:c>
      <x:c r="B1798" s="10" t="n">
        <x:v>1</x:v>
      </x:c>
      <x:c r="C1798" s="9" t="d">
        <x:v>2011-10-19T00:00:00.000Z</x:v>
      </x:c>
      <x:c r="D1798" s="9" t="d">
        <x:v>2011-10-20T00:00:00.000Z</x:v>
      </x:c>
      <x:c r="E1798" s="1" t="str">
        <x:v>ridge</x:v>
      </x:c>
      <x:c r="F1798" s="10" t="n">
        <x:v>12</x:v>
      </x:c>
      <x:c r="G1798" s="10" t="n">
        <x:v>29.7029182007</x:v>
      </x:c>
      <x:c r="H1798" s="10" t="n">
        <x:f>ABS(G1798-F1798)</x:f>
        <x:v>17.7029182007</x:v>
      </x:c>
      <x:c r="I1798" s="10" t="n">
        <x:f>G1798-F1798</x:f>
        <x:v>17.7029182007</x:v>
      </x:c>
    </x:row>
    <x:row r="1799" ht="20" customHeight="1">
      <x:c r="A1799" s="1" t="str">
        <x:v>22960</x:v>
      </x:c>
      <x:c r="B1799" s="10" t="n">
        <x:v>1</x:v>
      </x:c>
      <x:c r="C1799" s="9" t="d">
        <x:v>2011-10-19T00:00:00.000Z</x:v>
      </x:c>
      <x:c r="D1799" s="9" t="d">
        <x:v>2011-10-21T00:00:00.000Z</x:v>
      </x:c>
      <x:c r="E1799" s="1" t="str">
        <x:v>ridge</x:v>
      </x:c>
      <x:c r="F1799" s="10" t="n">
        <x:v>0</x:v>
      </x:c>
      <x:c r="G1799" s="10" t="n">
        <x:v>19.3553945774</x:v>
      </x:c>
      <x:c r="H1799" s="10" t="n">
        <x:f>ABS(G1799-F1799)</x:f>
        <x:v>19.3553945774</x:v>
      </x:c>
      <x:c r="I1799" s="10" t="n">
        <x:f>G1799-F1799</x:f>
        <x:v>19.3553945774</x:v>
      </x:c>
    </x:row>
    <x:row r="1800" ht="20" customHeight="1">
      <x:c r="A1800" s="1" t="str">
        <x:v>22960</x:v>
      </x:c>
      <x:c r="B1800" s="10" t="n">
        <x:v>1</x:v>
      </x:c>
      <x:c r="C1800" s="9" t="d">
        <x:v>2011-10-19T00:00:00.000Z</x:v>
      </x:c>
      <x:c r="D1800" s="9" t="d">
        <x:v>2011-10-22T00:00:00.000Z</x:v>
      </x:c>
      <x:c r="E1800" s="1" t="str">
        <x:v>ridge</x:v>
      </x:c>
      <x:c r="F1800" s="10" t="n">
        <x:v>0</x:v>
      </x:c>
      <x:c r="G1800" s="10" t="n">
        <x:v>10.9785492974</x:v>
      </x:c>
      <x:c r="H1800" s="10" t="n">
        <x:f>ABS(G1800-F1800)</x:f>
        <x:v>10.9785492974</x:v>
      </x:c>
      <x:c r="I1800" s="10" t="n">
        <x:f>G1800-F1800</x:f>
        <x:v>10.9785492974</x:v>
      </x:c>
    </x:row>
    <x:row r="1801" ht="20" customHeight="1">
      <x:c r="A1801" s="1" t="str">
        <x:v>22960</x:v>
      </x:c>
      <x:c r="B1801" s="10" t="n">
        <x:v>1</x:v>
      </x:c>
      <x:c r="C1801" s="9" t="d">
        <x:v>2011-10-19T00:00:00.000Z</x:v>
      </x:c>
      <x:c r="D1801" s="9" t="d">
        <x:v>2011-10-23T00:00:00.000Z</x:v>
      </x:c>
      <x:c r="E1801" s="1" t="str">
        <x:v>ridge</x:v>
      </x:c>
      <x:c r="F1801" s="10" t="n">
        <x:v>9</x:v>
      </x:c>
      <x:c r="G1801" s="10" t="n">
        <x:v>11.5572275859</x:v>
      </x:c>
      <x:c r="H1801" s="10" t="n">
        <x:f>ABS(G1801-F1801)</x:f>
        <x:v>2.5572275858999998</x:v>
      </x:c>
      <x:c r="I1801" s="10" t="n">
        <x:f>G1801-F1801</x:f>
        <x:v>2.5572275858999998</x:v>
      </x:c>
    </x:row>
    <x:row r="1802" ht="20" customHeight="1">
      <x:c r="A1802" s="1" t="str">
        <x:v>22960</x:v>
      </x:c>
      <x:c r="B1802" s="10" t="n">
        <x:v>1</x:v>
      </x:c>
      <x:c r="C1802" s="9" t="d">
        <x:v>2011-10-19T00:00:00.000Z</x:v>
      </x:c>
      <x:c r="D1802" s="9" t="d">
        <x:v>2011-10-24T00:00:00.000Z</x:v>
      </x:c>
      <x:c r="E1802" s="1" t="str">
        <x:v>ridge</x:v>
      </x:c>
      <x:c r="F1802" s="10" t="n">
        <x:v>4</x:v>
      </x:c>
      <x:c r="G1802" s="10" t="n">
        <x:v>17.7496097241</x:v>
      </x:c>
      <x:c r="H1802" s="10" t="n">
        <x:f>ABS(G1802-F1802)</x:f>
        <x:v>13.7496097241</x:v>
      </x:c>
      <x:c r="I1802" s="10" t="n">
        <x:f>G1802-F1802</x:f>
        <x:v>13.7496097241</x:v>
      </x:c>
    </x:row>
    <x:row r="1803" ht="20" customHeight="1">
      <x:c r="A1803" s="1" t="str">
        <x:v>22960</x:v>
      </x:c>
      <x:c r="B1803" s="10" t="n">
        <x:v>1</x:v>
      </x:c>
      <x:c r="C1803" s="9" t="d">
        <x:v>2011-10-19T00:00:00.000Z</x:v>
      </x:c>
      <x:c r="D1803" s="9" t="d">
        <x:v>2011-10-25T00:00:00.000Z</x:v>
      </x:c>
      <x:c r="E1803" s="1" t="str">
        <x:v>ridge</x:v>
      </x:c>
      <x:c r="F1803" s="10" t="n">
        <x:v>36</x:v>
      </x:c>
      <x:c r="G1803" s="10" t="n">
        <x:v>29.0374646513</x:v>
      </x:c>
      <x:c r="H1803" s="10" t="n">
        <x:f>ABS(G1803-F1803)</x:f>
        <x:v>6.962535348700001</x:v>
      </x:c>
      <x:c r="I1803" s="10" t="n">
        <x:f>G1803-F1803</x:f>
        <x:v>-6.962535348700001</x:v>
      </x:c>
    </x:row>
    <x:row r="1804" ht="20" customHeight="1">
      <x:c r="A1804" s="1" t="str">
        <x:v>22960</x:v>
      </x:c>
      <x:c r="B1804" s="10" t="n">
        <x:v>1</x:v>
      </x:c>
      <x:c r="C1804" s="9" t="d">
        <x:v>2011-10-19T00:00:00.000Z</x:v>
      </x:c>
      <x:c r="D1804" s="9" t="d">
        <x:v>2011-10-26T00:00:00.000Z</x:v>
      </x:c>
      <x:c r="E1804" s="1" t="str">
        <x:v>ridge</x:v>
      </x:c>
      <x:c r="F1804" s="10" t="n">
        <x:v>11</x:v>
      </x:c>
      <x:c r="G1804" s="10" t="n">
        <x:v>33.8338491496</x:v>
      </x:c>
      <x:c r="H1804" s="10" t="n">
        <x:f>ABS(G1804-F1804)</x:f>
        <x:v>22.8338491496</x:v>
      </x:c>
      <x:c r="I1804" s="10" t="n">
        <x:f>G1804-F1804</x:f>
        <x:v>22.8338491496</x:v>
      </x:c>
    </x:row>
    <x:row r="1805" ht="20" customHeight="1">
      <x:c r="A1805" s="1" t="str">
        <x:v>22960</x:v>
      </x:c>
      <x:c r="B1805" s="10" t="n">
        <x:v>1</x:v>
      </x:c>
      <x:c r="C1805" s="9" t="d">
        <x:v>2011-10-19T00:00:00.000Z</x:v>
      </x:c>
      <x:c r="D1805" s="9" t="d">
        <x:v>2011-10-27T00:00:00.000Z</x:v>
      </x:c>
      <x:c r="E1805" s="1" t="str">
        <x:v>ridge</x:v>
      </x:c>
      <x:c r="F1805" s="10" t="n">
        <x:v>25</x:v>
      </x:c>
      <x:c r="G1805" s="10" t="n">
        <x:v>29.6867006265</x:v>
      </x:c>
      <x:c r="H1805" s="10" t="n">
        <x:f>ABS(G1805-F1805)</x:f>
        <x:v>4.686700626499999</x:v>
      </x:c>
      <x:c r="I1805" s="10" t="n">
        <x:f>G1805-F1805</x:f>
        <x:v>4.686700626499999</x:v>
      </x:c>
    </x:row>
    <x:row r="1806" ht="20" customHeight="1">
      <x:c r="A1806" s="1" t="str">
        <x:v>22960</x:v>
      </x:c>
      <x:c r="B1806" s="10" t="n">
        <x:v>1</x:v>
      </x:c>
      <x:c r="C1806" s="9" t="d">
        <x:v>2011-10-19T00:00:00.000Z</x:v>
      </x:c>
      <x:c r="D1806" s="9" t="d">
        <x:v>2011-10-28T00:00:00.000Z</x:v>
      </x:c>
      <x:c r="E1806" s="1" t="str">
        <x:v>ridge</x:v>
      </x:c>
      <x:c r="F1806" s="10" t="n">
        <x:v>18</x:v>
      </x:c>
      <x:c r="G1806" s="10" t="n">
        <x:v>18.8516565096</x:v>
      </x:c>
      <x:c r="H1806" s="10" t="n">
        <x:f>ABS(G1806-F1806)</x:f>
        <x:v>0.8516565096000015</x:v>
      </x:c>
      <x:c r="I1806" s="10" t="n">
        <x:f>G1806-F1806</x:f>
        <x:v>0.8516565096000015</x:v>
      </x:c>
    </x:row>
    <x:row r="1807" ht="20" customHeight="1">
      <x:c r="A1807" s="1" t="str">
        <x:v>22960</x:v>
      </x:c>
      <x:c r="B1807" s="10" t="n">
        <x:v>1</x:v>
      </x:c>
      <x:c r="C1807" s="9" t="d">
        <x:v>2011-10-19T00:00:00.000Z</x:v>
      </x:c>
      <x:c r="D1807" s="9" t="d">
        <x:v>2011-10-29T00:00:00.000Z</x:v>
      </x:c>
      <x:c r="E1807" s="1" t="str">
        <x:v>ridge</x:v>
      </x:c>
      <x:c r="F1807" s="10" t="n">
        <x:v>0</x:v>
      </x:c>
      <x:c r="G1807" s="10" t="n">
        <x:v>10.4146293835</x:v>
      </x:c>
      <x:c r="H1807" s="10" t="n">
        <x:f>ABS(G1807-F1807)</x:f>
        <x:v>10.4146293835</x:v>
      </x:c>
      <x:c r="I1807" s="10" t="n">
        <x:f>G1807-F1807</x:f>
        <x:v>10.4146293835</x:v>
      </x:c>
    </x:row>
    <x:row r="1808" ht="20" customHeight="1">
      <x:c r="A1808" s="1" t="str">
        <x:v>22960</x:v>
      </x:c>
      <x:c r="B1808" s="10" t="n">
        <x:v>1</x:v>
      </x:c>
      <x:c r="C1808" s="9" t="d">
        <x:v>2011-10-19T00:00:00.000Z</x:v>
      </x:c>
      <x:c r="D1808" s="9" t="d">
        <x:v>2011-10-30T00:00:00.000Z</x:v>
      </x:c>
      <x:c r="E1808" s="1" t="str">
        <x:v>ridge</x:v>
      </x:c>
      <x:c r="F1808" s="10" t="n">
        <x:v>30</x:v>
      </x:c>
      <x:c r="G1808" s="10" t="n">
        <x:v>10.7597598385</x:v>
      </x:c>
      <x:c r="H1808" s="10" t="n">
        <x:f>ABS(G1808-F1808)</x:f>
        <x:v>19.240240161499997</x:v>
      </x:c>
      <x:c r="I1808" s="10" t="n">
        <x:f>G1808-F1808</x:f>
        <x:v>-19.240240161499997</x:v>
      </x:c>
    </x:row>
    <x:row r="1809" ht="20" customHeight="1">
      <x:c r="A1809" s="1" t="str">
        <x:v>22960</x:v>
      </x:c>
      <x:c r="B1809" s="10" t="n">
        <x:v>1</x:v>
      </x:c>
      <x:c r="C1809" s="9" t="d">
        <x:v>2011-10-19T00:00:00.000Z</x:v>
      </x:c>
      <x:c r="D1809" s="9" t="d">
        <x:v>2011-10-31T00:00:00.000Z</x:v>
      </x:c>
      <x:c r="E1809" s="1" t="str">
        <x:v>ridge</x:v>
      </x:c>
      <x:c r="F1809" s="10" t="n">
        <x:v>73</x:v>
      </x:c>
      <x:c r="G1809" s="10" t="n">
        <x:v>19.1816332934</x:v>
      </x:c>
      <x:c r="H1809" s="10" t="n">
        <x:f>ABS(G1809-F1809)</x:f>
        <x:v>53.8183667066</x:v>
      </x:c>
      <x:c r="I1809" s="10" t="n">
        <x:f>G1809-F1809</x:f>
        <x:v>-53.8183667066</x:v>
      </x:c>
    </x:row>
    <x:row r="1810" ht="20" customHeight="1">
      <x:c r="A1810" s="1" t="str">
        <x:v>22960</x:v>
      </x:c>
      <x:c r="B1810" s="10" t="n">
        <x:v>1</x:v>
      </x:c>
      <x:c r="C1810" s="9" t="d">
        <x:v>2011-10-19T00:00:00.000Z</x:v>
      </x:c>
      <x:c r="D1810" s="9" t="d">
        <x:v>2011-11-01T00:00:00.000Z</x:v>
      </x:c>
      <x:c r="E1810" s="1" t="str">
        <x:v>ridge</x:v>
      </x:c>
      <x:c r="F1810" s="10" t="n">
        <x:v>2</x:v>
      </x:c>
      <x:c r="G1810" s="10" t="n">
        <x:v>29.849191457</x:v>
      </x:c>
      <x:c r="H1810" s="10" t="n">
        <x:f>ABS(G1810-F1810)</x:f>
        <x:v>27.849191457</x:v>
      </x:c>
      <x:c r="I1810" s="10" t="n">
        <x:f>G1810-F1810</x:f>
        <x:v>27.849191457</x:v>
      </x:c>
    </x:row>
    <x:row r="1811" ht="20" customHeight="1">
      <x:c r="A1811" s="1" t="str">
        <x:v>22960</x:v>
      </x:c>
      <x:c r="B1811" s="10" t="n">
        <x:v>1</x:v>
      </x:c>
      <x:c r="C1811" s="9" t="d">
        <x:v>2011-10-19T00:00:00.000Z</x:v>
      </x:c>
      <x:c r="D1811" s="9" t="d">
        <x:v>2011-11-02T00:00:00.000Z</x:v>
      </x:c>
      <x:c r="E1811" s="1" t="str">
        <x:v>ridge</x:v>
      </x:c>
      <x:c r="F1811" s="10" t="n">
        <x:v>7</x:v>
      </x:c>
      <x:c r="G1811" s="10" t="n">
        <x:v>34.3638447</x:v>
      </x:c>
      <x:c r="H1811" s="10" t="n">
        <x:f>ABS(G1811-F1811)</x:f>
        <x:v>27.3638447</x:v>
      </x:c>
      <x:c r="I1811" s="10" t="n">
        <x:f>G1811-F1811</x:f>
        <x:v>27.3638447</x:v>
      </x:c>
    </x:row>
    <x:row r="1812" ht="20" customHeight="1">
      <x:c r="A1812" s="1" t="str">
        <x:v>22960</x:v>
      </x:c>
      <x:c r="B1812" s="10" t="n">
        <x:v>2</x:v>
      </x:c>
      <x:c r="C1812" s="9" t="d">
        <x:v>2011-11-02T00:00:00.000Z</x:v>
      </x:c>
      <x:c r="D1812" s="9" t="d">
        <x:v>2011-11-03T00:00:00.000Z</x:v>
      </x:c>
      <x:c r="E1812" s="1" t="str">
        <x:v>naive</x:v>
      </x:c>
      <x:c r="F1812" s="10" t="n">
        <x:v>161</x:v>
      </x:c>
      <x:c r="G1812" s="10" t="n">
        <x:v>7</x:v>
      </x:c>
      <x:c r="H1812" s="10" t="n">
        <x:f>ABS(G1812-F1812)</x:f>
        <x:v>154</x:v>
      </x:c>
      <x:c r="I1812" s="10" t="n">
        <x:f>G1812-F1812</x:f>
        <x:v>-154</x:v>
      </x:c>
    </x:row>
    <x:row r="1813" ht="20" customHeight="1">
      <x:c r="A1813" s="1" t="str">
        <x:v>22960</x:v>
      </x:c>
      <x:c r="B1813" s="10" t="n">
        <x:v>2</x:v>
      </x:c>
      <x:c r="C1813" s="9" t="d">
        <x:v>2011-11-02T00:00:00.000Z</x:v>
      </x:c>
      <x:c r="D1813" s="9" t="d">
        <x:v>2011-11-04T00:00:00.000Z</x:v>
      </x:c>
      <x:c r="E1813" s="1" t="str">
        <x:v>naive</x:v>
      </x:c>
      <x:c r="F1813" s="10" t="n">
        <x:v>57</x:v>
      </x:c>
      <x:c r="G1813" s="10" t="n">
        <x:v>7</x:v>
      </x:c>
      <x:c r="H1813" s="10" t="n">
        <x:f>ABS(G1813-F1813)</x:f>
        <x:v>50</x:v>
      </x:c>
      <x:c r="I1813" s="10" t="n">
        <x:f>G1813-F1813</x:f>
        <x:v>-50</x:v>
      </x:c>
    </x:row>
    <x:row r="1814" ht="20" customHeight="1">
      <x:c r="A1814" s="1" t="str">
        <x:v>22960</x:v>
      </x:c>
      <x:c r="B1814" s="10" t="n">
        <x:v>2</x:v>
      </x:c>
      <x:c r="C1814" s="9" t="d">
        <x:v>2011-11-02T00:00:00.000Z</x:v>
      </x:c>
      <x:c r="D1814" s="9" t="d">
        <x:v>2011-11-05T00:00:00.000Z</x:v>
      </x:c>
      <x:c r="E1814" s="1" t="str">
        <x:v>naive</x:v>
      </x:c>
      <x:c r="F1814" s="10" t="n">
        <x:v>0</x:v>
      </x:c>
      <x:c r="G1814" s="10" t="n">
        <x:v>7</x:v>
      </x:c>
      <x:c r="H1814" s="10" t="n">
        <x:f>ABS(G1814-F1814)</x:f>
        <x:v>7</x:v>
      </x:c>
      <x:c r="I1814" s="10" t="n">
        <x:f>G1814-F1814</x:f>
        <x:v>7</x:v>
      </x:c>
    </x:row>
    <x:row r="1815" ht="20" customHeight="1">
      <x:c r="A1815" s="1" t="str">
        <x:v>22960</x:v>
      </x:c>
      <x:c r="B1815" s="10" t="n">
        <x:v>2</x:v>
      </x:c>
      <x:c r="C1815" s="9" t="d">
        <x:v>2011-11-02T00:00:00.000Z</x:v>
      </x:c>
      <x:c r="D1815" s="9" t="d">
        <x:v>2011-11-06T00:00:00.000Z</x:v>
      </x:c>
      <x:c r="E1815" s="1" t="str">
        <x:v>naive</x:v>
      </x:c>
      <x:c r="F1815" s="10" t="n">
        <x:v>0</x:v>
      </x:c>
      <x:c r="G1815" s="10" t="n">
        <x:v>7</x:v>
      </x:c>
      <x:c r="H1815" s="10" t="n">
        <x:f>ABS(G1815-F1815)</x:f>
        <x:v>7</x:v>
      </x:c>
      <x:c r="I1815" s="10" t="n">
        <x:f>G1815-F1815</x:f>
        <x:v>7</x:v>
      </x:c>
    </x:row>
    <x:row r="1816" ht="20" customHeight="1">
      <x:c r="A1816" s="1" t="str">
        <x:v>22960</x:v>
      </x:c>
      <x:c r="B1816" s="10" t="n">
        <x:v>2</x:v>
      </x:c>
      <x:c r="C1816" s="9" t="d">
        <x:v>2011-11-02T00:00:00.000Z</x:v>
      </x:c>
      <x:c r="D1816" s="9" t="d">
        <x:v>2011-11-07T00:00:00.000Z</x:v>
      </x:c>
      <x:c r="E1816" s="1" t="str">
        <x:v>naive</x:v>
      </x:c>
      <x:c r="F1816" s="10" t="n">
        <x:v>28</x:v>
      </x:c>
      <x:c r="G1816" s="10" t="n">
        <x:v>7</x:v>
      </x:c>
      <x:c r="H1816" s="10" t="n">
        <x:f>ABS(G1816-F1816)</x:f>
        <x:v>21</x:v>
      </x:c>
      <x:c r="I1816" s="10" t="n">
        <x:f>G1816-F1816</x:f>
        <x:v>-21</x:v>
      </x:c>
    </x:row>
    <x:row r="1817" ht="20" customHeight="1">
      <x:c r="A1817" s="1" t="str">
        <x:v>22960</x:v>
      </x:c>
      <x:c r="B1817" s="10" t="n">
        <x:v>2</x:v>
      </x:c>
      <x:c r="C1817" s="9" t="d">
        <x:v>2011-11-02T00:00:00.000Z</x:v>
      </x:c>
      <x:c r="D1817" s="9" t="d">
        <x:v>2011-11-08T00:00:00.000Z</x:v>
      </x:c>
      <x:c r="E1817" s="1" t="str">
        <x:v>naive</x:v>
      </x:c>
      <x:c r="F1817" s="10" t="n">
        <x:v>10</x:v>
      </x:c>
      <x:c r="G1817" s="10" t="n">
        <x:v>7</x:v>
      </x:c>
      <x:c r="H1817" s="10" t="n">
        <x:f>ABS(G1817-F1817)</x:f>
        <x:v>3</x:v>
      </x:c>
      <x:c r="I1817" s="10" t="n">
        <x:f>G1817-F1817</x:f>
        <x:v>-3</x:v>
      </x:c>
    </x:row>
    <x:row r="1818" ht="20" customHeight="1">
      <x:c r="A1818" s="1" t="str">
        <x:v>22960</x:v>
      </x:c>
      <x:c r="B1818" s="10" t="n">
        <x:v>2</x:v>
      </x:c>
      <x:c r="C1818" s="9" t="d">
        <x:v>2011-11-02T00:00:00.000Z</x:v>
      </x:c>
      <x:c r="D1818" s="9" t="d">
        <x:v>2011-11-09T00:00:00.000Z</x:v>
      </x:c>
      <x:c r="E1818" s="1" t="str">
        <x:v>naive</x:v>
      </x:c>
      <x:c r="F1818" s="10" t="n">
        <x:v>8</x:v>
      </x:c>
      <x:c r="G1818" s="10" t="n">
        <x:v>7</x:v>
      </x:c>
      <x:c r="H1818" s="10" t="n">
        <x:f>ABS(G1818-F1818)</x:f>
        <x:v>1</x:v>
      </x:c>
      <x:c r="I1818" s="10" t="n">
        <x:f>G1818-F1818</x:f>
        <x:v>-1</x:v>
      </x:c>
    </x:row>
    <x:row r="1819" ht="20" customHeight="1">
      <x:c r="A1819" s="1" t="str">
        <x:v>22960</x:v>
      </x:c>
      <x:c r="B1819" s="10" t="n">
        <x:v>2</x:v>
      </x:c>
      <x:c r="C1819" s="9" t="d">
        <x:v>2011-11-02T00:00:00.000Z</x:v>
      </x:c>
      <x:c r="D1819" s="9" t="d">
        <x:v>2011-11-10T00:00:00.000Z</x:v>
      </x:c>
      <x:c r="E1819" s="1" t="str">
        <x:v>naive</x:v>
      </x:c>
      <x:c r="F1819" s="10" t="n">
        <x:v>64</x:v>
      </x:c>
      <x:c r="G1819" s="10" t="n">
        <x:v>7</x:v>
      </x:c>
      <x:c r="H1819" s="10" t="n">
        <x:f>ABS(G1819-F1819)</x:f>
        <x:v>57</x:v>
      </x:c>
      <x:c r="I1819" s="10" t="n">
        <x:f>G1819-F1819</x:f>
        <x:v>-57</x:v>
      </x:c>
    </x:row>
    <x:row r="1820" ht="20" customHeight="1">
      <x:c r="A1820" s="1" t="str">
        <x:v>22960</x:v>
      </x:c>
      <x:c r="B1820" s="10" t="n">
        <x:v>2</x:v>
      </x:c>
      <x:c r="C1820" s="9" t="d">
        <x:v>2011-11-02T00:00:00.000Z</x:v>
      </x:c>
      <x:c r="D1820" s="9" t="d">
        <x:v>2011-11-11T00:00:00.000Z</x:v>
      </x:c>
      <x:c r="E1820" s="1" t="str">
        <x:v>naive</x:v>
      </x:c>
      <x:c r="F1820" s="10" t="n">
        <x:v>5</x:v>
      </x:c>
      <x:c r="G1820" s="10" t="n">
        <x:v>7</x:v>
      </x:c>
      <x:c r="H1820" s="10" t="n">
        <x:f>ABS(G1820-F1820)</x:f>
        <x:v>2</x:v>
      </x:c>
      <x:c r="I1820" s="10" t="n">
        <x:f>G1820-F1820</x:f>
        <x:v>2</x:v>
      </x:c>
    </x:row>
    <x:row r="1821" ht="20" customHeight="1">
      <x:c r="A1821" s="1" t="str">
        <x:v>22960</x:v>
      </x:c>
      <x:c r="B1821" s="10" t="n">
        <x:v>2</x:v>
      </x:c>
      <x:c r="C1821" s="9" t="d">
        <x:v>2011-11-02T00:00:00.000Z</x:v>
      </x:c>
      <x:c r="D1821" s="9" t="d">
        <x:v>2011-11-12T00:00:00.000Z</x:v>
      </x:c>
      <x:c r="E1821" s="1" t="str">
        <x:v>naive</x:v>
      </x:c>
      <x:c r="F1821" s="10" t="n">
        <x:v>0</x:v>
      </x:c>
      <x:c r="G1821" s="10" t="n">
        <x:v>7</x:v>
      </x:c>
      <x:c r="H1821" s="10" t="n">
        <x:f>ABS(G1821-F1821)</x:f>
        <x:v>7</x:v>
      </x:c>
      <x:c r="I1821" s="10" t="n">
        <x:f>G1821-F1821</x:f>
        <x:v>7</x:v>
      </x:c>
    </x:row>
    <x:row r="1822" ht="20" customHeight="1">
      <x:c r="A1822" s="1" t="str">
        <x:v>22960</x:v>
      </x:c>
      <x:c r="B1822" s="10" t="n">
        <x:v>2</x:v>
      </x:c>
      <x:c r="C1822" s="9" t="d">
        <x:v>2011-11-02T00:00:00.000Z</x:v>
      </x:c>
      <x:c r="D1822" s="9" t="d">
        <x:v>2011-11-13T00:00:00.000Z</x:v>
      </x:c>
      <x:c r="E1822" s="1" t="str">
        <x:v>naive</x:v>
      </x:c>
      <x:c r="F1822" s="10" t="n">
        <x:v>33</x:v>
      </x:c>
      <x:c r="G1822" s="10" t="n">
        <x:v>7</x:v>
      </x:c>
      <x:c r="H1822" s="10" t="n">
        <x:f>ABS(G1822-F1822)</x:f>
        <x:v>26</x:v>
      </x:c>
      <x:c r="I1822" s="10" t="n">
        <x:f>G1822-F1822</x:f>
        <x:v>-26</x:v>
      </x:c>
    </x:row>
    <x:row r="1823" ht="20" customHeight="1">
      <x:c r="A1823" s="1" t="str">
        <x:v>22960</x:v>
      </x:c>
      <x:c r="B1823" s="10" t="n">
        <x:v>2</x:v>
      </x:c>
      <x:c r="C1823" s="9" t="d">
        <x:v>2011-11-02T00:00:00.000Z</x:v>
      </x:c>
      <x:c r="D1823" s="9" t="d">
        <x:v>2011-11-14T00:00:00.000Z</x:v>
      </x:c>
      <x:c r="E1823" s="1" t="str">
        <x:v>naive</x:v>
      </x:c>
      <x:c r="F1823" s="10" t="n">
        <x:v>27</x:v>
      </x:c>
      <x:c r="G1823" s="10" t="n">
        <x:v>7</x:v>
      </x:c>
      <x:c r="H1823" s="10" t="n">
        <x:f>ABS(G1823-F1823)</x:f>
        <x:v>20</x:v>
      </x:c>
      <x:c r="I1823" s="10" t="n">
        <x:f>G1823-F1823</x:f>
        <x:v>-20</x:v>
      </x:c>
    </x:row>
    <x:row r="1824" ht="20" customHeight="1">
      <x:c r="A1824" s="1" t="str">
        <x:v>22960</x:v>
      </x:c>
      <x:c r="B1824" s="10" t="n">
        <x:v>2</x:v>
      </x:c>
      <x:c r="C1824" s="9" t="d">
        <x:v>2011-11-02T00:00:00.000Z</x:v>
      </x:c>
      <x:c r="D1824" s="9" t="d">
        <x:v>2011-11-15T00:00:00.000Z</x:v>
      </x:c>
      <x:c r="E1824" s="1" t="str">
        <x:v>naive</x:v>
      </x:c>
      <x:c r="F1824" s="10" t="n">
        <x:v>5</x:v>
      </x:c>
      <x:c r="G1824" s="10" t="n">
        <x:v>7</x:v>
      </x:c>
      <x:c r="H1824" s="10" t="n">
        <x:f>ABS(G1824-F1824)</x:f>
        <x:v>2</x:v>
      </x:c>
      <x:c r="I1824" s="10" t="n">
        <x:f>G1824-F1824</x:f>
        <x:v>2</x:v>
      </x:c>
    </x:row>
    <x:row r="1825" ht="20" customHeight="1">
      <x:c r="A1825" s="1" t="str">
        <x:v>22960</x:v>
      </x:c>
      <x:c r="B1825" s="10" t="n">
        <x:v>2</x:v>
      </x:c>
      <x:c r="C1825" s="9" t="d">
        <x:v>2011-11-02T00:00:00.000Z</x:v>
      </x:c>
      <x:c r="D1825" s="9" t="d">
        <x:v>2011-11-16T00:00:00.000Z</x:v>
      </x:c>
      <x:c r="E1825" s="1" t="str">
        <x:v>naive</x:v>
      </x:c>
      <x:c r="F1825" s="10" t="n">
        <x:v>82</x:v>
      </x:c>
      <x:c r="G1825" s="10" t="n">
        <x:v>7</x:v>
      </x:c>
      <x:c r="H1825" s="10" t="n">
        <x:f>ABS(G1825-F1825)</x:f>
        <x:v>75</x:v>
      </x:c>
      <x:c r="I1825" s="10" t="n">
        <x:f>G1825-F1825</x:f>
        <x:v>-75</x:v>
      </x:c>
    </x:row>
    <x:row r="1826" ht="20" customHeight="1">
      <x:c r="A1826" s="1" t="str">
        <x:v>22960</x:v>
      </x:c>
      <x:c r="B1826" s="10" t="n">
        <x:v>2</x:v>
      </x:c>
      <x:c r="C1826" s="9" t="d">
        <x:v>2011-11-02T00:00:00.000Z</x:v>
      </x:c>
      <x:c r="D1826" s="9" t="d">
        <x:v>2011-11-03T00:00:00.000Z</x:v>
      </x:c>
      <x:c r="E1826" s="1" t="str">
        <x:v>seasonal_naive</x:v>
      </x:c>
      <x:c r="F1826" s="10" t="n">
        <x:v>161</x:v>
      </x:c>
      <x:c r="G1826" s="10" t="n">
        <x:v>25</x:v>
      </x:c>
      <x:c r="H1826" s="10" t="n">
        <x:f>ABS(G1826-F1826)</x:f>
        <x:v>136</x:v>
      </x:c>
      <x:c r="I1826" s="10" t="n">
        <x:f>G1826-F1826</x:f>
        <x:v>-136</x:v>
      </x:c>
    </x:row>
    <x:row r="1827" ht="20" customHeight="1">
      <x:c r="A1827" s="1" t="str">
        <x:v>22960</x:v>
      </x:c>
      <x:c r="B1827" s="10" t="n">
        <x:v>2</x:v>
      </x:c>
      <x:c r="C1827" s="9" t="d">
        <x:v>2011-11-02T00:00:00.000Z</x:v>
      </x:c>
      <x:c r="D1827" s="9" t="d">
        <x:v>2011-11-04T00:00:00.000Z</x:v>
      </x:c>
      <x:c r="E1827" s="1" t="str">
        <x:v>seasonal_naive</x:v>
      </x:c>
      <x:c r="F1827" s="10" t="n">
        <x:v>57</x:v>
      </x:c>
      <x:c r="G1827" s="10" t="n">
        <x:v>18</x:v>
      </x:c>
      <x:c r="H1827" s="10" t="n">
        <x:f>ABS(G1827-F1827)</x:f>
        <x:v>39</x:v>
      </x:c>
      <x:c r="I1827" s="10" t="n">
        <x:f>G1827-F1827</x:f>
        <x:v>-39</x:v>
      </x:c>
    </x:row>
    <x:row r="1828" ht="20" customHeight="1">
      <x:c r="A1828" s="1" t="str">
        <x:v>22960</x:v>
      </x:c>
      <x:c r="B1828" s="10" t="n">
        <x:v>2</x:v>
      </x:c>
      <x:c r="C1828" s="9" t="d">
        <x:v>2011-11-02T00:00:00.000Z</x:v>
      </x:c>
      <x:c r="D1828" s="9" t="d">
        <x:v>2011-11-05T00:00:00.000Z</x:v>
      </x:c>
      <x:c r="E1828" s="1" t="str">
        <x:v>seasonal_naive</x:v>
      </x:c>
      <x:c r="F1828" s="10" t="n">
        <x:v>0</x:v>
      </x:c>
      <x:c r="G1828" s="10" t="n">
        <x:v>0</x:v>
      </x:c>
      <x:c r="H1828" s="10" t="n">
        <x:f>ABS(G1828-F1828)</x:f>
        <x:v>0</x:v>
      </x:c>
      <x:c r="I1828" s="10" t="n">
        <x:f>G1828-F1828</x:f>
        <x:v>0</x:v>
      </x:c>
    </x:row>
    <x:row r="1829" ht="20" customHeight="1">
      <x:c r="A1829" s="1" t="str">
        <x:v>22960</x:v>
      </x:c>
      <x:c r="B1829" s="10" t="n">
        <x:v>2</x:v>
      </x:c>
      <x:c r="C1829" s="9" t="d">
        <x:v>2011-11-02T00:00:00.000Z</x:v>
      </x:c>
      <x:c r="D1829" s="9" t="d">
        <x:v>2011-11-06T00:00:00.000Z</x:v>
      </x:c>
      <x:c r="E1829" s="1" t="str">
        <x:v>seasonal_naive</x:v>
      </x:c>
      <x:c r="F1829" s="10" t="n">
        <x:v>0</x:v>
      </x:c>
      <x:c r="G1829" s="10" t="n">
        <x:v>30</x:v>
      </x:c>
      <x:c r="H1829" s="10" t="n">
        <x:f>ABS(G1829-F1829)</x:f>
        <x:v>30</x:v>
      </x:c>
      <x:c r="I1829" s="10" t="n">
        <x:f>G1829-F1829</x:f>
        <x:v>30</x:v>
      </x:c>
    </x:row>
    <x:row r="1830" ht="20" customHeight="1">
      <x:c r="A1830" s="1" t="str">
        <x:v>22960</x:v>
      </x:c>
      <x:c r="B1830" s="10" t="n">
        <x:v>2</x:v>
      </x:c>
      <x:c r="C1830" s="9" t="d">
        <x:v>2011-11-02T00:00:00.000Z</x:v>
      </x:c>
      <x:c r="D1830" s="9" t="d">
        <x:v>2011-11-07T00:00:00.000Z</x:v>
      </x:c>
      <x:c r="E1830" s="1" t="str">
        <x:v>seasonal_naive</x:v>
      </x:c>
      <x:c r="F1830" s="10" t="n">
        <x:v>28</x:v>
      </x:c>
      <x:c r="G1830" s="10" t="n">
        <x:v>73</x:v>
      </x:c>
      <x:c r="H1830" s="10" t="n">
        <x:f>ABS(G1830-F1830)</x:f>
        <x:v>45</x:v>
      </x:c>
      <x:c r="I1830" s="10" t="n">
        <x:f>G1830-F1830</x:f>
        <x:v>45</x:v>
      </x:c>
    </x:row>
    <x:row r="1831" ht="20" customHeight="1">
      <x:c r="A1831" s="1" t="str">
        <x:v>22960</x:v>
      </x:c>
      <x:c r="B1831" s="10" t="n">
        <x:v>2</x:v>
      </x:c>
      <x:c r="C1831" s="9" t="d">
        <x:v>2011-11-02T00:00:00.000Z</x:v>
      </x:c>
      <x:c r="D1831" s="9" t="d">
        <x:v>2011-11-08T00:00:00.000Z</x:v>
      </x:c>
      <x:c r="E1831" s="1" t="str">
        <x:v>seasonal_naive</x:v>
      </x:c>
      <x:c r="F1831" s="10" t="n">
        <x:v>10</x:v>
      </x:c>
      <x:c r="G1831" s="10" t="n">
        <x:v>2</x:v>
      </x:c>
      <x:c r="H1831" s="10" t="n">
        <x:f>ABS(G1831-F1831)</x:f>
        <x:v>8</x:v>
      </x:c>
      <x:c r="I1831" s="10" t="n">
        <x:f>G1831-F1831</x:f>
        <x:v>-8</x:v>
      </x:c>
    </x:row>
    <x:row r="1832" ht="20" customHeight="1">
      <x:c r="A1832" s="1" t="str">
        <x:v>22960</x:v>
      </x:c>
      <x:c r="B1832" s="10" t="n">
        <x:v>2</x:v>
      </x:c>
      <x:c r="C1832" s="9" t="d">
        <x:v>2011-11-02T00:00:00.000Z</x:v>
      </x:c>
      <x:c r="D1832" s="9" t="d">
        <x:v>2011-11-09T00:00:00.000Z</x:v>
      </x:c>
      <x:c r="E1832" s="1" t="str">
        <x:v>seasonal_naive</x:v>
      </x:c>
      <x:c r="F1832" s="10" t="n">
        <x:v>8</x:v>
      </x:c>
      <x:c r="G1832" s="10" t="n">
        <x:v>7</x:v>
      </x:c>
      <x:c r="H1832" s="10" t="n">
        <x:f>ABS(G1832-F1832)</x:f>
        <x:v>1</x:v>
      </x:c>
      <x:c r="I1832" s="10" t="n">
        <x:f>G1832-F1832</x:f>
        <x:v>-1</x:v>
      </x:c>
    </x:row>
    <x:row r="1833" ht="20" customHeight="1">
      <x:c r="A1833" s="1" t="str">
        <x:v>22960</x:v>
      </x:c>
      <x:c r="B1833" s="10" t="n">
        <x:v>2</x:v>
      </x:c>
      <x:c r="C1833" s="9" t="d">
        <x:v>2011-11-02T00:00:00.000Z</x:v>
      </x:c>
      <x:c r="D1833" s="9" t="d">
        <x:v>2011-11-10T00:00:00.000Z</x:v>
      </x:c>
      <x:c r="E1833" s="1" t="str">
        <x:v>seasonal_naive</x:v>
      </x:c>
      <x:c r="F1833" s="10" t="n">
        <x:v>64</x:v>
      </x:c>
      <x:c r="G1833" s="10" t="n">
        <x:v>25</x:v>
      </x:c>
      <x:c r="H1833" s="10" t="n">
        <x:f>ABS(G1833-F1833)</x:f>
        <x:v>39</x:v>
      </x:c>
      <x:c r="I1833" s="10" t="n">
        <x:f>G1833-F1833</x:f>
        <x:v>-39</x:v>
      </x:c>
    </x:row>
    <x:row r="1834" ht="20" customHeight="1">
      <x:c r="A1834" s="1" t="str">
        <x:v>22960</x:v>
      </x:c>
      <x:c r="B1834" s="10" t="n">
        <x:v>2</x:v>
      </x:c>
      <x:c r="C1834" s="9" t="d">
        <x:v>2011-11-02T00:00:00.000Z</x:v>
      </x:c>
      <x:c r="D1834" s="9" t="d">
        <x:v>2011-11-11T00:00:00.000Z</x:v>
      </x:c>
      <x:c r="E1834" s="1" t="str">
        <x:v>seasonal_naive</x:v>
      </x:c>
      <x:c r="F1834" s="10" t="n">
        <x:v>5</x:v>
      </x:c>
      <x:c r="G1834" s="10" t="n">
        <x:v>18</x:v>
      </x:c>
      <x:c r="H1834" s="10" t="n">
        <x:f>ABS(G1834-F1834)</x:f>
        <x:v>13</x:v>
      </x:c>
      <x:c r="I1834" s="10" t="n">
        <x:f>G1834-F1834</x:f>
        <x:v>13</x:v>
      </x:c>
    </x:row>
    <x:row r="1835" ht="20" customHeight="1">
      <x:c r="A1835" s="1" t="str">
        <x:v>22960</x:v>
      </x:c>
      <x:c r="B1835" s="10" t="n">
        <x:v>2</x:v>
      </x:c>
      <x:c r="C1835" s="9" t="d">
        <x:v>2011-11-02T00:00:00.000Z</x:v>
      </x:c>
      <x:c r="D1835" s="9" t="d">
        <x:v>2011-11-12T00:00:00.000Z</x:v>
      </x:c>
      <x:c r="E1835" s="1" t="str">
        <x:v>seasonal_naive</x:v>
      </x:c>
      <x:c r="F1835" s="10" t="n">
        <x:v>0</x:v>
      </x:c>
      <x:c r="G1835" s="10" t="n">
        <x:v>0</x:v>
      </x:c>
      <x:c r="H1835" s="10" t="n">
        <x:f>ABS(G1835-F1835)</x:f>
        <x:v>0</x:v>
      </x:c>
      <x:c r="I1835" s="10" t="n">
        <x:f>G1835-F1835</x:f>
        <x:v>0</x:v>
      </x:c>
    </x:row>
    <x:row r="1836" ht="20" customHeight="1">
      <x:c r="A1836" s="1" t="str">
        <x:v>22960</x:v>
      </x:c>
      <x:c r="B1836" s="10" t="n">
        <x:v>2</x:v>
      </x:c>
      <x:c r="C1836" s="9" t="d">
        <x:v>2011-11-02T00:00:00.000Z</x:v>
      </x:c>
      <x:c r="D1836" s="9" t="d">
        <x:v>2011-11-13T00:00:00.000Z</x:v>
      </x:c>
      <x:c r="E1836" s="1" t="str">
        <x:v>seasonal_naive</x:v>
      </x:c>
      <x:c r="F1836" s="10" t="n">
        <x:v>33</x:v>
      </x:c>
      <x:c r="G1836" s="10" t="n">
        <x:v>30</x:v>
      </x:c>
      <x:c r="H1836" s="10" t="n">
        <x:f>ABS(G1836-F1836)</x:f>
        <x:v>3</x:v>
      </x:c>
      <x:c r="I1836" s="10" t="n">
        <x:f>G1836-F1836</x:f>
        <x:v>-3</x:v>
      </x:c>
    </x:row>
    <x:row r="1837" ht="20" customHeight="1">
      <x:c r="A1837" s="1" t="str">
        <x:v>22960</x:v>
      </x:c>
      <x:c r="B1837" s="10" t="n">
        <x:v>2</x:v>
      </x:c>
      <x:c r="C1837" s="9" t="d">
        <x:v>2011-11-02T00:00:00.000Z</x:v>
      </x:c>
      <x:c r="D1837" s="9" t="d">
        <x:v>2011-11-14T00:00:00.000Z</x:v>
      </x:c>
      <x:c r="E1837" s="1" t="str">
        <x:v>seasonal_naive</x:v>
      </x:c>
      <x:c r="F1837" s="10" t="n">
        <x:v>27</x:v>
      </x:c>
      <x:c r="G1837" s="10" t="n">
        <x:v>73</x:v>
      </x:c>
      <x:c r="H1837" s="10" t="n">
        <x:f>ABS(G1837-F1837)</x:f>
        <x:v>46</x:v>
      </x:c>
      <x:c r="I1837" s="10" t="n">
        <x:f>G1837-F1837</x:f>
        <x:v>46</x:v>
      </x:c>
    </x:row>
    <x:row r="1838" ht="20" customHeight="1">
      <x:c r="A1838" s="1" t="str">
        <x:v>22960</x:v>
      </x:c>
      <x:c r="B1838" s="10" t="n">
        <x:v>2</x:v>
      </x:c>
      <x:c r="C1838" s="9" t="d">
        <x:v>2011-11-02T00:00:00.000Z</x:v>
      </x:c>
      <x:c r="D1838" s="9" t="d">
        <x:v>2011-11-15T00:00:00.000Z</x:v>
      </x:c>
      <x:c r="E1838" s="1" t="str">
        <x:v>seasonal_naive</x:v>
      </x:c>
      <x:c r="F1838" s="10" t="n">
        <x:v>5</x:v>
      </x:c>
      <x:c r="G1838" s="10" t="n">
        <x:v>2</x:v>
      </x:c>
      <x:c r="H1838" s="10" t="n">
        <x:f>ABS(G1838-F1838)</x:f>
        <x:v>3</x:v>
      </x:c>
      <x:c r="I1838" s="10" t="n">
        <x:f>G1838-F1838</x:f>
        <x:v>-3</x:v>
      </x:c>
    </x:row>
    <x:row r="1839" ht="20" customHeight="1">
      <x:c r="A1839" s="1" t="str">
        <x:v>22960</x:v>
      </x:c>
      <x:c r="B1839" s="10" t="n">
        <x:v>2</x:v>
      </x:c>
      <x:c r="C1839" s="9" t="d">
        <x:v>2011-11-02T00:00:00.000Z</x:v>
      </x:c>
      <x:c r="D1839" s="9" t="d">
        <x:v>2011-11-16T00:00:00.000Z</x:v>
      </x:c>
      <x:c r="E1839" s="1" t="str">
        <x:v>seasonal_naive</x:v>
      </x:c>
      <x:c r="F1839" s="10" t="n">
        <x:v>82</x:v>
      </x:c>
      <x:c r="G1839" s="10" t="n">
        <x:v>7</x:v>
      </x:c>
      <x:c r="H1839" s="10" t="n">
        <x:f>ABS(G1839-F1839)</x:f>
        <x:v>75</x:v>
      </x:c>
      <x:c r="I1839" s="10" t="n">
        <x:f>G1839-F1839</x:f>
        <x:v>-75</x:v>
      </x:c>
    </x:row>
    <x:row r="1840" ht="20" customHeight="1">
      <x:c r="A1840" s="1" t="str">
        <x:v>22960</x:v>
      </x:c>
      <x:c r="B1840" s="10" t="n">
        <x:v>2</x:v>
      </x:c>
      <x:c r="C1840" s="9" t="d">
        <x:v>2011-11-02T00:00:00.000Z</x:v>
      </x:c>
      <x:c r="D1840" s="9" t="d">
        <x:v>2011-11-03T00:00:00.000Z</x:v>
      </x:c>
      <x:c r="E1840" s="1" t="str">
        <x:v>ridge</x:v>
      </x:c>
      <x:c r="F1840" s="10" t="n">
        <x:v>161</x:v>
      </x:c>
      <x:c r="G1840" s="10" t="n">
        <x:v>28.7161953284</x:v>
      </x:c>
      <x:c r="H1840" s="10" t="n">
        <x:f>ABS(G1840-F1840)</x:f>
        <x:v>132.2838046716</x:v>
      </x:c>
      <x:c r="I1840" s="10" t="n">
        <x:f>G1840-F1840</x:f>
        <x:v>-132.2838046716</x:v>
      </x:c>
    </x:row>
    <x:row r="1841" ht="20" customHeight="1">
      <x:c r="A1841" s="1" t="str">
        <x:v>22960</x:v>
      </x:c>
      <x:c r="B1841" s="10" t="n">
        <x:v>2</x:v>
      </x:c>
      <x:c r="C1841" s="9" t="d">
        <x:v>2011-11-02T00:00:00.000Z</x:v>
      </x:c>
      <x:c r="D1841" s="9" t="d">
        <x:v>2011-11-04T00:00:00.000Z</x:v>
      </x:c>
      <x:c r="E1841" s="1" t="str">
        <x:v>ridge</x:v>
      </x:c>
      <x:c r="F1841" s="10" t="n">
        <x:v>57</x:v>
      </x:c>
      <x:c r="G1841" s="10" t="n">
        <x:v>18.8310447167</x:v>
      </x:c>
      <x:c r="H1841" s="10" t="n">
        <x:f>ABS(G1841-F1841)</x:f>
        <x:v>38.1689552833</x:v>
      </x:c>
      <x:c r="I1841" s="10" t="n">
        <x:f>G1841-F1841</x:f>
        <x:v>-38.1689552833</x:v>
      </x:c>
    </x:row>
    <x:row r="1842" ht="20" customHeight="1">
      <x:c r="A1842" s="1" t="str">
        <x:v>22960</x:v>
      </x:c>
      <x:c r="B1842" s="10" t="n">
        <x:v>2</x:v>
      </x:c>
      <x:c r="C1842" s="9" t="d">
        <x:v>2011-11-02T00:00:00.000Z</x:v>
      </x:c>
      <x:c r="D1842" s="9" t="d">
        <x:v>2011-11-05T00:00:00.000Z</x:v>
      </x:c>
      <x:c r="E1842" s="1" t="str">
        <x:v>ridge</x:v>
      </x:c>
      <x:c r="F1842" s="10" t="n">
        <x:v>0</x:v>
      </x:c>
      <x:c r="G1842" s="10" t="n">
        <x:v>11.0376882954</x:v>
      </x:c>
      <x:c r="H1842" s="10" t="n">
        <x:f>ABS(G1842-F1842)</x:f>
        <x:v>11.0376882954</x:v>
      </x:c>
      <x:c r="I1842" s="10" t="n">
        <x:f>G1842-F1842</x:f>
        <x:v>11.0376882954</x:v>
      </x:c>
    </x:row>
    <x:row r="1843" ht="20" customHeight="1">
      <x:c r="A1843" s="1" t="str">
        <x:v>22960</x:v>
      </x:c>
      <x:c r="B1843" s="10" t="n">
        <x:v>2</x:v>
      </x:c>
      <x:c r="C1843" s="9" t="d">
        <x:v>2011-11-02T00:00:00.000Z</x:v>
      </x:c>
      <x:c r="D1843" s="9" t="d">
        <x:v>2011-11-06T00:00:00.000Z</x:v>
      </x:c>
      <x:c r="E1843" s="1" t="str">
        <x:v>ridge</x:v>
      </x:c>
      <x:c r="F1843" s="10" t="n">
        <x:v>0</x:v>
      </x:c>
      <x:c r="G1843" s="10" t="n">
        <x:v>12.1866962829</x:v>
      </x:c>
      <x:c r="H1843" s="10" t="n">
        <x:f>ABS(G1843-F1843)</x:f>
        <x:v>12.1866962829</x:v>
      </x:c>
      <x:c r="I1843" s="10" t="n">
        <x:f>G1843-F1843</x:f>
        <x:v>12.1866962829</x:v>
      </x:c>
    </x:row>
    <x:row r="1844" ht="20" customHeight="1">
      <x:c r="A1844" s="1" t="str">
        <x:v>22960</x:v>
      </x:c>
      <x:c r="B1844" s="10" t="n">
        <x:v>2</x:v>
      </x:c>
      <x:c r="C1844" s="9" t="d">
        <x:v>2011-11-02T00:00:00.000Z</x:v>
      </x:c>
      <x:c r="D1844" s="9" t="d">
        <x:v>2011-11-07T00:00:00.000Z</x:v>
      </x:c>
      <x:c r="E1844" s="1" t="str">
        <x:v>ridge</x:v>
      </x:c>
      <x:c r="F1844" s="10" t="n">
        <x:v>28</x:v>
      </x:c>
      <x:c r="G1844" s="10" t="n">
        <x:v>20.0958647731</x:v>
      </x:c>
      <x:c r="H1844" s="10" t="n">
        <x:f>ABS(G1844-F1844)</x:f>
        <x:v>7.904135226899999</x:v>
      </x:c>
      <x:c r="I1844" s="10" t="n">
        <x:f>G1844-F1844</x:f>
        <x:v>-7.904135226899999</x:v>
      </x:c>
    </x:row>
    <x:row r="1845" ht="20" customHeight="1">
      <x:c r="A1845" s="1" t="str">
        <x:v>22960</x:v>
      </x:c>
      <x:c r="B1845" s="10" t="n">
        <x:v>2</x:v>
      </x:c>
      <x:c r="C1845" s="9" t="d">
        <x:v>2011-11-02T00:00:00.000Z</x:v>
      </x:c>
      <x:c r="D1845" s="9" t="d">
        <x:v>2011-11-08T00:00:00.000Z</x:v>
      </x:c>
      <x:c r="E1845" s="1" t="str">
        <x:v>ridge</x:v>
      </x:c>
      <x:c r="F1845" s="10" t="n">
        <x:v>10</x:v>
      </x:c>
      <x:c r="G1845" s="10" t="n">
        <x:v>28.2208828381</x:v>
      </x:c>
      <x:c r="H1845" s="10" t="n">
        <x:f>ABS(G1845-F1845)</x:f>
        <x:v>18.2208828381</x:v>
      </x:c>
      <x:c r="I1845" s="10" t="n">
        <x:f>G1845-F1845</x:f>
        <x:v>18.2208828381</x:v>
      </x:c>
    </x:row>
    <x:row r="1846" ht="20" customHeight="1">
      <x:c r="A1846" s="1" t="str">
        <x:v>22960</x:v>
      </x:c>
      <x:c r="B1846" s="10" t="n">
        <x:v>2</x:v>
      </x:c>
      <x:c r="C1846" s="9" t="d">
        <x:v>2011-11-02T00:00:00.000Z</x:v>
      </x:c>
      <x:c r="D1846" s="9" t="d">
        <x:v>2011-11-09T00:00:00.000Z</x:v>
      </x:c>
      <x:c r="E1846" s="1" t="str">
        <x:v>ridge</x:v>
      </x:c>
      <x:c r="F1846" s="10" t="n">
        <x:v>8</x:v>
      </x:c>
      <x:c r="G1846" s="10" t="n">
        <x:v>33.2819597676</x:v>
      </x:c>
      <x:c r="H1846" s="10" t="n">
        <x:f>ABS(G1846-F1846)</x:f>
        <x:v>25.2819597676</x:v>
      </x:c>
      <x:c r="I1846" s="10" t="n">
        <x:f>G1846-F1846</x:f>
        <x:v>25.2819597676</x:v>
      </x:c>
    </x:row>
    <x:row r="1847" ht="20" customHeight="1">
      <x:c r="A1847" s="1" t="str">
        <x:v>22960</x:v>
      </x:c>
      <x:c r="B1847" s="10" t="n">
        <x:v>2</x:v>
      </x:c>
      <x:c r="C1847" s="9" t="d">
        <x:v>2011-11-02T00:00:00.000Z</x:v>
      </x:c>
      <x:c r="D1847" s="9" t="d">
        <x:v>2011-11-10T00:00:00.000Z</x:v>
      </x:c>
      <x:c r="E1847" s="1" t="str">
        <x:v>ridge</x:v>
      </x:c>
      <x:c r="F1847" s="10" t="n">
        <x:v>64</x:v>
      </x:c>
      <x:c r="G1847" s="10" t="n">
        <x:v>29.3945856455</x:v>
      </x:c>
      <x:c r="H1847" s="10" t="n">
        <x:f>ABS(G1847-F1847)</x:f>
        <x:v>34.6054143545</x:v>
      </x:c>
      <x:c r="I1847" s="10" t="n">
        <x:f>G1847-F1847</x:f>
        <x:v>-34.6054143545</x:v>
      </x:c>
    </x:row>
    <x:row r="1848" ht="20" customHeight="1">
      <x:c r="A1848" s="1" t="str">
        <x:v>22960</x:v>
      </x:c>
      <x:c r="B1848" s="10" t="n">
        <x:v>2</x:v>
      </x:c>
      <x:c r="C1848" s="9" t="d">
        <x:v>2011-11-02T00:00:00.000Z</x:v>
      </x:c>
      <x:c r="D1848" s="9" t="d">
        <x:v>2011-11-11T00:00:00.000Z</x:v>
      </x:c>
      <x:c r="E1848" s="1" t="str">
        <x:v>ridge</x:v>
      </x:c>
      <x:c r="F1848" s="10" t="n">
        <x:v>5</x:v>
      </x:c>
      <x:c r="G1848" s="10" t="n">
        <x:v>19.0263352159</x:v>
      </x:c>
      <x:c r="H1848" s="10" t="n">
        <x:f>ABS(G1848-F1848)</x:f>
        <x:v>14.026335215900001</x:v>
      </x:c>
      <x:c r="I1848" s="10" t="n">
        <x:f>G1848-F1848</x:f>
        <x:v>14.026335215900001</x:v>
      </x:c>
    </x:row>
    <x:row r="1849" ht="20" customHeight="1">
      <x:c r="A1849" s="1" t="str">
        <x:v>22960</x:v>
      </x:c>
      <x:c r="B1849" s="10" t="n">
        <x:v>2</x:v>
      </x:c>
      <x:c r="C1849" s="9" t="d">
        <x:v>2011-11-02T00:00:00.000Z</x:v>
      </x:c>
      <x:c r="D1849" s="9" t="d">
        <x:v>2011-11-12T00:00:00.000Z</x:v>
      </x:c>
      <x:c r="E1849" s="1" t="str">
        <x:v>ridge</x:v>
      </x:c>
      <x:c r="F1849" s="10" t="n">
        <x:v>0</x:v>
      </x:c>
      <x:c r="G1849" s="10" t="n">
        <x:v>11.0743255055</x:v>
      </x:c>
      <x:c r="H1849" s="10" t="n">
        <x:f>ABS(G1849-F1849)</x:f>
        <x:v>11.0743255055</x:v>
      </x:c>
      <x:c r="I1849" s="10" t="n">
        <x:f>G1849-F1849</x:f>
        <x:v>11.0743255055</x:v>
      </x:c>
    </x:row>
    <x:row r="1850" ht="20" customHeight="1">
      <x:c r="A1850" s="1" t="str">
        <x:v>22960</x:v>
      </x:c>
      <x:c r="B1850" s="10" t="n">
        <x:v>2</x:v>
      </x:c>
      <x:c r="C1850" s="9" t="d">
        <x:v>2011-11-02T00:00:00.000Z</x:v>
      </x:c>
      <x:c r="D1850" s="9" t="d">
        <x:v>2011-11-13T00:00:00.000Z</x:v>
      </x:c>
      <x:c r="E1850" s="1" t="str">
        <x:v>ridge</x:v>
      </x:c>
      <x:c r="F1850" s="10" t="n">
        <x:v>33</x:v>
      </x:c>
      <x:c r="G1850" s="10" t="n">
        <x:v>11.9274263535</x:v>
      </x:c>
      <x:c r="H1850" s="10" t="n">
        <x:f>ABS(G1850-F1850)</x:f>
        <x:v>21.0725736465</x:v>
      </x:c>
      <x:c r="I1850" s="10" t="n">
        <x:f>G1850-F1850</x:f>
        <x:v>-21.0725736465</x:v>
      </x:c>
    </x:row>
    <x:row r="1851" ht="20" customHeight="1">
      <x:c r="A1851" s="1" t="str">
        <x:v>22960</x:v>
      </x:c>
      <x:c r="B1851" s="10" t="n">
        <x:v>2</x:v>
      </x:c>
      <x:c r="C1851" s="9" t="d">
        <x:v>2011-11-02T00:00:00.000Z</x:v>
      </x:c>
      <x:c r="D1851" s="9" t="d">
        <x:v>2011-11-14T00:00:00.000Z</x:v>
      </x:c>
      <x:c r="E1851" s="1" t="str">
        <x:v>ridge</x:v>
      </x:c>
      <x:c r="F1851" s="10" t="n">
        <x:v>27</x:v>
      </x:c>
      <x:c r="G1851" s="10" t="n">
        <x:v>21.3214858066</x:v>
      </x:c>
      <x:c r="H1851" s="10" t="n">
        <x:f>ABS(G1851-F1851)</x:f>
        <x:v>5.678514193400002</x:v>
      </x:c>
      <x:c r="I1851" s="10" t="n">
        <x:f>G1851-F1851</x:f>
        <x:v>-5.678514193400002</x:v>
      </x:c>
    </x:row>
    <x:row r="1852" ht="20" customHeight="1">
      <x:c r="A1852" s="1" t="str">
        <x:v>22960</x:v>
      </x:c>
      <x:c r="B1852" s="10" t="n">
        <x:v>2</x:v>
      </x:c>
      <x:c r="C1852" s="9" t="d">
        <x:v>2011-11-02T00:00:00.000Z</x:v>
      </x:c>
      <x:c r="D1852" s="9" t="d">
        <x:v>2011-11-15T00:00:00.000Z</x:v>
      </x:c>
      <x:c r="E1852" s="1" t="str">
        <x:v>ridge</x:v>
      </x:c>
      <x:c r="F1852" s="10" t="n">
        <x:v>5</x:v>
      </x:c>
      <x:c r="G1852" s="10" t="n">
        <x:v>30.611064335</x:v>
      </x:c>
      <x:c r="H1852" s="10" t="n">
        <x:f>ABS(G1852-F1852)</x:f>
        <x:v>25.611064335</x:v>
      </x:c>
      <x:c r="I1852" s="10" t="n">
        <x:f>G1852-F1852</x:f>
        <x:v>25.611064335</x:v>
      </x:c>
    </x:row>
    <x:row r="1853" ht="20" customHeight="1">
      <x:c r="A1853" s="1" t="str">
        <x:v>22960</x:v>
      </x:c>
      <x:c r="B1853" s="10" t="n">
        <x:v>2</x:v>
      </x:c>
      <x:c r="C1853" s="9" t="d">
        <x:v>2011-11-02T00:00:00.000Z</x:v>
      </x:c>
      <x:c r="D1853" s="9" t="d">
        <x:v>2011-11-16T00:00:00.000Z</x:v>
      </x:c>
      <x:c r="E1853" s="1" t="str">
        <x:v>ridge</x:v>
      </x:c>
      <x:c r="F1853" s="10" t="n">
        <x:v>82</x:v>
      </x:c>
      <x:c r="G1853" s="10" t="n">
        <x:v>34.6839568287</x:v>
      </x:c>
      <x:c r="H1853" s="10" t="n">
        <x:f>ABS(G1853-F1853)</x:f>
        <x:v>47.3160431713</x:v>
      </x:c>
      <x:c r="I1853" s="10" t="n">
        <x:f>G1853-F1853</x:f>
        <x:v>-47.3160431713</x:v>
      </x:c>
    </x:row>
    <x:row r="1854" ht="20" customHeight="1">
      <x:c r="A1854" s="1" t="str">
        <x:v>22960</x:v>
      </x:c>
      <x:c r="B1854" s="10" t="n">
        <x:v>3</x:v>
      </x:c>
      <x:c r="C1854" s="9" t="d">
        <x:v>2011-11-16T00:00:00.000Z</x:v>
      </x:c>
      <x:c r="D1854" s="9" t="d">
        <x:v>2011-11-17T00:00:00.000Z</x:v>
      </x:c>
      <x:c r="E1854" s="1" t="str">
        <x:v>naive</x:v>
      </x:c>
      <x:c r="F1854" s="10" t="n">
        <x:v>20</x:v>
      </x:c>
      <x:c r="G1854" s="10" t="n">
        <x:v>82</x:v>
      </x:c>
      <x:c r="H1854" s="10" t="n">
        <x:f>ABS(G1854-F1854)</x:f>
        <x:v>62</x:v>
      </x:c>
      <x:c r="I1854" s="10" t="n">
        <x:f>G1854-F1854</x:f>
        <x:v>62</x:v>
      </x:c>
    </x:row>
    <x:row r="1855" ht="20" customHeight="1">
      <x:c r="A1855" s="1" t="str">
        <x:v>22960</x:v>
      </x:c>
      <x:c r="B1855" s="10" t="n">
        <x:v>3</x:v>
      </x:c>
      <x:c r="C1855" s="9" t="d">
        <x:v>2011-11-16T00:00:00.000Z</x:v>
      </x:c>
      <x:c r="D1855" s="9" t="d">
        <x:v>2011-11-18T00:00:00.000Z</x:v>
      </x:c>
      <x:c r="E1855" s="1" t="str">
        <x:v>naive</x:v>
      </x:c>
      <x:c r="F1855" s="10" t="n">
        <x:v>25</x:v>
      </x:c>
      <x:c r="G1855" s="10" t="n">
        <x:v>82</x:v>
      </x:c>
      <x:c r="H1855" s="10" t="n">
        <x:f>ABS(G1855-F1855)</x:f>
        <x:v>57</x:v>
      </x:c>
      <x:c r="I1855" s="10" t="n">
        <x:f>G1855-F1855</x:f>
        <x:v>57</x:v>
      </x:c>
    </x:row>
    <x:row r="1856" ht="20" customHeight="1">
      <x:c r="A1856" s="1" t="str">
        <x:v>22960</x:v>
      </x:c>
      <x:c r="B1856" s="10" t="n">
        <x:v>3</x:v>
      </x:c>
      <x:c r="C1856" s="9" t="d">
        <x:v>2011-11-16T00:00:00.000Z</x:v>
      </x:c>
      <x:c r="D1856" s="9" t="d">
        <x:v>2011-11-19T00:00:00.000Z</x:v>
      </x:c>
      <x:c r="E1856" s="1" t="str">
        <x:v>naive</x:v>
      </x:c>
      <x:c r="F1856" s="10" t="n">
        <x:v>0</x:v>
      </x:c>
      <x:c r="G1856" s="10" t="n">
        <x:v>82</x:v>
      </x:c>
      <x:c r="H1856" s="10" t="n">
        <x:f>ABS(G1856-F1856)</x:f>
        <x:v>82</x:v>
      </x:c>
      <x:c r="I1856" s="10" t="n">
        <x:f>G1856-F1856</x:f>
        <x:v>82</x:v>
      </x:c>
    </x:row>
    <x:row r="1857" ht="20" customHeight="1">
      <x:c r="A1857" s="1" t="str">
        <x:v>22960</x:v>
      </x:c>
      <x:c r="B1857" s="10" t="n">
        <x:v>3</x:v>
      </x:c>
      <x:c r="C1857" s="9" t="d">
        <x:v>2011-11-16T00:00:00.000Z</x:v>
      </x:c>
      <x:c r="D1857" s="9" t="d">
        <x:v>2011-11-20T00:00:00.000Z</x:v>
      </x:c>
      <x:c r="E1857" s="1" t="str">
        <x:v>naive</x:v>
      </x:c>
      <x:c r="F1857" s="10" t="n">
        <x:v>4</x:v>
      </x:c>
      <x:c r="G1857" s="10" t="n">
        <x:v>82</x:v>
      </x:c>
      <x:c r="H1857" s="10" t="n">
        <x:f>ABS(G1857-F1857)</x:f>
        <x:v>78</x:v>
      </x:c>
      <x:c r="I1857" s="10" t="n">
        <x:f>G1857-F1857</x:f>
        <x:v>78</x:v>
      </x:c>
    </x:row>
    <x:row r="1858" ht="20" customHeight="1">
      <x:c r="A1858" s="1" t="str">
        <x:v>22960</x:v>
      </x:c>
      <x:c r="B1858" s="10" t="n">
        <x:v>3</x:v>
      </x:c>
      <x:c r="C1858" s="9" t="d">
        <x:v>2011-11-16T00:00:00.000Z</x:v>
      </x:c>
      <x:c r="D1858" s="9" t="d">
        <x:v>2011-11-21T00:00:00.000Z</x:v>
      </x:c>
      <x:c r="E1858" s="1" t="str">
        <x:v>naive</x:v>
      </x:c>
      <x:c r="F1858" s="10" t="n">
        <x:v>57</x:v>
      </x:c>
      <x:c r="G1858" s="10" t="n">
        <x:v>82</x:v>
      </x:c>
      <x:c r="H1858" s="10" t="n">
        <x:f>ABS(G1858-F1858)</x:f>
        <x:v>25</x:v>
      </x:c>
      <x:c r="I1858" s="10" t="n">
        <x:f>G1858-F1858</x:f>
        <x:v>25</x:v>
      </x:c>
    </x:row>
    <x:row r="1859" ht="20" customHeight="1">
      <x:c r="A1859" s="1" t="str">
        <x:v>22960</x:v>
      </x:c>
      <x:c r="B1859" s="10" t="n">
        <x:v>3</x:v>
      </x:c>
      <x:c r="C1859" s="9" t="d">
        <x:v>2011-11-16T00:00:00.000Z</x:v>
      </x:c>
      <x:c r="D1859" s="9" t="d">
        <x:v>2011-11-22T00:00:00.000Z</x:v>
      </x:c>
      <x:c r="E1859" s="1" t="str">
        <x:v>naive</x:v>
      </x:c>
      <x:c r="F1859" s="10" t="n">
        <x:v>38</x:v>
      </x:c>
      <x:c r="G1859" s="10" t="n">
        <x:v>82</x:v>
      </x:c>
      <x:c r="H1859" s="10" t="n">
        <x:f>ABS(G1859-F1859)</x:f>
        <x:v>44</x:v>
      </x:c>
      <x:c r="I1859" s="10" t="n">
        <x:f>G1859-F1859</x:f>
        <x:v>44</x:v>
      </x:c>
    </x:row>
    <x:row r="1860" ht="20" customHeight="1">
      <x:c r="A1860" s="1" t="str">
        <x:v>22960</x:v>
      </x:c>
      <x:c r="B1860" s="10" t="n">
        <x:v>3</x:v>
      </x:c>
      <x:c r="C1860" s="9" t="d">
        <x:v>2011-11-16T00:00:00.000Z</x:v>
      </x:c>
      <x:c r="D1860" s="9" t="d">
        <x:v>2011-11-23T00:00:00.000Z</x:v>
      </x:c>
      <x:c r="E1860" s="1" t="str">
        <x:v>naive</x:v>
      </x:c>
      <x:c r="F1860" s="10" t="n">
        <x:v>60</x:v>
      </x:c>
      <x:c r="G1860" s="10" t="n">
        <x:v>82</x:v>
      </x:c>
      <x:c r="H1860" s="10" t="n">
        <x:f>ABS(G1860-F1860)</x:f>
        <x:v>22</x:v>
      </x:c>
      <x:c r="I1860" s="10" t="n">
        <x:f>G1860-F1860</x:f>
        <x:v>22</x:v>
      </x:c>
    </x:row>
    <x:row r="1861" ht="20" customHeight="1">
      <x:c r="A1861" s="1" t="str">
        <x:v>22960</x:v>
      </x:c>
      <x:c r="B1861" s="10" t="n">
        <x:v>3</x:v>
      </x:c>
      <x:c r="C1861" s="9" t="d">
        <x:v>2011-11-16T00:00:00.000Z</x:v>
      </x:c>
      <x:c r="D1861" s="9" t="d">
        <x:v>2011-11-24T00:00:00.000Z</x:v>
      </x:c>
      <x:c r="E1861" s="1" t="str">
        <x:v>naive</x:v>
      </x:c>
      <x:c r="F1861" s="10" t="n">
        <x:v>15</x:v>
      </x:c>
      <x:c r="G1861" s="10" t="n">
        <x:v>82</x:v>
      </x:c>
      <x:c r="H1861" s="10" t="n">
        <x:f>ABS(G1861-F1861)</x:f>
        <x:v>67</x:v>
      </x:c>
      <x:c r="I1861" s="10" t="n">
        <x:f>G1861-F1861</x:f>
        <x:v>67</x:v>
      </x:c>
    </x:row>
    <x:row r="1862" ht="20" customHeight="1">
      <x:c r="A1862" s="1" t="str">
        <x:v>22960</x:v>
      </x:c>
      <x:c r="B1862" s="10" t="n">
        <x:v>3</x:v>
      </x:c>
      <x:c r="C1862" s="9" t="d">
        <x:v>2011-11-16T00:00:00.000Z</x:v>
      </x:c>
      <x:c r="D1862" s="9" t="d">
        <x:v>2011-11-25T00:00:00.000Z</x:v>
      </x:c>
      <x:c r="E1862" s="1" t="str">
        <x:v>naive</x:v>
      </x:c>
      <x:c r="F1862" s="10" t="n">
        <x:v>13</x:v>
      </x:c>
      <x:c r="G1862" s="10" t="n">
        <x:v>82</x:v>
      </x:c>
      <x:c r="H1862" s="10" t="n">
        <x:f>ABS(G1862-F1862)</x:f>
        <x:v>69</x:v>
      </x:c>
      <x:c r="I1862" s="10" t="n">
        <x:f>G1862-F1862</x:f>
        <x:v>69</x:v>
      </x:c>
    </x:row>
    <x:row r="1863" ht="20" customHeight="1">
      <x:c r="A1863" s="1" t="str">
        <x:v>22960</x:v>
      </x:c>
      <x:c r="B1863" s="10" t="n">
        <x:v>3</x:v>
      </x:c>
      <x:c r="C1863" s="9" t="d">
        <x:v>2011-11-16T00:00:00.000Z</x:v>
      </x:c>
      <x:c r="D1863" s="9" t="d">
        <x:v>2011-11-26T00:00:00.000Z</x:v>
      </x:c>
      <x:c r="E1863" s="1" t="str">
        <x:v>naive</x:v>
      </x:c>
      <x:c r="F1863" s="10" t="n">
        <x:v>0</x:v>
      </x:c>
      <x:c r="G1863" s="10" t="n">
        <x:v>82</x:v>
      </x:c>
      <x:c r="H1863" s="10" t="n">
        <x:f>ABS(G1863-F1863)</x:f>
        <x:v>82</x:v>
      </x:c>
      <x:c r="I1863" s="10" t="n">
        <x:f>G1863-F1863</x:f>
        <x:v>82</x:v>
      </x:c>
    </x:row>
    <x:row r="1864" ht="20" customHeight="1">
      <x:c r="A1864" s="1" t="str">
        <x:v>22960</x:v>
      </x:c>
      <x:c r="B1864" s="10" t="n">
        <x:v>3</x:v>
      </x:c>
      <x:c r="C1864" s="9" t="d">
        <x:v>2011-11-16T00:00:00.000Z</x:v>
      </x:c>
      <x:c r="D1864" s="9" t="d">
        <x:v>2011-11-27T00:00:00.000Z</x:v>
      </x:c>
      <x:c r="E1864" s="1" t="str">
        <x:v>naive</x:v>
      </x:c>
      <x:c r="F1864" s="10" t="n">
        <x:v>3</x:v>
      </x:c>
      <x:c r="G1864" s="10" t="n">
        <x:v>82</x:v>
      </x:c>
      <x:c r="H1864" s="10" t="n">
        <x:f>ABS(G1864-F1864)</x:f>
        <x:v>79</x:v>
      </x:c>
      <x:c r="I1864" s="10" t="n">
        <x:f>G1864-F1864</x:f>
        <x:v>79</x:v>
      </x:c>
    </x:row>
    <x:row r="1865" ht="20" customHeight="1">
      <x:c r="A1865" s="1" t="str">
        <x:v>22960</x:v>
      </x:c>
      <x:c r="B1865" s="10" t="n">
        <x:v>3</x:v>
      </x:c>
      <x:c r="C1865" s="9" t="d">
        <x:v>2011-11-16T00:00:00.000Z</x:v>
      </x:c>
      <x:c r="D1865" s="9" t="d">
        <x:v>2011-11-28T00:00:00.000Z</x:v>
      </x:c>
      <x:c r="E1865" s="1" t="str">
        <x:v>naive</x:v>
      </x:c>
      <x:c r="F1865" s="10" t="n">
        <x:v>45</x:v>
      </x:c>
      <x:c r="G1865" s="10" t="n">
        <x:v>82</x:v>
      </x:c>
      <x:c r="H1865" s="10" t="n">
        <x:f>ABS(G1865-F1865)</x:f>
        <x:v>37</x:v>
      </x:c>
      <x:c r="I1865" s="10" t="n">
        <x:f>G1865-F1865</x:f>
        <x:v>37</x:v>
      </x:c>
    </x:row>
    <x:row r="1866" ht="20" customHeight="1">
      <x:c r="A1866" s="1" t="str">
        <x:v>22960</x:v>
      </x:c>
      <x:c r="B1866" s="10" t="n">
        <x:v>3</x:v>
      </x:c>
      <x:c r="C1866" s="9" t="d">
        <x:v>2011-11-16T00:00:00.000Z</x:v>
      </x:c>
      <x:c r="D1866" s="9" t="d">
        <x:v>2011-11-29T00:00:00.000Z</x:v>
      </x:c>
      <x:c r="E1866" s="1" t="str">
        <x:v>naive</x:v>
      </x:c>
      <x:c r="F1866" s="10" t="n">
        <x:v>223</x:v>
      </x:c>
      <x:c r="G1866" s="10" t="n">
        <x:v>82</x:v>
      </x:c>
      <x:c r="H1866" s="10" t="n">
        <x:f>ABS(G1866-F1866)</x:f>
        <x:v>141</x:v>
      </x:c>
      <x:c r="I1866" s="10" t="n">
        <x:f>G1866-F1866</x:f>
        <x:v>-141</x:v>
      </x:c>
    </x:row>
    <x:row r="1867" ht="20" customHeight="1">
      <x:c r="A1867" s="1" t="str">
        <x:v>22960</x:v>
      </x:c>
      <x:c r="B1867" s="10" t="n">
        <x:v>3</x:v>
      </x:c>
      <x:c r="C1867" s="9" t="d">
        <x:v>2011-11-16T00:00:00.000Z</x:v>
      </x:c>
      <x:c r="D1867" s="9" t="d">
        <x:v>2011-11-30T00:00:00.000Z</x:v>
      </x:c>
      <x:c r="E1867" s="1" t="str">
        <x:v>naive</x:v>
      </x:c>
      <x:c r="F1867" s="10" t="n">
        <x:v>44</x:v>
      </x:c>
      <x:c r="G1867" s="10" t="n">
        <x:v>82</x:v>
      </x:c>
      <x:c r="H1867" s="10" t="n">
        <x:f>ABS(G1867-F1867)</x:f>
        <x:v>38</x:v>
      </x:c>
      <x:c r="I1867" s="10" t="n">
        <x:f>G1867-F1867</x:f>
        <x:v>38</x:v>
      </x:c>
    </x:row>
    <x:row r="1868" ht="20" customHeight="1">
      <x:c r="A1868" s="1" t="str">
        <x:v>22960</x:v>
      </x:c>
      <x:c r="B1868" s="10" t="n">
        <x:v>3</x:v>
      </x:c>
      <x:c r="C1868" s="9" t="d">
        <x:v>2011-11-16T00:00:00.000Z</x:v>
      </x:c>
      <x:c r="D1868" s="9" t="d">
        <x:v>2011-11-17T00:00:00.000Z</x:v>
      </x:c>
      <x:c r="E1868" s="1" t="str">
        <x:v>seasonal_naive</x:v>
      </x:c>
      <x:c r="F1868" s="10" t="n">
        <x:v>20</x:v>
      </x:c>
      <x:c r="G1868" s="10" t="n">
        <x:v>64</x:v>
      </x:c>
      <x:c r="H1868" s="10" t="n">
        <x:f>ABS(G1868-F1868)</x:f>
        <x:v>44</x:v>
      </x:c>
      <x:c r="I1868" s="10" t="n">
        <x:f>G1868-F1868</x:f>
        <x:v>44</x:v>
      </x:c>
    </x:row>
    <x:row r="1869" ht="20" customHeight="1">
      <x:c r="A1869" s="1" t="str">
        <x:v>22960</x:v>
      </x:c>
      <x:c r="B1869" s="10" t="n">
        <x:v>3</x:v>
      </x:c>
      <x:c r="C1869" s="9" t="d">
        <x:v>2011-11-16T00:00:00.000Z</x:v>
      </x:c>
      <x:c r="D1869" s="9" t="d">
        <x:v>2011-11-18T00:00:00.000Z</x:v>
      </x:c>
      <x:c r="E1869" s="1" t="str">
        <x:v>seasonal_naive</x:v>
      </x:c>
      <x:c r="F1869" s="10" t="n">
        <x:v>25</x:v>
      </x:c>
      <x:c r="G1869" s="10" t="n">
        <x:v>5</x:v>
      </x:c>
      <x:c r="H1869" s="10" t="n">
        <x:f>ABS(G1869-F1869)</x:f>
        <x:v>20</x:v>
      </x:c>
      <x:c r="I1869" s="10" t="n">
        <x:f>G1869-F1869</x:f>
        <x:v>-20</x:v>
      </x:c>
    </x:row>
    <x:row r="1870" ht="20" customHeight="1">
      <x:c r="A1870" s="1" t="str">
        <x:v>22960</x:v>
      </x:c>
      <x:c r="B1870" s="10" t="n">
        <x:v>3</x:v>
      </x:c>
      <x:c r="C1870" s="9" t="d">
        <x:v>2011-11-16T00:00:00.000Z</x:v>
      </x:c>
      <x:c r="D1870" s="9" t="d">
        <x:v>2011-11-19T00:00:00.000Z</x:v>
      </x:c>
      <x:c r="E1870" s="1" t="str">
        <x:v>seasonal_naive</x:v>
      </x:c>
      <x:c r="F1870" s="10" t="n">
        <x:v>0</x:v>
      </x:c>
      <x:c r="G1870" s="10" t="n">
        <x:v>0</x:v>
      </x:c>
      <x:c r="H1870" s="10" t="n">
        <x:f>ABS(G1870-F1870)</x:f>
        <x:v>0</x:v>
      </x:c>
      <x:c r="I1870" s="10" t="n">
        <x:f>G1870-F1870</x:f>
        <x:v>0</x:v>
      </x:c>
    </x:row>
    <x:row r="1871" ht="20" customHeight="1">
      <x:c r="A1871" s="1" t="str">
        <x:v>22960</x:v>
      </x:c>
      <x:c r="B1871" s="10" t="n">
        <x:v>3</x:v>
      </x:c>
      <x:c r="C1871" s="9" t="d">
        <x:v>2011-11-16T00:00:00.000Z</x:v>
      </x:c>
      <x:c r="D1871" s="9" t="d">
        <x:v>2011-11-20T00:00:00.000Z</x:v>
      </x:c>
      <x:c r="E1871" s="1" t="str">
        <x:v>seasonal_naive</x:v>
      </x:c>
      <x:c r="F1871" s="10" t="n">
        <x:v>4</x:v>
      </x:c>
      <x:c r="G1871" s="10" t="n">
        <x:v>33</x:v>
      </x:c>
      <x:c r="H1871" s="10" t="n">
        <x:f>ABS(G1871-F1871)</x:f>
        <x:v>29</x:v>
      </x:c>
      <x:c r="I1871" s="10" t="n">
        <x:f>G1871-F1871</x:f>
        <x:v>29</x:v>
      </x:c>
    </x:row>
    <x:row r="1872" ht="20" customHeight="1">
      <x:c r="A1872" s="1" t="str">
        <x:v>22960</x:v>
      </x:c>
      <x:c r="B1872" s="10" t="n">
        <x:v>3</x:v>
      </x:c>
      <x:c r="C1872" s="9" t="d">
        <x:v>2011-11-16T00:00:00.000Z</x:v>
      </x:c>
      <x:c r="D1872" s="9" t="d">
        <x:v>2011-11-21T00:00:00.000Z</x:v>
      </x:c>
      <x:c r="E1872" s="1" t="str">
        <x:v>seasonal_naive</x:v>
      </x:c>
      <x:c r="F1872" s="10" t="n">
        <x:v>57</x:v>
      </x:c>
      <x:c r="G1872" s="10" t="n">
        <x:v>27</x:v>
      </x:c>
      <x:c r="H1872" s="10" t="n">
        <x:f>ABS(G1872-F1872)</x:f>
        <x:v>30</x:v>
      </x:c>
      <x:c r="I1872" s="10" t="n">
        <x:f>G1872-F1872</x:f>
        <x:v>-30</x:v>
      </x:c>
    </x:row>
    <x:row r="1873" ht="20" customHeight="1">
      <x:c r="A1873" s="1" t="str">
        <x:v>22960</x:v>
      </x:c>
      <x:c r="B1873" s="10" t="n">
        <x:v>3</x:v>
      </x:c>
      <x:c r="C1873" s="9" t="d">
        <x:v>2011-11-16T00:00:00.000Z</x:v>
      </x:c>
      <x:c r="D1873" s="9" t="d">
        <x:v>2011-11-22T00:00:00.000Z</x:v>
      </x:c>
      <x:c r="E1873" s="1" t="str">
        <x:v>seasonal_naive</x:v>
      </x:c>
      <x:c r="F1873" s="10" t="n">
        <x:v>38</x:v>
      </x:c>
      <x:c r="G1873" s="10" t="n">
        <x:v>5</x:v>
      </x:c>
      <x:c r="H1873" s="10" t="n">
        <x:f>ABS(G1873-F1873)</x:f>
        <x:v>33</x:v>
      </x:c>
      <x:c r="I1873" s="10" t="n">
        <x:f>G1873-F1873</x:f>
        <x:v>-33</x:v>
      </x:c>
    </x:row>
    <x:row r="1874" ht="20" customHeight="1">
      <x:c r="A1874" s="1" t="str">
        <x:v>22960</x:v>
      </x:c>
      <x:c r="B1874" s="10" t="n">
        <x:v>3</x:v>
      </x:c>
      <x:c r="C1874" s="9" t="d">
        <x:v>2011-11-16T00:00:00.000Z</x:v>
      </x:c>
      <x:c r="D1874" s="9" t="d">
        <x:v>2011-11-23T00:00:00.000Z</x:v>
      </x:c>
      <x:c r="E1874" s="1" t="str">
        <x:v>seasonal_naive</x:v>
      </x:c>
      <x:c r="F1874" s="10" t="n">
        <x:v>60</x:v>
      </x:c>
      <x:c r="G1874" s="10" t="n">
        <x:v>82</x:v>
      </x:c>
      <x:c r="H1874" s="10" t="n">
        <x:f>ABS(G1874-F1874)</x:f>
        <x:v>22</x:v>
      </x:c>
      <x:c r="I1874" s="10" t="n">
        <x:f>G1874-F1874</x:f>
        <x:v>22</x:v>
      </x:c>
    </x:row>
    <x:row r="1875" ht="20" customHeight="1">
      <x:c r="A1875" s="1" t="str">
        <x:v>22960</x:v>
      </x:c>
      <x:c r="B1875" s="10" t="n">
        <x:v>3</x:v>
      </x:c>
      <x:c r="C1875" s="9" t="d">
        <x:v>2011-11-16T00:00:00.000Z</x:v>
      </x:c>
      <x:c r="D1875" s="9" t="d">
        <x:v>2011-11-24T00:00:00.000Z</x:v>
      </x:c>
      <x:c r="E1875" s="1" t="str">
        <x:v>seasonal_naive</x:v>
      </x:c>
      <x:c r="F1875" s="10" t="n">
        <x:v>15</x:v>
      </x:c>
      <x:c r="G1875" s="10" t="n">
        <x:v>64</x:v>
      </x:c>
      <x:c r="H1875" s="10" t="n">
        <x:f>ABS(G1875-F1875)</x:f>
        <x:v>49</x:v>
      </x:c>
      <x:c r="I1875" s="10" t="n">
        <x:f>G1875-F1875</x:f>
        <x:v>49</x:v>
      </x:c>
    </x:row>
    <x:row r="1876" ht="20" customHeight="1">
      <x:c r="A1876" s="1" t="str">
        <x:v>22960</x:v>
      </x:c>
      <x:c r="B1876" s="10" t="n">
        <x:v>3</x:v>
      </x:c>
      <x:c r="C1876" s="9" t="d">
        <x:v>2011-11-16T00:00:00.000Z</x:v>
      </x:c>
      <x:c r="D1876" s="9" t="d">
        <x:v>2011-11-25T00:00:00.000Z</x:v>
      </x:c>
      <x:c r="E1876" s="1" t="str">
        <x:v>seasonal_naive</x:v>
      </x:c>
      <x:c r="F1876" s="10" t="n">
        <x:v>13</x:v>
      </x:c>
      <x:c r="G1876" s="10" t="n">
        <x:v>5</x:v>
      </x:c>
      <x:c r="H1876" s="10" t="n">
        <x:f>ABS(G1876-F1876)</x:f>
        <x:v>8</x:v>
      </x:c>
      <x:c r="I1876" s="10" t="n">
        <x:f>G1876-F1876</x:f>
        <x:v>-8</x:v>
      </x:c>
    </x:row>
    <x:row r="1877" ht="20" customHeight="1">
      <x:c r="A1877" s="1" t="str">
        <x:v>22960</x:v>
      </x:c>
      <x:c r="B1877" s="10" t="n">
        <x:v>3</x:v>
      </x:c>
      <x:c r="C1877" s="9" t="d">
        <x:v>2011-11-16T00:00:00.000Z</x:v>
      </x:c>
      <x:c r="D1877" s="9" t="d">
        <x:v>2011-11-26T00:00:00.000Z</x:v>
      </x:c>
      <x:c r="E1877" s="1" t="str">
        <x:v>seasonal_naive</x:v>
      </x:c>
      <x:c r="F1877" s="10" t="n">
        <x:v>0</x:v>
      </x:c>
      <x:c r="G1877" s="10" t="n">
        <x:v>0</x:v>
      </x:c>
      <x:c r="H1877" s="10" t="n">
        <x:f>ABS(G1877-F1877)</x:f>
        <x:v>0</x:v>
      </x:c>
      <x:c r="I1877" s="10" t="n">
        <x:f>G1877-F1877</x:f>
        <x:v>0</x:v>
      </x:c>
    </x:row>
    <x:row r="1878" ht="20" customHeight="1">
      <x:c r="A1878" s="1" t="str">
        <x:v>22960</x:v>
      </x:c>
      <x:c r="B1878" s="10" t="n">
        <x:v>3</x:v>
      </x:c>
      <x:c r="C1878" s="9" t="d">
        <x:v>2011-11-16T00:00:00.000Z</x:v>
      </x:c>
      <x:c r="D1878" s="9" t="d">
        <x:v>2011-11-27T00:00:00.000Z</x:v>
      </x:c>
      <x:c r="E1878" s="1" t="str">
        <x:v>seasonal_naive</x:v>
      </x:c>
      <x:c r="F1878" s="10" t="n">
        <x:v>3</x:v>
      </x:c>
      <x:c r="G1878" s="10" t="n">
        <x:v>33</x:v>
      </x:c>
      <x:c r="H1878" s="10" t="n">
        <x:f>ABS(G1878-F1878)</x:f>
        <x:v>30</x:v>
      </x:c>
      <x:c r="I1878" s="10" t="n">
        <x:f>G1878-F1878</x:f>
        <x:v>30</x:v>
      </x:c>
    </x:row>
    <x:row r="1879" ht="20" customHeight="1">
      <x:c r="A1879" s="1" t="str">
        <x:v>22960</x:v>
      </x:c>
      <x:c r="B1879" s="10" t="n">
        <x:v>3</x:v>
      </x:c>
      <x:c r="C1879" s="9" t="d">
        <x:v>2011-11-16T00:00:00.000Z</x:v>
      </x:c>
      <x:c r="D1879" s="9" t="d">
        <x:v>2011-11-28T00:00:00.000Z</x:v>
      </x:c>
      <x:c r="E1879" s="1" t="str">
        <x:v>seasonal_naive</x:v>
      </x:c>
      <x:c r="F1879" s="10" t="n">
        <x:v>45</x:v>
      </x:c>
      <x:c r="G1879" s="10" t="n">
        <x:v>27</x:v>
      </x:c>
      <x:c r="H1879" s="10" t="n">
        <x:f>ABS(G1879-F1879)</x:f>
        <x:v>18</x:v>
      </x:c>
      <x:c r="I1879" s="10" t="n">
        <x:f>G1879-F1879</x:f>
        <x:v>-18</x:v>
      </x:c>
    </x:row>
    <x:row r="1880" ht="20" customHeight="1">
      <x:c r="A1880" s="1" t="str">
        <x:v>22960</x:v>
      </x:c>
      <x:c r="B1880" s="10" t="n">
        <x:v>3</x:v>
      </x:c>
      <x:c r="C1880" s="9" t="d">
        <x:v>2011-11-16T00:00:00.000Z</x:v>
      </x:c>
      <x:c r="D1880" s="9" t="d">
        <x:v>2011-11-29T00:00:00.000Z</x:v>
      </x:c>
      <x:c r="E1880" s="1" t="str">
        <x:v>seasonal_naive</x:v>
      </x:c>
      <x:c r="F1880" s="10" t="n">
        <x:v>223</x:v>
      </x:c>
      <x:c r="G1880" s="10" t="n">
        <x:v>5</x:v>
      </x:c>
      <x:c r="H1880" s="10" t="n">
        <x:f>ABS(G1880-F1880)</x:f>
        <x:v>218</x:v>
      </x:c>
      <x:c r="I1880" s="10" t="n">
        <x:f>G1880-F1880</x:f>
        <x:v>-218</x:v>
      </x:c>
    </x:row>
    <x:row r="1881" ht="20" customHeight="1">
      <x:c r="A1881" s="1" t="str">
        <x:v>22960</x:v>
      </x:c>
      <x:c r="B1881" s="10" t="n">
        <x:v>3</x:v>
      </x:c>
      <x:c r="C1881" s="9" t="d">
        <x:v>2011-11-16T00:00:00.000Z</x:v>
      </x:c>
      <x:c r="D1881" s="9" t="d">
        <x:v>2011-11-30T00:00:00.000Z</x:v>
      </x:c>
      <x:c r="E1881" s="1" t="str">
        <x:v>seasonal_naive</x:v>
      </x:c>
      <x:c r="F1881" s="10" t="n">
        <x:v>44</x:v>
      </x:c>
      <x:c r="G1881" s="10" t="n">
        <x:v>82</x:v>
      </x:c>
      <x:c r="H1881" s="10" t="n">
        <x:f>ABS(G1881-F1881)</x:f>
        <x:v>38</x:v>
      </x:c>
      <x:c r="I1881" s="10" t="n">
        <x:f>G1881-F1881</x:f>
        <x:v>38</x:v>
      </x:c>
    </x:row>
    <x:row r="1882" ht="20" customHeight="1">
      <x:c r="A1882" s="1" t="str">
        <x:v>22960</x:v>
      </x:c>
      <x:c r="B1882" s="10" t="n">
        <x:v>3</x:v>
      </x:c>
      <x:c r="C1882" s="9" t="d">
        <x:v>2011-11-16T00:00:00.000Z</x:v>
      </x:c>
      <x:c r="D1882" s="9" t="d">
        <x:v>2011-11-17T00:00:00.000Z</x:v>
      </x:c>
      <x:c r="E1882" s="1" t="str">
        <x:v>ridge</x:v>
      </x:c>
      <x:c r="F1882" s="10" t="n">
        <x:v>20</x:v>
      </x:c>
      <x:c r="G1882" s="10" t="n">
        <x:v>32.8970954798</x:v>
      </x:c>
      <x:c r="H1882" s="10" t="n">
        <x:f>ABS(G1882-F1882)</x:f>
        <x:v>12.8970954798</x:v>
      </x:c>
      <x:c r="I1882" s="10" t="n">
        <x:f>G1882-F1882</x:f>
        <x:v>12.8970954798</x:v>
      </x:c>
    </x:row>
    <x:row r="1883" ht="20" customHeight="1">
      <x:c r="A1883" s="1" t="str">
        <x:v>22960</x:v>
      </x:c>
      <x:c r="B1883" s="10" t="n">
        <x:v>3</x:v>
      </x:c>
      <x:c r="C1883" s="9" t="d">
        <x:v>2011-11-16T00:00:00.000Z</x:v>
      </x:c>
      <x:c r="D1883" s="9" t="d">
        <x:v>2011-11-18T00:00:00.000Z</x:v>
      </x:c>
      <x:c r="E1883" s="1" t="str">
        <x:v>ridge</x:v>
      </x:c>
      <x:c r="F1883" s="10" t="n">
        <x:v>25</x:v>
      </x:c>
      <x:c r="G1883" s="10" t="n">
        <x:v>20.0179132737</x:v>
      </x:c>
      <x:c r="H1883" s="10" t="n">
        <x:f>ABS(G1883-F1883)</x:f>
        <x:v>4.9820867263</x:v>
      </x:c>
      <x:c r="I1883" s="10" t="n">
        <x:f>G1883-F1883</x:f>
        <x:v>-4.9820867263</x:v>
      </x:c>
    </x:row>
    <x:row r="1884" ht="20" customHeight="1">
      <x:c r="A1884" s="1" t="str">
        <x:v>22960</x:v>
      </x:c>
      <x:c r="B1884" s="10" t="n">
        <x:v>3</x:v>
      </x:c>
      <x:c r="C1884" s="9" t="d">
        <x:v>2011-11-16T00:00:00.000Z</x:v>
      </x:c>
      <x:c r="D1884" s="9" t="d">
        <x:v>2011-11-19T00:00:00.000Z</x:v>
      </x:c>
      <x:c r="E1884" s="1" t="str">
        <x:v>ridge</x:v>
      </x:c>
      <x:c r="F1884" s="10" t="n">
        <x:v>0</x:v>
      </x:c>
      <x:c r="G1884" s="10" t="n">
        <x:v>11.6317399053</x:v>
      </x:c>
      <x:c r="H1884" s="10" t="n">
        <x:f>ABS(G1884-F1884)</x:f>
        <x:v>11.6317399053</x:v>
      </x:c>
      <x:c r="I1884" s="10" t="n">
        <x:f>G1884-F1884</x:f>
        <x:v>11.6317399053</x:v>
      </x:c>
    </x:row>
    <x:row r="1885" ht="20" customHeight="1">
      <x:c r="A1885" s="1" t="str">
        <x:v>22960</x:v>
      </x:c>
      <x:c r="B1885" s="10" t="n">
        <x:v>3</x:v>
      </x:c>
      <x:c r="C1885" s="9" t="d">
        <x:v>2011-11-16T00:00:00.000Z</x:v>
      </x:c>
      <x:c r="D1885" s="9" t="d">
        <x:v>2011-11-20T00:00:00.000Z</x:v>
      </x:c>
      <x:c r="E1885" s="1" t="str">
        <x:v>ridge</x:v>
      </x:c>
      <x:c r="F1885" s="10" t="n">
        <x:v>4</x:v>
      </x:c>
      <x:c r="G1885" s="10" t="n">
        <x:v>12.3587868018</x:v>
      </x:c>
      <x:c r="H1885" s="10" t="n">
        <x:f>ABS(G1885-F1885)</x:f>
        <x:v>8.3587868018</x:v>
      </x:c>
      <x:c r="I1885" s="10" t="n">
        <x:f>G1885-F1885</x:f>
        <x:v>8.3587868018</x:v>
      </x:c>
    </x:row>
    <x:row r="1886" ht="20" customHeight="1">
      <x:c r="A1886" s="1" t="str">
        <x:v>22960</x:v>
      </x:c>
      <x:c r="B1886" s="10" t="n">
        <x:v>3</x:v>
      </x:c>
      <x:c r="C1886" s="9" t="d">
        <x:v>2011-11-16T00:00:00.000Z</x:v>
      </x:c>
      <x:c r="D1886" s="9" t="d">
        <x:v>2011-11-21T00:00:00.000Z</x:v>
      </x:c>
      <x:c r="E1886" s="1" t="str">
        <x:v>ridge</x:v>
      </x:c>
      <x:c r="F1886" s="10" t="n">
        <x:v>57</x:v>
      </x:c>
      <x:c r="G1886" s="10" t="n">
        <x:v>19.9155252717</x:v>
      </x:c>
      <x:c r="H1886" s="10" t="n">
        <x:f>ABS(G1886-F1886)</x:f>
        <x:v>37.084474728299995</x:v>
      </x:c>
      <x:c r="I1886" s="10" t="n">
        <x:f>G1886-F1886</x:f>
        <x:v>-37.084474728299995</x:v>
      </x:c>
    </x:row>
    <x:row r="1887" ht="20" customHeight="1">
      <x:c r="A1887" s="1" t="str">
        <x:v>22960</x:v>
      </x:c>
      <x:c r="B1887" s="10" t="n">
        <x:v>3</x:v>
      </x:c>
      <x:c r="C1887" s="9" t="d">
        <x:v>2011-11-16T00:00:00.000Z</x:v>
      </x:c>
      <x:c r="D1887" s="9" t="d">
        <x:v>2011-11-22T00:00:00.000Z</x:v>
      </x:c>
      <x:c r="E1887" s="1" t="str">
        <x:v>ridge</x:v>
      </x:c>
      <x:c r="F1887" s="10" t="n">
        <x:v>38</x:v>
      </x:c>
      <x:c r="G1887" s="10" t="n">
        <x:v>29.7803312781</x:v>
      </x:c>
      <x:c r="H1887" s="10" t="n">
        <x:f>ABS(G1887-F1887)</x:f>
        <x:v>8.2196687219</x:v>
      </x:c>
      <x:c r="I1887" s="10" t="n">
        <x:f>G1887-F1887</x:f>
        <x:v>-8.2196687219</x:v>
      </x:c>
    </x:row>
    <x:row r="1888" ht="20" customHeight="1">
      <x:c r="A1888" s="1" t="str">
        <x:v>22960</x:v>
      </x:c>
      <x:c r="B1888" s="10" t="n">
        <x:v>3</x:v>
      </x:c>
      <x:c r="C1888" s="9" t="d">
        <x:v>2011-11-16T00:00:00.000Z</x:v>
      </x:c>
      <x:c r="D1888" s="9" t="d">
        <x:v>2011-11-23T00:00:00.000Z</x:v>
      </x:c>
      <x:c r="E1888" s="1" t="str">
        <x:v>ridge</x:v>
      </x:c>
      <x:c r="F1888" s="10" t="n">
        <x:v>60</x:v>
      </x:c>
      <x:c r="G1888" s="10" t="n">
        <x:v>37.0062610153</x:v>
      </x:c>
      <x:c r="H1888" s="10" t="n">
        <x:f>ABS(G1888-F1888)</x:f>
        <x:v>22.993738984700002</x:v>
      </x:c>
      <x:c r="I1888" s="10" t="n">
        <x:f>G1888-F1888</x:f>
        <x:v>-22.993738984700002</x:v>
      </x:c>
    </x:row>
    <x:row r="1889" ht="20" customHeight="1">
      <x:c r="A1889" s="1" t="str">
        <x:v>22960</x:v>
      </x:c>
      <x:c r="B1889" s="10" t="n">
        <x:v>3</x:v>
      </x:c>
      <x:c r="C1889" s="9" t="d">
        <x:v>2011-11-16T00:00:00.000Z</x:v>
      </x:c>
      <x:c r="D1889" s="9" t="d">
        <x:v>2011-11-24T00:00:00.000Z</x:v>
      </x:c>
      <x:c r="E1889" s="1" t="str">
        <x:v>ridge</x:v>
      </x:c>
      <x:c r="F1889" s="10" t="n">
        <x:v>15</x:v>
      </x:c>
      <x:c r="G1889" s="10" t="n">
        <x:v>29.9623954054</x:v>
      </x:c>
      <x:c r="H1889" s="10" t="n">
        <x:f>ABS(G1889-F1889)</x:f>
        <x:v>14.962395405399999</x:v>
      </x:c>
      <x:c r="I1889" s="10" t="n">
        <x:f>G1889-F1889</x:f>
        <x:v>14.962395405399999</x:v>
      </x:c>
    </x:row>
    <x:row r="1890" ht="20" customHeight="1">
      <x:c r="A1890" s="1" t="str">
        <x:v>22960</x:v>
      </x:c>
      <x:c r="B1890" s="10" t="n">
        <x:v>3</x:v>
      </x:c>
      <x:c r="C1890" s="9" t="d">
        <x:v>2011-11-16T00:00:00.000Z</x:v>
      </x:c>
      <x:c r="D1890" s="9" t="d">
        <x:v>2011-11-25T00:00:00.000Z</x:v>
      </x:c>
      <x:c r="E1890" s="1" t="str">
        <x:v>ridge</x:v>
      </x:c>
      <x:c r="F1890" s="10" t="n">
        <x:v>13</x:v>
      </x:c>
      <x:c r="G1890" s="10" t="n">
        <x:v>19.0090988011</x:v>
      </x:c>
      <x:c r="H1890" s="10" t="n">
        <x:f>ABS(G1890-F1890)</x:f>
        <x:v>6.009098801099999</x:v>
      </x:c>
      <x:c r="I1890" s="10" t="n">
        <x:f>G1890-F1890</x:f>
        <x:v>6.009098801099999</x:v>
      </x:c>
    </x:row>
    <x:row r="1891" ht="20" customHeight="1">
      <x:c r="A1891" s="1" t="str">
        <x:v>22960</x:v>
      </x:c>
      <x:c r="B1891" s="10" t="n">
        <x:v>3</x:v>
      </x:c>
      <x:c r="C1891" s="9" t="d">
        <x:v>2011-11-16T00:00:00.000Z</x:v>
      </x:c>
      <x:c r="D1891" s="9" t="d">
        <x:v>2011-11-26T00:00:00.000Z</x:v>
      </x:c>
      <x:c r="E1891" s="1" t="str">
        <x:v>ridge</x:v>
      </x:c>
      <x:c r="F1891" s="10" t="n">
        <x:v>0</x:v>
      </x:c>
      <x:c r="G1891" s="10" t="n">
        <x:v>10.186127899</x:v>
      </x:c>
      <x:c r="H1891" s="10" t="n">
        <x:f>ABS(G1891-F1891)</x:f>
        <x:v>10.186127899</x:v>
      </x:c>
      <x:c r="I1891" s="10" t="n">
        <x:f>G1891-F1891</x:f>
        <x:v>10.186127899</x:v>
      </x:c>
    </x:row>
    <x:row r="1892" ht="20" customHeight="1">
      <x:c r="A1892" s="1" t="str">
        <x:v>22960</x:v>
      </x:c>
      <x:c r="B1892" s="10" t="n">
        <x:v>3</x:v>
      </x:c>
      <x:c r="C1892" s="9" t="d">
        <x:v>2011-11-16T00:00:00.000Z</x:v>
      </x:c>
      <x:c r="D1892" s="9" t="d">
        <x:v>2011-11-27T00:00:00.000Z</x:v>
      </x:c>
      <x:c r="E1892" s="1" t="str">
        <x:v>ridge</x:v>
      </x:c>
      <x:c r="F1892" s="10" t="n">
        <x:v>3</x:v>
      </x:c>
      <x:c r="G1892" s="10" t="n">
        <x:v>9.9030167185</x:v>
      </x:c>
      <x:c r="H1892" s="10" t="n">
        <x:f>ABS(G1892-F1892)</x:f>
        <x:v>6.9030167185</x:v>
      </x:c>
      <x:c r="I1892" s="10" t="n">
        <x:f>G1892-F1892</x:f>
        <x:v>6.9030167185</x:v>
      </x:c>
    </x:row>
    <x:row r="1893" ht="20" customHeight="1">
      <x:c r="A1893" s="1" t="str">
        <x:v>22960</x:v>
      </x:c>
      <x:c r="B1893" s="10" t="n">
        <x:v>3</x:v>
      </x:c>
      <x:c r="C1893" s="9" t="d">
        <x:v>2011-11-16T00:00:00.000Z</x:v>
      </x:c>
      <x:c r="D1893" s="9" t="d">
        <x:v>2011-11-28T00:00:00.000Z</x:v>
      </x:c>
      <x:c r="E1893" s="1" t="str">
        <x:v>ridge</x:v>
      </x:c>
      <x:c r="F1893" s="10" t="n">
        <x:v>45</x:v>
      </x:c>
      <x:c r="G1893" s="10" t="n">
        <x:v>18.4302311522</x:v>
      </x:c>
      <x:c r="H1893" s="10" t="n">
        <x:f>ABS(G1893-F1893)</x:f>
        <x:v>26.5697688478</x:v>
      </x:c>
      <x:c r="I1893" s="10" t="n">
        <x:f>G1893-F1893</x:f>
        <x:v>-26.5697688478</x:v>
      </x:c>
    </x:row>
    <x:row r="1894" ht="20" customHeight="1">
      <x:c r="A1894" s="1" t="str">
        <x:v>22960</x:v>
      </x:c>
      <x:c r="B1894" s="10" t="n">
        <x:v>3</x:v>
      </x:c>
      <x:c r="C1894" s="9" t="d">
        <x:v>2011-11-16T00:00:00.000Z</x:v>
      </x:c>
      <x:c r="D1894" s="9" t="d">
        <x:v>2011-11-29T00:00:00.000Z</x:v>
      </x:c>
      <x:c r="E1894" s="1" t="str">
        <x:v>ridge</x:v>
      </x:c>
      <x:c r="F1894" s="10" t="n">
        <x:v>223</x:v>
      </x:c>
      <x:c r="G1894" s="10" t="n">
        <x:v>29.5043461613</x:v>
      </x:c>
      <x:c r="H1894" s="10" t="n">
        <x:f>ABS(G1894-F1894)</x:f>
        <x:v>193.4956538387</x:v>
      </x:c>
      <x:c r="I1894" s="10" t="n">
        <x:f>G1894-F1894</x:f>
        <x:v>-193.4956538387</x:v>
      </x:c>
    </x:row>
    <x:row r="1895" ht="20" customHeight="1">
      <x:c r="A1895" s="1" t="str">
        <x:v>22960</x:v>
      </x:c>
      <x:c r="B1895" s="10" t="n">
        <x:v>3</x:v>
      </x:c>
      <x:c r="C1895" s="9" t="d">
        <x:v>2011-11-16T00:00:00.000Z</x:v>
      </x:c>
      <x:c r="D1895" s="9" t="d">
        <x:v>2011-11-30T00:00:00.000Z</x:v>
      </x:c>
      <x:c r="E1895" s="1" t="str">
        <x:v>ridge</x:v>
      </x:c>
      <x:c r="F1895" s="10" t="n">
        <x:v>44</x:v>
      </x:c>
      <x:c r="G1895" s="10" t="n">
        <x:v>34.4382687884</x:v>
      </x:c>
      <x:c r="H1895" s="10" t="n">
        <x:f>ABS(G1895-F1895)</x:f>
        <x:v>9.561731211599998</x:v>
      </x:c>
      <x:c r="I1895" s="10" t="n">
        <x:f>G1895-F1895</x:f>
        <x:v>-9.561731211599998</x:v>
      </x:c>
    </x:row>
    <x:row r="1896" ht="20" customHeight="1">
      <x:c r="A1896" s="1" t="str">
        <x:v>22961</x:v>
      </x:c>
      <x:c r="B1896" s="10" t="n">
        <x:v>1</x:v>
      </x:c>
      <x:c r="C1896" s="9" t="d">
        <x:v>2011-10-19T00:00:00.000Z</x:v>
      </x:c>
      <x:c r="D1896" s="9" t="d">
        <x:v>2011-10-20T00:00:00.000Z</x:v>
      </x:c>
      <x:c r="E1896" s="1" t="str">
        <x:v>naive</x:v>
      </x:c>
      <x:c r="F1896" s="10" t="n">
        <x:v>24</x:v>
      </x:c>
      <x:c r="G1896" s="10" t="n">
        <x:v>36</x:v>
      </x:c>
      <x:c r="H1896" s="10" t="n">
        <x:f>ABS(G1896-F1896)</x:f>
        <x:v>12</x:v>
      </x:c>
      <x:c r="I1896" s="10" t="n">
        <x:f>G1896-F1896</x:f>
        <x:v>12</x:v>
      </x:c>
    </x:row>
    <x:row r="1897" ht="20" customHeight="1">
      <x:c r="A1897" s="1" t="str">
        <x:v>22961</x:v>
      </x:c>
      <x:c r="B1897" s="10" t="n">
        <x:v>1</x:v>
      </x:c>
      <x:c r="C1897" s="9" t="d">
        <x:v>2011-10-19T00:00:00.000Z</x:v>
      </x:c>
      <x:c r="D1897" s="9" t="d">
        <x:v>2011-10-21T00:00:00.000Z</x:v>
      </x:c>
      <x:c r="E1897" s="1" t="str">
        <x:v>naive</x:v>
      </x:c>
      <x:c r="F1897" s="10" t="n">
        <x:v>12</x:v>
      </x:c>
      <x:c r="G1897" s="10" t="n">
        <x:v>36</x:v>
      </x:c>
      <x:c r="H1897" s="10" t="n">
        <x:f>ABS(G1897-F1897)</x:f>
        <x:v>24</x:v>
      </x:c>
      <x:c r="I1897" s="10" t="n">
        <x:f>G1897-F1897</x:f>
        <x:v>24</x:v>
      </x:c>
    </x:row>
    <x:row r="1898" ht="20" customHeight="1">
      <x:c r="A1898" s="1" t="str">
        <x:v>22961</x:v>
      </x:c>
      <x:c r="B1898" s="10" t="n">
        <x:v>1</x:v>
      </x:c>
      <x:c r="C1898" s="9" t="d">
        <x:v>2011-10-19T00:00:00.000Z</x:v>
      </x:c>
      <x:c r="D1898" s="9" t="d">
        <x:v>2011-10-22T00:00:00.000Z</x:v>
      </x:c>
      <x:c r="E1898" s="1" t="str">
        <x:v>naive</x:v>
      </x:c>
      <x:c r="F1898" s="10" t="n">
        <x:v>0</x:v>
      </x:c>
      <x:c r="G1898" s="10" t="n">
        <x:v>36</x:v>
      </x:c>
      <x:c r="H1898" s="10" t="n">
        <x:f>ABS(G1898-F1898)</x:f>
        <x:v>36</x:v>
      </x:c>
      <x:c r="I1898" s="10" t="n">
        <x:f>G1898-F1898</x:f>
        <x:v>36</x:v>
      </x:c>
    </x:row>
    <x:row r="1899" ht="20" customHeight="1">
      <x:c r="A1899" s="1" t="str">
        <x:v>22961</x:v>
      </x:c>
      <x:c r="B1899" s="10" t="n">
        <x:v>1</x:v>
      </x:c>
      <x:c r="C1899" s="9" t="d">
        <x:v>2011-10-19T00:00:00.000Z</x:v>
      </x:c>
      <x:c r="D1899" s="9" t="d">
        <x:v>2011-10-23T00:00:00.000Z</x:v>
      </x:c>
      <x:c r="E1899" s="1" t="str">
        <x:v>naive</x:v>
      </x:c>
      <x:c r="F1899" s="10" t="n">
        <x:v>36</x:v>
      </x:c>
      <x:c r="G1899" s="10" t="n">
        <x:v>36</x:v>
      </x:c>
      <x:c r="H1899" s="10" t="n">
        <x:f>ABS(G1899-F1899)</x:f>
        <x:v>0</x:v>
      </x:c>
      <x:c r="I1899" s="10" t="n">
        <x:f>G1899-F1899</x:f>
        <x:v>0</x:v>
      </x:c>
    </x:row>
    <x:row r="1900" ht="20" customHeight="1">
      <x:c r="A1900" s="1" t="str">
        <x:v>22961</x:v>
      </x:c>
      <x:c r="B1900" s="10" t="n">
        <x:v>1</x:v>
      </x:c>
      <x:c r="C1900" s="9" t="d">
        <x:v>2011-10-19T00:00:00.000Z</x:v>
      </x:c>
      <x:c r="D1900" s="9" t="d">
        <x:v>2011-10-24T00:00:00.000Z</x:v>
      </x:c>
      <x:c r="E1900" s="1" t="str">
        <x:v>naive</x:v>
      </x:c>
      <x:c r="F1900" s="10" t="n">
        <x:v>16</x:v>
      </x:c>
      <x:c r="G1900" s="10" t="n">
        <x:v>36</x:v>
      </x:c>
      <x:c r="H1900" s="10" t="n">
        <x:f>ABS(G1900-F1900)</x:f>
        <x:v>20</x:v>
      </x:c>
      <x:c r="I1900" s="10" t="n">
        <x:f>G1900-F1900</x:f>
        <x:v>20</x:v>
      </x:c>
    </x:row>
    <x:row r="1901" ht="20" customHeight="1">
      <x:c r="A1901" s="1" t="str">
        <x:v>22961</x:v>
      </x:c>
      <x:c r="B1901" s="10" t="n">
        <x:v>1</x:v>
      </x:c>
      <x:c r="C1901" s="9" t="d">
        <x:v>2011-10-19T00:00:00.000Z</x:v>
      </x:c>
      <x:c r="D1901" s="9" t="d">
        <x:v>2011-10-25T00:00:00.000Z</x:v>
      </x:c>
      <x:c r="E1901" s="1" t="str">
        <x:v>naive</x:v>
      </x:c>
      <x:c r="F1901" s="10" t="n">
        <x:v>51</x:v>
      </x:c>
      <x:c r="G1901" s="10" t="n">
        <x:v>36</x:v>
      </x:c>
      <x:c r="H1901" s="10" t="n">
        <x:f>ABS(G1901-F1901)</x:f>
        <x:v>15</x:v>
      </x:c>
      <x:c r="I1901" s="10" t="n">
        <x:f>G1901-F1901</x:f>
        <x:v>-15</x:v>
      </x:c>
    </x:row>
    <x:row r="1902" ht="20" customHeight="1">
      <x:c r="A1902" s="1" t="str">
        <x:v>22961</x:v>
      </x:c>
      <x:c r="B1902" s="10" t="n">
        <x:v>1</x:v>
      </x:c>
      <x:c r="C1902" s="9" t="d">
        <x:v>2011-10-19T00:00:00.000Z</x:v>
      </x:c>
      <x:c r="D1902" s="9" t="d">
        <x:v>2011-10-26T00:00:00.000Z</x:v>
      </x:c>
      <x:c r="E1902" s="1" t="str">
        <x:v>naive</x:v>
      </x:c>
      <x:c r="F1902" s="10" t="n">
        <x:v>4</x:v>
      </x:c>
      <x:c r="G1902" s="10" t="n">
        <x:v>36</x:v>
      </x:c>
      <x:c r="H1902" s="10" t="n">
        <x:f>ABS(G1902-F1902)</x:f>
        <x:v>32</x:v>
      </x:c>
      <x:c r="I1902" s="10" t="n">
        <x:f>G1902-F1902</x:f>
        <x:v>32</x:v>
      </x:c>
    </x:row>
    <x:row r="1903" ht="20" customHeight="1">
      <x:c r="A1903" s="1" t="str">
        <x:v>22961</x:v>
      </x:c>
      <x:c r="B1903" s="10" t="n">
        <x:v>1</x:v>
      </x:c>
      <x:c r="C1903" s="9" t="d">
        <x:v>2011-10-19T00:00:00.000Z</x:v>
      </x:c>
      <x:c r="D1903" s="9" t="d">
        <x:v>2011-10-27T00:00:00.000Z</x:v>
      </x:c>
      <x:c r="E1903" s="1" t="str">
        <x:v>naive</x:v>
      </x:c>
      <x:c r="F1903" s="10" t="n">
        <x:v>50</x:v>
      </x:c>
      <x:c r="G1903" s="10" t="n">
        <x:v>36</x:v>
      </x:c>
      <x:c r="H1903" s="10" t="n">
        <x:f>ABS(G1903-F1903)</x:f>
        <x:v>14</x:v>
      </x:c>
      <x:c r="I1903" s="10" t="n">
        <x:f>G1903-F1903</x:f>
        <x:v>-14</x:v>
      </x:c>
    </x:row>
    <x:row r="1904" ht="20" customHeight="1">
      <x:c r="A1904" s="1" t="str">
        <x:v>22961</x:v>
      </x:c>
      <x:c r="B1904" s="10" t="n">
        <x:v>1</x:v>
      </x:c>
      <x:c r="C1904" s="9" t="d">
        <x:v>2011-10-19T00:00:00.000Z</x:v>
      </x:c>
      <x:c r="D1904" s="9" t="d">
        <x:v>2011-10-28T00:00:00.000Z</x:v>
      </x:c>
      <x:c r="E1904" s="1" t="str">
        <x:v>naive</x:v>
      </x:c>
      <x:c r="F1904" s="10" t="n">
        <x:v>36</x:v>
      </x:c>
      <x:c r="G1904" s="10" t="n">
        <x:v>36</x:v>
      </x:c>
      <x:c r="H1904" s="10" t="n">
        <x:f>ABS(G1904-F1904)</x:f>
        <x:v>0</x:v>
      </x:c>
      <x:c r="I1904" s="10" t="n">
        <x:f>G1904-F1904</x:f>
        <x:v>0</x:v>
      </x:c>
    </x:row>
    <x:row r="1905" ht="20" customHeight="1">
      <x:c r="A1905" s="1" t="str">
        <x:v>22961</x:v>
      </x:c>
      <x:c r="B1905" s="10" t="n">
        <x:v>1</x:v>
      </x:c>
      <x:c r="C1905" s="9" t="d">
        <x:v>2011-10-19T00:00:00.000Z</x:v>
      </x:c>
      <x:c r="D1905" s="9" t="d">
        <x:v>2011-10-29T00:00:00.000Z</x:v>
      </x:c>
      <x:c r="E1905" s="1" t="str">
        <x:v>naive</x:v>
      </x:c>
      <x:c r="F1905" s="10" t="n">
        <x:v>0</x:v>
      </x:c>
      <x:c r="G1905" s="10" t="n">
        <x:v>36</x:v>
      </x:c>
      <x:c r="H1905" s="10" t="n">
        <x:f>ABS(G1905-F1905)</x:f>
        <x:v>36</x:v>
      </x:c>
      <x:c r="I1905" s="10" t="n">
        <x:f>G1905-F1905</x:f>
        <x:v>36</x:v>
      </x:c>
    </x:row>
    <x:row r="1906" ht="20" customHeight="1">
      <x:c r="A1906" s="1" t="str">
        <x:v>22961</x:v>
      </x:c>
      <x:c r="B1906" s="10" t="n">
        <x:v>1</x:v>
      </x:c>
      <x:c r="C1906" s="9" t="d">
        <x:v>2011-10-19T00:00:00.000Z</x:v>
      </x:c>
      <x:c r="D1906" s="9" t="d">
        <x:v>2011-10-30T00:00:00.000Z</x:v>
      </x:c>
      <x:c r="E1906" s="1" t="str">
        <x:v>naive</x:v>
      </x:c>
      <x:c r="F1906" s="10" t="n">
        <x:v>5</x:v>
      </x:c>
      <x:c r="G1906" s="10" t="n">
        <x:v>36</x:v>
      </x:c>
      <x:c r="H1906" s="10" t="n">
        <x:f>ABS(G1906-F1906)</x:f>
        <x:v>31</x:v>
      </x:c>
      <x:c r="I1906" s="10" t="n">
        <x:f>G1906-F1906</x:f>
        <x:v>31</x:v>
      </x:c>
    </x:row>
    <x:row r="1907" ht="20" customHeight="1">
      <x:c r="A1907" s="1" t="str">
        <x:v>22961</x:v>
      </x:c>
      <x:c r="B1907" s="10" t="n">
        <x:v>1</x:v>
      </x:c>
      <x:c r="C1907" s="9" t="d">
        <x:v>2011-10-19T00:00:00.000Z</x:v>
      </x:c>
      <x:c r="D1907" s="9" t="d">
        <x:v>2011-10-31T00:00:00.000Z</x:v>
      </x:c>
      <x:c r="E1907" s="1" t="str">
        <x:v>naive</x:v>
      </x:c>
      <x:c r="F1907" s="10" t="n">
        <x:v>129</x:v>
      </x:c>
      <x:c r="G1907" s="10" t="n">
        <x:v>36</x:v>
      </x:c>
      <x:c r="H1907" s="10" t="n">
        <x:f>ABS(G1907-F1907)</x:f>
        <x:v>93</x:v>
      </x:c>
      <x:c r="I1907" s="10" t="n">
        <x:f>G1907-F1907</x:f>
        <x:v>-93</x:v>
      </x:c>
    </x:row>
    <x:row r="1908" ht="20" customHeight="1">
      <x:c r="A1908" s="1" t="str">
        <x:v>22961</x:v>
      </x:c>
      <x:c r="B1908" s="10" t="n">
        <x:v>1</x:v>
      </x:c>
      <x:c r="C1908" s="9" t="d">
        <x:v>2011-10-19T00:00:00.000Z</x:v>
      </x:c>
      <x:c r="D1908" s="9" t="d">
        <x:v>2011-11-01T00:00:00.000Z</x:v>
      </x:c>
      <x:c r="E1908" s="1" t="str">
        <x:v>naive</x:v>
      </x:c>
      <x:c r="F1908" s="10" t="n">
        <x:v>108</x:v>
      </x:c>
      <x:c r="G1908" s="10" t="n">
        <x:v>36</x:v>
      </x:c>
      <x:c r="H1908" s="10" t="n">
        <x:f>ABS(G1908-F1908)</x:f>
        <x:v>72</x:v>
      </x:c>
      <x:c r="I1908" s="10" t="n">
        <x:f>G1908-F1908</x:f>
        <x:v>-72</x:v>
      </x:c>
    </x:row>
    <x:row r="1909" ht="20" customHeight="1">
      <x:c r="A1909" s="1" t="str">
        <x:v>22961</x:v>
      </x:c>
      <x:c r="B1909" s="10" t="n">
        <x:v>1</x:v>
      </x:c>
      <x:c r="C1909" s="9" t="d">
        <x:v>2011-10-19T00:00:00.000Z</x:v>
      </x:c>
      <x:c r="D1909" s="9" t="d">
        <x:v>2011-11-02T00:00:00.000Z</x:v>
      </x:c>
      <x:c r="E1909" s="1" t="str">
        <x:v>naive</x:v>
      </x:c>
      <x:c r="F1909" s="10" t="n">
        <x:v>29</x:v>
      </x:c>
      <x:c r="G1909" s="10" t="n">
        <x:v>36</x:v>
      </x:c>
      <x:c r="H1909" s="10" t="n">
        <x:f>ABS(G1909-F1909)</x:f>
        <x:v>7</x:v>
      </x:c>
      <x:c r="I1909" s="10" t="n">
        <x:f>G1909-F1909</x:f>
        <x:v>7</x:v>
      </x:c>
    </x:row>
    <x:row r="1910" ht="20" customHeight="1">
      <x:c r="A1910" s="1" t="str">
        <x:v>22961</x:v>
      </x:c>
      <x:c r="B1910" s="10" t="n">
        <x:v>1</x:v>
      </x:c>
      <x:c r="C1910" s="9" t="d">
        <x:v>2011-10-19T00:00:00.000Z</x:v>
      </x:c>
      <x:c r="D1910" s="9" t="d">
        <x:v>2011-10-20T00:00:00.000Z</x:v>
      </x:c>
      <x:c r="E1910" s="1" t="str">
        <x:v>seasonal_naive</x:v>
      </x:c>
      <x:c r="F1910" s="10" t="n">
        <x:v>24</x:v>
      </x:c>
      <x:c r="G1910" s="10" t="n">
        <x:v>43</x:v>
      </x:c>
      <x:c r="H1910" s="10" t="n">
        <x:f>ABS(G1910-F1910)</x:f>
        <x:v>19</x:v>
      </x:c>
      <x:c r="I1910" s="10" t="n">
        <x:f>G1910-F1910</x:f>
        <x:v>19</x:v>
      </x:c>
    </x:row>
    <x:row r="1911" ht="20" customHeight="1">
      <x:c r="A1911" s="1" t="str">
        <x:v>22961</x:v>
      </x:c>
      <x:c r="B1911" s="10" t="n">
        <x:v>1</x:v>
      </x:c>
      <x:c r="C1911" s="9" t="d">
        <x:v>2011-10-19T00:00:00.000Z</x:v>
      </x:c>
      <x:c r="D1911" s="9" t="d">
        <x:v>2011-10-21T00:00:00.000Z</x:v>
      </x:c>
      <x:c r="E1911" s="1" t="str">
        <x:v>seasonal_naive</x:v>
      </x:c>
      <x:c r="F1911" s="10" t="n">
        <x:v>12</x:v>
      </x:c>
      <x:c r="G1911" s="10" t="n">
        <x:v>77</x:v>
      </x:c>
      <x:c r="H1911" s="10" t="n">
        <x:f>ABS(G1911-F1911)</x:f>
        <x:v>65</x:v>
      </x:c>
      <x:c r="I1911" s="10" t="n">
        <x:f>G1911-F1911</x:f>
        <x:v>65</x:v>
      </x:c>
    </x:row>
    <x:row r="1912" ht="20" customHeight="1">
      <x:c r="A1912" s="1" t="str">
        <x:v>22961</x:v>
      </x:c>
      <x:c r="B1912" s="10" t="n">
        <x:v>1</x:v>
      </x:c>
      <x:c r="C1912" s="9" t="d">
        <x:v>2011-10-19T00:00:00.000Z</x:v>
      </x:c>
      <x:c r="D1912" s="9" t="d">
        <x:v>2011-10-22T00:00:00.000Z</x:v>
      </x:c>
      <x:c r="E1912" s="1" t="str">
        <x:v>seasonal_naive</x:v>
      </x:c>
      <x:c r="F1912" s="10" t="n">
        <x:v>0</x:v>
      </x:c>
      <x:c r="G1912" s="10" t="n">
        <x:v>0</x:v>
      </x:c>
      <x:c r="H1912" s="10" t="n">
        <x:f>ABS(G1912-F1912)</x:f>
        <x:v>0</x:v>
      </x:c>
      <x:c r="I1912" s="10" t="n">
        <x:f>G1912-F1912</x:f>
        <x:v>0</x:v>
      </x:c>
    </x:row>
    <x:row r="1913" ht="20" customHeight="1">
      <x:c r="A1913" s="1" t="str">
        <x:v>22961</x:v>
      </x:c>
      <x:c r="B1913" s="10" t="n">
        <x:v>1</x:v>
      </x:c>
      <x:c r="C1913" s="9" t="d">
        <x:v>2011-10-19T00:00:00.000Z</x:v>
      </x:c>
      <x:c r="D1913" s="9" t="d">
        <x:v>2011-10-23T00:00:00.000Z</x:v>
      </x:c>
      <x:c r="E1913" s="1" t="str">
        <x:v>seasonal_naive</x:v>
      </x:c>
      <x:c r="F1913" s="10" t="n">
        <x:v>36</x:v>
      </x:c>
      <x:c r="G1913" s="10" t="n">
        <x:v>52</x:v>
      </x:c>
      <x:c r="H1913" s="10" t="n">
        <x:f>ABS(G1913-F1913)</x:f>
        <x:v>16</x:v>
      </x:c>
      <x:c r="I1913" s="10" t="n">
        <x:f>G1913-F1913</x:f>
        <x:v>16</x:v>
      </x:c>
    </x:row>
    <x:row r="1914" ht="20" customHeight="1">
      <x:c r="A1914" s="1" t="str">
        <x:v>22961</x:v>
      </x:c>
      <x:c r="B1914" s="10" t="n">
        <x:v>1</x:v>
      </x:c>
      <x:c r="C1914" s="9" t="d">
        <x:v>2011-10-19T00:00:00.000Z</x:v>
      </x:c>
      <x:c r="D1914" s="9" t="d">
        <x:v>2011-10-24T00:00:00.000Z</x:v>
      </x:c>
      <x:c r="E1914" s="1" t="str">
        <x:v>seasonal_naive</x:v>
      </x:c>
      <x:c r="F1914" s="10" t="n">
        <x:v>16</x:v>
      </x:c>
      <x:c r="G1914" s="10" t="n">
        <x:v>162</x:v>
      </x:c>
      <x:c r="H1914" s="10" t="n">
        <x:f>ABS(G1914-F1914)</x:f>
        <x:v>146</x:v>
      </x:c>
      <x:c r="I1914" s="10" t="n">
        <x:f>G1914-F1914</x:f>
        <x:v>146</x:v>
      </x:c>
    </x:row>
    <x:row r="1915" ht="20" customHeight="1">
      <x:c r="A1915" s="1" t="str">
        <x:v>22961</x:v>
      </x:c>
      <x:c r="B1915" s="10" t="n">
        <x:v>1</x:v>
      </x:c>
      <x:c r="C1915" s="9" t="d">
        <x:v>2011-10-19T00:00:00.000Z</x:v>
      </x:c>
      <x:c r="D1915" s="9" t="d">
        <x:v>2011-10-25T00:00:00.000Z</x:v>
      </x:c>
      <x:c r="E1915" s="1" t="str">
        <x:v>seasonal_naive</x:v>
      </x:c>
      <x:c r="F1915" s="10" t="n">
        <x:v>51</x:v>
      </x:c>
      <x:c r="G1915" s="10" t="n">
        <x:v>20</x:v>
      </x:c>
      <x:c r="H1915" s="10" t="n">
        <x:f>ABS(G1915-F1915)</x:f>
        <x:v>31</x:v>
      </x:c>
      <x:c r="I1915" s="10" t="n">
        <x:f>G1915-F1915</x:f>
        <x:v>-31</x:v>
      </x:c>
    </x:row>
    <x:row r="1916" ht="20" customHeight="1">
      <x:c r="A1916" s="1" t="str">
        <x:v>22961</x:v>
      </x:c>
      <x:c r="B1916" s="10" t="n">
        <x:v>1</x:v>
      </x:c>
      <x:c r="C1916" s="9" t="d">
        <x:v>2011-10-19T00:00:00.000Z</x:v>
      </x:c>
      <x:c r="D1916" s="9" t="d">
        <x:v>2011-10-26T00:00:00.000Z</x:v>
      </x:c>
      <x:c r="E1916" s="1" t="str">
        <x:v>seasonal_naive</x:v>
      </x:c>
      <x:c r="F1916" s="10" t="n">
        <x:v>4</x:v>
      </x:c>
      <x:c r="G1916" s="10" t="n">
        <x:v>36</x:v>
      </x:c>
      <x:c r="H1916" s="10" t="n">
        <x:f>ABS(G1916-F1916)</x:f>
        <x:v>32</x:v>
      </x:c>
      <x:c r="I1916" s="10" t="n">
        <x:f>G1916-F1916</x:f>
        <x:v>32</x:v>
      </x:c>
    </x:row>
    <x:row r="1917" ht="20" customHeight="1">
      <x:c r="A1917" s="1" t="str">
        <x:v>22961</x:v>
      </x:c>
      <x:c r="B1917" s="10" t="n">
        <x:v>1</x:v>
      </x:c>
      <x:c r="C1917" s="9" t="d">
        <x:v>2011-10-19T00:00:00.000Z</x:v>
      </x:c>
      <x:c r="D1917" s="9" t="d">
        <x:v>2011-10-27T00:00:00.000Z</x:v>
      </x:c>
      <x:c r="E1917" s="1" t="str">
        <x:v>seasonal_naive</x:v>
      </x:c>
      <x:c r="F1917" s="10" t="n">
        <x:v>50</x:v>
      </x:c>
      <x:c r="G1917" s="10" t="n">
        <x:v>43</x:v>
      </x:c>
      <x:c r="H1917" s="10" t="n">
        <x:f>ABS(G1917-F1917)</x:f>
        <x:v>7</x:v>
      </x:c>
      <x:c r="I1917" s="10" t="n">
        <x:f>G1917-F1917</x:f>
        <x:v>-7</x:v>
      </x:c>
    </x:row>
    <x:row r="1918" ht="20" customHeight="1">
      <x:c r="A1918" s="1" t="str">
        <x:v>22961</x:v>
      </x:c>
      <x:c r="B1918" s="10" t="n">
        <x:v>1</x:v>
      </x:c>
      <x:c r="C1918" s="9" t="d">
        <x:v>2011-10-19T00:00:00.000Z</x:v>
      </x:c>
      <x:c r="D1918" s="9" t="d">
        <x:v>2011-10-28T00:00:00.000Z</x:v>
      </x:c>
      <x:c r="E1918" s="1" t="str">
        <x:v>seasonal_naive</x:v>
      </x:c>
      <x:c r="F1918" s="10" t="n">
        <x:v>36</x:v>
      </x:c>
      <x:c r="G1918" s="10" t="n">
        <x:v>77</x:v>
      </x:c>
      <x:c r="H1918" s="10" t="n">
        <x:f>ABS(G1918-F1918)</x:f>
        <x:v>41</x:v>
      </x:c>
      <x:c r="I1918" s="10" t="n">
        <x:f>G1918-F1918</x:f>
        <x:v>41</x:v>
      </x:c>
    </x:row>
    <x:row r="1919" ht="20" customHeight="1">
      <x:c r="A1919" s="1" t="str">
        <x:v>22961</x:v>
      </x:c>
      <x:c r="B1919" s="10" t="n">
        <x:v>1</x:v>
      </x:c>
      <x:c r="C1919" s="9" t="d">
        <x:v>2011-10-19T00:00:00.000Z</x:v>
      </x:c>
      <x:c r="D1919" s="9" t="d">
        <x:v>2011-10-29T00:00:00.000Z</x:v>
      </x:c>
      <x:c r="E1919" s="1" t="str">
        <x:v>seasonal_naive</x:v>
      </x:c>
      <x:c r="F1919" s="10" t="n">
        <x:v>0</x:v>
      </x:c>
      <x:c r="G1919" s="10" t="n">
        <x:v>0</x:v>
      </x:c>
      <x:c r="H1919" s="10" t="n">
        <x:f>ABS(G1919-F1919)</x:f>
        <x:v>0</x:v>
      </x:c>
      <x:c r="I1919" s="10" t="n">
        <x:f>G1919-F1919</x:f>
        <x:v>0</x:v>
      </x:c>
    </x:row>
    <x:row r="1920" ht="20" customHeight="1">
      <x:c r="A1920" s="1" t="str">
        <x:v>22961</x:v>
      </x:c>
      <x:c r="B1920" s="10" t="n">
        <x:v>1</x:v>
      </x:c>
      <x:c r="C1920" s="9" t="d">
        <x:v>2011-10-19T00:00:00.000Z</x:v>
      </x:c>
      <x:c r="D1920" s="9" t="d">
        <x:v>2011-10-30T00:00:00.000Z</x:v>
      </x:c>
      <x:c r="E1920" s="1" t="str">
        <x:v>seasonal_naive</x:v>
      </x:c>
      <x:c r="F1920" s="10" t="n">
        <x:v>5</x:v>
      </x:c>
      <x:c r="G1920" s="10" t="n">
        <x:v>52</x:v>
      </x:c>
      <x:c r="H1920" s="10" t="n">
        <x:f>ABS(G1920-F1920)</x:f>
        <x:v>47</x:v>
      </x:c>
      <x:c r="I1920" s="10" t="n">
        <x:f>G1920-F1920</x:f>
        <x:v>47</x:v>
      </x:c>
    </x:row>
    <x:row r="1921" ht="20" customHeight="1">
      <x:c r="A1921" s="1" t="str">
        <x:v>22961</x:v>
      </x:c>
      <x:c r="B1921" s="10" t="n">
        <x:v>1</x:v>
      </x:c>
      <x:c r="C1921" s="9" t="d">
        <x:v>2011-10-19T00:00:00.000Z</x:v>
      </x:c>
      <x:c r="D1921" s="9" t="d">
        <x:v>2011-10-31T00:00:00.000Z</x:v>
      </x:c>
      <x:c r="E1921" s="1" t="str">
        <x:v>seasonal_naive</x:v>
      </x:c>
      <x:c r="F1921" s="10" t="n">
        <x:v>129</x:v>
      </x:c>
      <x:c r="G1921" s="10" t="n">
        <x:v>162</x:v>
      </x:c>
      <x:c r="H1921" s="10" t="n">
        <x:f>ABS(G1921-F1921)</x:f>
        <x:v>33</x:v>
      </x:c>
      <x:c r="I1921" s="10" t="n">
        <x:f>G1921-F1921</x:f>
        <x:v>33</x:v>
      </x:c>
    </x:row>
    <x:row r="1922" ht="20" customHeight="1">
      <x:c r="A1922" s="1" t="str">
        <x:v>22961</x:v>
      </x:c>
      <x:c r="B1922" s="10" t="n">
        <x:v>1</x:v>
      </x:c>
      <x:c r="C1922" s="9" t="d">
        <x:v>2011-10-19T00:00:00.000Z</x:v>
      </x:c>
      <x:c r="D1922" s="9" t="d">
        <x:v>2011-11-01T00:00:00.000Z</x:v>
      </x:c>
      <x:c r="E1922" s="1" t="str">
        <x:v>seasonal_naive</x:v>
      </x:c>
      <x:c r="F1922" s="10" t="n">
        <x:v>108</x:v>
      </x:c>
      <x:c r="G1922" s="10" t="n">
        <x:v>20</x:v>
      </x:c>
      <x:c r="H1922" s="10" t="n">
        <x:f>ABS(G1922-F1922)</x:f>
        <x:v>88</x:v>
      </x:c>
      <x:c r="I1922" s="10" t="n">
        <x:f>G1922-F1922</x:f>
        <x:v>-88</x:v>
      </x:c>
    </x:row>
    <x:row r="1923" ht="20" customHeight="1">
      <x:c r="A1923" s="1" t="str">
        <x:v>22961</x:v>
      </x:c>
      <x:c r="B1923" s="10" t="n">
        <x:v>1</x:v>
      </x:c>
      <x:c r="C1923" s="9" t="d">
        <x:v>2011-10-19T00:00:00.000Z</x:v>
      </x:c>
      <x:c r="D1923" s="9" t="d">
        <x:v>2011-11-02T00:00:00.000Z</x:v>
      </x:c>
      <x:c r="E1923" s="1" t="str">
        <x:v>seasonal_naive</x:v>
      </x:c>
      <x:c r="F1923" s="10" t="n">
        <x:v>29</x:v>
      </x:c>
      <x:c r="G1923" s="10" t="n">
        <x:v>36</x:v>
      </x:c>
      <x:c r="H1923" s="10" t="n">
        <x:f>ABS(G1923-F1923)</x:f>
        <x:v>7</x:v>
      </x:c>
      <x:c r="I1923" s="10" t="n">
        <x:f>G1923-F1923</x:f>
        <x:v>7</x:v>
      </x:c>
    </x:row>
    <x:row r="1924" ht="20" customHeight="1">
      <x:c r="A1924" s="1" t="str">
        <x:v>22961</x:v>
      </x:c>
      <x:c r="B1924" s="10" t="n">
        <x:v>1</x:v>
      </x:c>
      <x:c r="C1924" s="9" t="d">
        <x:v>2011-10-19T00:00:00.000Z</x:v>
      </x:c>
      <x:c r="D1924" s="9" t="d">
        <x:v>2011-10-20T00:00:00.000Z</x:v>
      </x:c>
      <x:c r="E1924" s="1" t="str">
        <x:v>ridge</x:v>
      </x:c>
      <x:c r="F1924" s="10" t="n">
        <x:v>24</x:v>
      </x:c>
      <x:c r="G1924" s="10" t="n">
        <x:v>53.7581461288</x:v>
      </x:c>
      <x:c r="H1924" s="10" t="n">
        <x:f>ABS(G1924-F1924)</x:f>
        <x:v>29.7581461288</x:v>
      </x:c>
      <x:c r="I1924" s="10" t="n">
        <x:f>G1924-F1924</x:f>
        <x:v>29.7581461288</x:v>
      </x:c>
    </x:row>
    <x:row r="1925" ht="20" customHeight="1">
      <x:c r="A1925" s="1" t="str">
        <x:v>22961</x:v>
      </x:c>
      <x:c r="B1925" s="10" t="n">
        <x:v>1</x:v>
      </x:c>
      <x:c r="C1925" s="9" t="d">
        <x:v>2011-10-19T00:00:00.000Z</x:v>
      </x:c>
      <x:c r="D1925" s="9" t="d">
        <x:v>2011-10-21T00:00:00.000Z</x:v>
      </x:c>
      <x:c r="E1925" s="1" t="str">
        <x:v>ridge</x:v>
      </x:c>
      <x:c r="F1925" s="10" t="n">
        <x:v>12</x:v>
      </x:c>
      <x:c r="G1925" s="10" t="n">
        <x:v>41.097759483</x:v>
      </x:c>
      <x:c r="H1925" s="10" t="n">
        <x:f>ABS(G1925-F1925)</x:f>
        <x:v>29.097759482999997</x:v>
      </x:c>
      <x:c r="I1925" s="10" t="n">
        <x:f>G1925-F1925</x:f>
        <x:v>29.097759482999997</x:v>
      </x:c>
    </x:row>
    <x:row r="1926" ht="20" customHeight="1">
      <x:c r="A1926" s="1" t="str">
        <x:v>22961</x:v>
      </x:c>
      <x:c r="B1926" s="10" t="n">
        <x:v>1</x:v>
      </x:c>
      <x:c r="C1926" s="9" t="d">
        <x:v>2011-10-19T00:00:00.000Z</x:v>
      </x:c>
      <x:c r="D1926" s="9" t="d">
        <x:v>2011-10-22T00:00:00.000Z</x:v>
      </x:c>
      <x:c r="E1926" s="1" t="str">
        <x:v>ridge</x:v>
      </x:c>
      <x:c r="F1926" s="10" t="n">
        <x:v>0</x:v>
      </x:c>
      <x:c r="G1926" s="10" t="n">
        <x:v>32.4063468424</x:v>
      </x:c>
      <x:c r="H1926" s="10" t="n">
        <x:f>ABS(G1926-F1926)</x:f>
        <x:v>32.4063468424</x:v>
      </x:c>
      <x:c r="I1926" s="10" t="n">
        <x:f>G1926-F1926</x:f>
        <x:v>32.4063468424</x:v>
      </x:c>
    </x:row>
    <x:row r="1927" ht="20" customHeight="1">
      <x:c r="A1927" s="1" t="str">
        <x:v>22961</x:v>
      </x:c>
      <x:c r="B1927" s="10" t="n">
        <x:v>1</x:v>
      </x:c>
      <x:c r="C1927" s="9" t="d">
        <x:v>2011-10-19T00:00:00.000Z</x:v>
      </x:c>
      <x:c r="D1927" s="9" t="d">
        <x:v>2011-10-23T00:00:00.000Z</x:v>
      </x:c>
      <x:c r="E1927" s="1" t="str">
        <x:v>ridge</x:v>
      </x:c>
      <x:c r="F1927" s="10" t="n">
        <x:v>36</x:v>
      </x:c>
      <x:c r="G1927" s="10" t="n">
        <x:v>32.2786801176</x:v>
      </x:c>
      <x:c r="H1927" s="10" t="n">
        <x:f>ABS(G1927-F1927)</x:f>
        <x:v>3.721319882400003</x:v>
      </x:c>
      <x:c r="I1927" s="10" t="n">
        <x:f>G1927-F1927</x:f>
        <x:v>-3.721319882400003</x:v>
      </x:c>
    </x:row>
    <x:row r="1928" ht="20" customHeight="1">
      <x:c r="A1928" s="1" t="str">
        <x:v>22961</x:v>
      </x:c>
      <x:c r="B1928" s="10" t="n">
        <x:v>1</x:v>
      </x:c>
      <x:c r="C1928" s="9" t="d">
        <x:v>2011-10-19T00:00:00.000Z</x:v>
      </x:c>
      <x:c r="D1928" s="9" t="d">
        <x:v>2011-10-24T00:00:00.000Z</x:v>
      </x:c>
      <x:c r="E1928" s="1" t="str">
        <x:v>ridge</x:v>
      </x:c>
      <x:c r="F1928" s="10" t="n">
        <x:v>16</x:v>
      </x:c>
      <x:c r="G1928" s="10" t="n">
        <x:v>39.3263011721</x:v>
      </x:c>
      <x:c r="H1928" s="10" t="n">
        <x:f>ABS(G1928-F1928)</x:f>
        <x:v>23.326301172100003</x:v>
      </x:c>
      <x:c r="I1928" s="10" t="n">
        <x:f>G1928-F1928</x:f>
        <x:v>23.326301172100003</x:v>
      </x:c>
    </x:row>
    <x:row r="1929" ht="20" customHeight="1">
      <x:c r="A1929" s="1" t="str">
        <x:v>22961</x:v>
      </x:c>
      <x:c r="B1929" s="10" t="n">
        <x:v>1</x:v>
      </x:c>
      <x:c r="C1929" s="9" t="d">
        <x:v>2011-10-19T00:00:00.000Z</x:v>
      </x:c>
      <x:c r="D1929" s="9" t="d">
        <x:v>2011-10-25T00:00:00.000Z</x:v>
      </x:c>
      <x:c r="E1929" s="1" t="str">
        <x:v>ridge</x:v>
      </x:c>
      <x:c r="F1929" s="10" t="n">
        <x:v>51</x:v>
      </x:c>
      <x:c r="G1929" s="10" t="n">
        <x:v>42.8489262169</x:v>
      </x:c>
      <x:c r="H1929" s="10" t="n">
        <x:f>ABS(G1929-F1929)</x:f>
        <x:v>8.151073783100003</x:v>
      </x:c>
      <x:c r="I1929" s="10" t="n">
        <x:f>G1929-F1929</x:f>
        <x:v>-8.151073783100003</x:v>
      </x:c>
    </x:row>
    <x:row r="1930" ht="20" customHeight="1">
      <x:c r="A1930" s="1" t="str">
        <x:v>22961</x:v>
      </x:c>
      <x:c r="B1930" s="10" t="n">
        <x:v>1</x:v>
      </x:c>
      <x:c r="C1930" s="9" t="d">
        <x:v>2011-10-19T00:00:00.000Z</x:v>
      </x:c>
      <x:c r="D1930" s="9" t="d">
        <x:v>2011-10-26T00:00:00.000Z</x:v>
      </x:c>
      <x:c r="E1930" s="1" t="str">
        <x:v>ridge</x:v>
      </x:c>
      <x:c r="F1930" s="10" t="n">
        <x:v>4</x:v>
      </x:c>
      <x:c r="G1930" s="10" t="n">
        <x:v>54.033245254</x:v>
      </x:c>
      <x:c r="H1930" s="10" t="n">
        <x:f>ABS(G1930-F1930)</x:f>
        <x:v>50.033245254</x:v>
      </x:c>
      <x:c r="I1930" s="10" t="n">
        <x:f>G1930-F1930</x:f>
        <x:v>50.033245254</x:v>
      </x:c>
    </x:row>
    <x:row r="1931" ht="20" customHeight="1">
      <x:c r="A1931" s="1" t="str">
        <x:v>22961</x:v>
      </x:c>
      <x:c r="B1931" s="10" t="n">
        <x:v>1</x:v>
      </x:c>
      <x:c r="C1931" s="9" t="d">
        <x:v>2011-10-19T00:00:00.000Z</x:v>
      </x:c>
      <x:c r="D1931" s="9" t="d">
        <x:v>2011-10-27T00:00:00.000Z</x:v>
      </x:c>
      <x:c r="E1931" s="1" t="str">
        <x:v>ridge</x:v>
      </x:c>
      <x:c r="F1931" s="10" t="n">
        <x:v>50</x:v>
      </x:c>
      <x:c r="G1931" s="10" t="n">
        <x:v>50.4792516142</x:v>
      </x:c>
      <x:c r="H1931" s="10" t="n">
        <x:f>ABS(G1931-F1931)</x:f>
        <x:v>0.4792516142000025</x:v>
      </x:c>
      <x:c r="I1931" s="10" t="n">
        <x:f>G1931-F1931</x:f>
        <x:v>0.4792516142000025</x:v>
      </x:c>
    </x:row>
    <x:row r="1932" ht="20" customHeight="1">
      <x:c r="A1932" s="1" t="str">
        <x:v>22961</x:v>
      </x:c>
      <x:c r="B1932" s="10" t="n">
        <x:v>1</x:v>
      </x:c>
      <x:c r="C1932" s="9" t="d">
        <x:v>2011-10-19T00:00:00.000Z</x:v>
      </x:c>
      <x:c r="D1932" s="9" t="d">
        <x:v>2011-10-28T00:00:00.000Z</x:v>
      </x:c>
      <x:c r="E1932" s="1" t="str">
        <x:v>ridge</x:v>
      </x:c>
      <x:c r="F1932" s="10" t="n">
        <x:v>36</x:v>
      </x:c>
      <x:c r="G1932" s="10" t="n">
        <x:v>38.1425764212</x:v>
      </x:c>
      <x:c r="H1932" s="10" t="n">
        <x:f>ABS(G1932-F1932)</x:f>
        <x:v>2.1425764211999976</x:v>
      </x:c>
      <x:c r="I1932" s="10" t="n">
        <x:f>G1932-F1932</x:f>
        <x:v>2.1425764211999976</x:v>
      </x:c>
    </x:row>
    <x:row r="1933" ht="20" customHeight="1">
      <x:c r="A1933" s="1" t="str">
        <x:v>22961</x:v>
      </x:c>
      <x:c r="B1933" s="10" t="n">
        <x:v>1</x:v>
      </x:c>
      <x:c r="C1933" s="9" t="d">
        <x:v>2011-10-19T00:00:00.000Z</x:v>
      </x:c>
      <x:c r="D1933" s="9" t="d">
        <x:v>2011-10-29T00:00:00.000Z</x:v>
      </x:c>
      <x:c r="E1933" s="1" t="str">
        <x:v>ridge</x:v>
      </x:c>
      <x:c r="F1933" s="10" t="n">
        <x:v>0</x:v>
      </x:c>
      <x:c r="G1933" s="10" t="n">
        <x:v>28.7298703652</x:v>
      </x:c>
      <x:c r="H1933" s="10" t="n">
        <x:f>ABS(G1933-F1933)</x:f>
        <x:v>28.7298703652</x:v>
      </x:c>
      <x:c r="I1933" s="10" t="n">
        <x:f>G1933-F1933</x:f>
        <x:v>28.7298703652</x:v>
      </x:c>
    </x:row>
    <x:row r="1934" ht="20" customHeight="1">
      <x:c r="A1934" s="1" t="str">
        <x:v>22961</x:v>
      </x:c>
      <x:c r="B1934" s="10" t="n">
        <x:v>1</x:v>
      </x:c>
      <x:c r="C1934" s="9" t="d">
        <x:v>2011-10-19T00:00:00.000Z</x:v>
      </x:c>
      <x:c r="D1934" s="9" t="d">
        <x:v>2011-10-30T00:00:00.000Z</x:v>
      </x:c>
      <x:c r="E1934" s="1" t="str">
        <x:v>ridge</x:v>
      </x:c>
      <x:c r="F1934" s="10" t="n">
        <x:v>5</x:v>
      </x:c>
      <x:c r="G1934" s="10" t="n">
        <x:v>26.2636652082</x:v>
      </x:c>
      <x:c r="H1934" s="10" t="n">
        <x:f>ABS(G1934-F1934)</x:f>
        <x:v>21.2636652082</x:v>
      </x:c>
      <x:c r="I1934" s="10" t="n">
        <x:f>G1934-F1934</x:f>
        <x:v>21.2636652082</x:v>
      </x:c>
    </x:row>
    <x:row r="1935" ht="20" customHeight="1">
      <x:c r="A1935" s="1" t="str">
        <x:v>22961</x:v>
      </x:c>
      <x:c r="B1935" s="10" t="n">
        <x:v>1</x:v>
      </x:c>
      <x:c r="C1935" s="9" t="d">
        <x:v>2011-10-19T00:00:00.000Z</x:v>
      </x:c>
      <x:c r="D1935" s="9" t="d">
        <x:v>2011-10-31T00:00:00.000Z</x:v>
      </x:c>
      <x:c r="E1935" s="1" t="str">
        <x:v>ridge</x:v>
      </x:c>
      <x:c r="F1935" s="10" t="n">
        <x:v>129</x:v>
      </x:c>
      <x:c r="G1935" s="10" t="n">
        <x:v>33.0485835856</x:v>
      </x:c>
      <x:c r="H1935" s="10" t="n">
        <x:f>ABS(G1935-F1935)</x:f>
        <x:v>95.9514164144</x:v>
      </x:c>
      <x:c r="I1935" s="10" t="n">
        <x:f>G1935-F1935</x:f>
        <x:v>-95.9514164144</x:v>
      </x:c>
    </x:row>
    <x:row r="1936" ht="20" customHeight="1">
      <x:c r="A1936" s="1" t="str">
        <x:v>22961</x:v>
      </x:c>
      <x:c r="B1936" s="10" t="n">
        <x:v>1</x:v>
      </x:c>
      <x:c r="C1936" s="9" t="d">
        <x:v>2011-10-19T00:00:00.000Z</x:v>
      </x:c>
      <x:c r="D1936" s="9" t="d">
        <x:v>2011-11-01T00:00:00.000Z</x:v>
      </x:c>
      <x:c r="E1936" s="1" t="str">
        <x:v>ridge</x:v>
      </x:c>
      <x:c r="F1936" s="10" t="n">
        <x:v>108</x:v>
      </x:c>
      <x:c r="G1936" s="10" t="n">
        <x:v>47.2937312455</x:v>
      </x:c>
      <x:c r="H1936" s="10" t="n">
        <x:f>ABS(G1936-F1936)</x:f>
        <x:v>60.7062687545</x:v>
      </x:c>
      <x:c r="I1936" s="10" t="n">
        <x:f>G1936-F1936</x:f>
        <x:v>-60.7062687545</x:v>
      </x:c>
    </x:row>
    <x:row r="1937" ht="20" customHeight="1">
      <x:c r="A1937" s="1" t="str">
        <x:v>22961</x:v>
      </x:c>
      <x:c r="B1937" s="10" t="n">
        <x:v>1</x:v>
      </x:c>
      <x:c r="C1937" s="9" t="d">
        <x:v>2011-10-19T00:00:00.000Z</x:v>
      </x:c>
      <x:c r="D1937" s="9" t="d">
        <x:v>2011-11-02T00:00:00.000Z</x:v>
      </x:c>
      <x:c r="E1937" s="1" t="str">
        <x:v>ridge</x:v>
      </x:c>
      <x:c r="F1937" s="10" t="n">
        <x:v>29</x:v>
      </x:c>
      <x:c r="G1937" s="10" t="n">
        <x:v>53.7141263367</x:v>
      </x:c>
      <x:c r="H1937" s="10" t="n">
        <x:f>ABS(G1937-F1937)</x:f>
        <x:v>24.714126336699998</x:v>
      </x:c>
      <x:c r="I1937" s="10" t="n">
        <x:f>G1937-F1937</x:f>
        <x:v>24.714126336699998</x:v>
      </x:c>
    </x:row>
    <x:row r="1938" ht="20" customHeight="1">
      <x:c r="A1938" s="1" t="str">
        <x:v>22961</x:v>
      </x:c>
      <x:c r="B1938" s="10" t="n">
        <x:v>2</x:v>
      </x:c>
      <x:c r="C1938" s="9" t="d">
        <x:v>2011-11-02T00:00:00.000Z</x:v>
      </x:c>
      <x:c r="D1938" s="9" t="d">
        <x:v>2011-11-03T00:00:00.000Z</x:v>
      </x:c>
      <x:c r="E1938" s="1" t="str">
        <x:v>naive</x:v>
      </x:c>
      <x:c r="F1938" s="10" t="n">
        <x:v>30</x:v>
      </x:c>
      <x:c r="G1938" s="10" t="n">
        <x:v>29</x:v>
      </x:c>
      <x:c r="H1938" s="10" t="n">
        <x:f>ABS(G1938-F1938)</x:f>
        <x:v>1</x:v>
      </x:c>
      <x:c r="I1938" s="10" t="n">
        <x:f>G1938-F1938</x:f>
        <x:v>-1</x:v>
      </x:c>
    </x:row>
    <x:row r="1939" ht="20" customHeight="1">
      <x:c r="A1939" s="1" t="str">
        <x:v>22961</x:v>
      </x:c>
      <x:c r="B1939" s="10" t="n">
        <x:v>2</x:v>
      </x:c>
      <x:c r="C1939" s="9" t="d">
        <x:v>2011-11-02T00:00:00.000Z</x:v>
      </x:c>
      <x:c r="D1939" s="9" t="d">
        <x:v>2011-11-04T00:00:00.000Z</x:v>
      </x:c>
      <x:c r="E1939" s="1" t="str">
        <x:v>naive</x:v>
      </x:c>
      <x:c r="F1939" s="10" t="n">
        <x:v>26</x:v>
      </x:c>
      <x:c r="G1939" s="10" t="n">
        <x:v>29</x:v>
      </x:c>
      <x:c r="H1939" s="10" t="n">
        <x:f>ABS(G1939-F1939)</x:f>
        <x:v>3</x:v>
      </x:c>
      <x:c r="I1939" s="10" t="n">
        <x:f>G1939-F1939</x:f>
        <x:v>3</x:v>
      </x:c>
    </x:row>
    <x:row r="1940" ht="20" customHeight="1">
      <x:c r="A1940" s="1" t="str">
        <x:v>22961</x:v>
      </x:c>
      <x:c r="B1940" s="10" t="n">
        <x:v>2</x:v>
      </x:c>
      <x:c r="C1940" s="9" t="d">
        <x:v>2011-11-02T00:00:00.000Z</x:v>
      </x:c>
      <x:c r="D1940" s="9" t="d">
        <x:v>2011-11-05T00:00:00.000Z</x:v>
      </x:c>
      <x:c r="E1940" s="1" t="str">
        <x:v>naive</x:v>
      </x:c>
      <x:c r="F1940" s="10" t="n">
        <x:v>0</x:v>
      </x:c>
      <x:c r="G1940" s="10" t="n">
        <x:v>29</x:v>
      </x:c>
      <x:c r="H1940" s="10" t="n">
        <x:f>ABS(G1940-F1940)</x:f>
        <x:v>29</x:v>
      </x:c>
      <x:c r="I1940" s="10" t="n">
        <x:f>G1940-F1940</x:f>
        <x:v>29</x:v>
      </x:c>
    </x:row>
    <x:row r="1941" ht="20" customHeight="1">
      <x:c r="A1941" s="1" t="str">
        <x:v>22961</x:v>
      </x:c>
      <x:c r="B1941" s="10" t="n">
        <x:v>2</x:v>
      </x:c>
      <x:c r="C1941" s="9" t="d">
        <x:v>2011-11-02T00:00:00.000Z</x:v>
      </x:c>
      <x:c r="D1941" s="9" t="d">
        <x:v>2011-11-06T00:00:00.000Z</x:v>
      </x:c>
      <x:c r="E1941" s="1" t="str">
        <x:v>naive</x:v>
      </x:c>
      <x:c r="F1941" s="10" t="n">
        <x:v>38</x:v>
      </x:c>
      <x:c r="G1941" s="10" t="n">
        <x:v>29</x:v>
      </x:c>
      <x:c r="H1941" s="10" t="n">
        <x:f>ABS(G1941-F1941)</x:f>
        <x:v>9</x:v>
      </x:c>
      <x:c r="I1941" s="10" t="n">
        <x:f>G1941-F1941</x:f>
        <x:v>-9</x:v>
      </x:c>
    </x:row>
    <x:row r="1942" ht="20" customHeight="1">
      <x:c r="A1942" s="1" t="str">
        <x:v>22961</x:v>
      </x:c>
      <x:c r="B1942" s="10" t="n">
        <x:v>2</x:v>
      </x:c>
      <x:c r="C1942" s="9" t="d">
        <x:v>2011-11-02T00:00:00.000Z</x:v>
      </x:c>
      <x:c r="D1942" s="9" t="d">
        <x:v>2011-11-07T00:00:00.000Z</x:v>
      </x:c>
      <x:c r="E1942" s="1" t="str">
        <x:v>naive</x:v>
      </x:c>
      <x:c r="F1942" s="10" t="n">
        <x:v>97</x:v>
      </x:c>
      <x:c r="G1942" s="10" t="n">
        <x:v>29</x:v>
      </x:c>
      <x:c r="H1942" s="10" t="n">
        <x:f>ABS(G1942-F1942)</x:f>
        <x:v>68</x:v>
      </x:c>
      <x:c r="I1942" s="10" t="n">
        <x:f>G1942-F1942</x:f>
        <x:v>-68</x:v>
      </x:c>
    </x:row>
    <x:row r="1943" ht="20" customHeight="1">
      <x:c r="A1943" s="1" t="str">
        <x:v>22961</x:v>
      </x:c>
      <x:c r="B1943" s="10" t="n">
        <x:v>2</x:v>
      </x:c>
      <x:c r="C1943" s="9" t="d">
        <x:v>2011-11-02T00:00:00.000Z</x:v>
      </x:c>
      <x:c r="D1943" s="9" t="d">
        <x:v>2011-11-08T00:00:00.000Z</x:v>
      </x:c>
      <x:c r="E1943" s="1" t="str">
        <x:v>naive</x:v>
      </x:c>
      <x:c r="F1943" s="10" t="n">
        <x:v>40</x:v>
      </x:c>
      <x:c r="G1943" s="10" t="n">
        <x:v>29</x:v>
      </x:c>
      <x:c r="H1943" s="10" t="n">
        <x:f>ABS(G1943-F1943)</x:f>
        <x:v>11</x:v>
      </x:c>
      <x:c r="I1943" s="10" t="n">
        <x:f>G1943-F1943</x:f>
        <x:v>-11</x:v>
      </x:c>
    </x:row>
    <x:row r="1944" ht="20" customHeight="1">
      <x:c r="A1944" s="1" t="str">
        <x:v>22961</x:v>
      </x:c>
      <x:c r="B1944" s="10" t="n">
        <x:v>2</x:v>
      </x:c>
      <x:c r="C1944" s="9" t="d">
        <x:v>2011-11-02T00:00:00.000Z</x:v>
      </x:c>
      <x:c r="D1944" s="9" t="d">
        <x:v>2011-11-09T00:00:00.000Z</x:v>
      </x:c>
      <x:c r="E1944" s="1" t="str">
        <x:v>naive</x:v>
      </x:c>
      <x:c r="F1944" s="10" t="n">
        <x:v>26</x:v>
      </x:c>
      <x:c r="G1944" s="10" t="n">
        <x:v>29</x:v>
      </x:c>
      <x:c r="H1944" s="10" t="n">
        <x:f>ABS(G1944-F1944)</x:f>
        <x:v>3</x:v>
      </x:c>
      <x:c r="I1944" s="10" t="n">
        <x:f>G1944-F1944</x:f>
        <x:v>3</x:v>
      </x:c>
    </x:row>
    <x:row r="1945" ht="20" customHeight="1">
      <x:c r="A1945" s="1" t="str">
        <x:v>22961</x:v>
      </x:c>
      <x:c r="B1945" s="10" t="n">
        <x:v>2</x:v>
      </x:c>
      <x:c r="C1945" s="9" t="d">
        <x:v>2011-11-02T00:00:00.000Z</x:v>
      </x:c>
      <x:c r="D1945" s="9" t="d">
        <x:v>2011-11-10T00:00:00.000Z</x:v>
      </x:c>
      <x:c r="E1945" s="1" t="str">
        <x:v>naive</x:v>
      </x:c>
      <x:c r="F1945" s="10" t="n">
        <x:v>79</x:v>
      </x:c>
      <x:c r="G1945" s="10" t="n">
        <x:v>29</x:v>
      </x:c>
      <x:c r="H1945" s="10" t="n">
        <x:f>ABS(G1945-F1945)</x:f>
        <x:v>50</x:v>
      </x:c>
      <x:c r="I1945" s="10" t="n">
        <x:f>G1945-F1945</x:f>
        <x:v>-50</x:v>
      </x:c>
    </x:row>
    <x:row r="1946" ht="20" customHeight="1">
      <x:c r="A1946" s="1" t="str">
        <x:v>22961</x:v>
      </x:c>
      <x:c r="B1946" s="10" t="n">
        <x:v>2</x:v>
      </x:c>
      <x:c r="C1946" s="9" t="d">
        <x:v>2011-11-02T00:00:00.000Z</x:v>
      </x:c>
      <x:c r="D1946" s="9" t="d">
        <x:v>2011-11-11T00:00:00.000Z</x:v>
      </x:c>
      <x:c r="E1946" s="1" t="str">
        <x:v>naive</x:v>
      </x:c>
      <x:c r="F1946" s="10" t="n">
        <x:v>8</x:v>
      </x:c>
      <x:c r="G1946" s="10" t="n">
        <x:v>29</x:v>
      </x:c>
      <x:c r="H1946" s="10" t="n">
        <x:f>ABS(G1946-F1946)</x:f>
        <x:v>21</x:v>
      </x:c>
      <x:c r="I1946" s="10" t="n">
        <x:f>G1946-F1946</x:f>
        <x:v>21</x:v>
      </x:c>
    </x:row>
    <x:row r="1947" ht="20" customHeight="1">
      <x:c r="A1947" s="1" t="str">
        <x:v>22961</x:v>
      </x:c>
      <x:c r="B1947" s="10" t="n">
        <x:v>2</x:v>
      </x:c>
      <x:c r="C1947" s="9" t="d">
        <x:v>2011-11-02T00:00:00.000Z</x:v>
      </x:c>
      <x:c r="D1947" s="9" t="d">
        <x:v>2011-11-12T00:00:00.000Z</x:v>
      </x:c>
      <x:c r="E1947" s="1" t="str">
        <x:v>naive</x:v>
      </x:c>
      <x:c r="F1947" s="10" t="n">
        <x:v>0</x:v>
      </x:c>
      <x:c r="G1947" s="10" t="n">
        <x:v>29</x:v>
      </x:c>
      <x:c r="H1947" s="10" t="n">
        <x:f>ABS(G1947-F1947)</x:f>
        <x:v>29</x:v>
      </x:c>
      <x:c r="I1947" s="10" t="n">
        <x:f>G1947-F1947</x:f>
        <x:v>29</x:v>
      </x:c>
    </x:row>
    <x:row r="1948" ht="20" customHeight="1">
      <x:c r="A1948" s="1" t="str">
        <x:v>22961</x:v>
      </x:c>
      <x:c r="B1948" s="10" t="n">
        <x:v>2</x:v>
      </x:c>
      <x:c r="C1948" s="9" t="d">
        <x:v>2011-11-02T00:00:00.000Z</x:v>
      </x:c>
      <x:c r="D1948" s="9" t="d">
        <x:v>2011-11-13T00:00:00.000Z</x:v>
      </x:c>
      <x:c r="E1948" s="1" t="str">
        <x:v>naive</x:v>
      </x:c>
      <x:c r="F1948" s="10" t="n">
        <x:v>39</x:v>
      </x:c>
      <x:c r="G1948" s="10" t="n">
        <x:v>29</x:v>
      </x:c>
      <x:c r="H1948" s="10" t="n">
        <x:f>ABS(G1948-F1948)</x:f>
        <x:v>10</x:v>
      </x:c>
      <x:c r="I1948" s="10" t="n">
        <x:f>G1948-F1948</x:f>
        <x:v>-10</x:v>
      </x:c>
    </x:row>
    <x:row r="1949" ht="20" customHeight="1">
      <x:c r="A1949" s="1" t="str">
        <x:v>22961</x:v>
      </x:c>
      <x:c r="B1949" s="10" t="n">
        <x:v>2</x:v>
      </x:c>
      <x:c r="C1949" s="9" t="d">
        <x:v>2011-11-02T00:00:00.000Z</x:v>
      </x:c>
      <x:c r="D1949" s="9" t="d">
        <x:v>2011-11-14T00:00:00.000Z</x:v>
      </x:c>
      <x:c r="E1949" s="1" t="str">
        <x:v>naive</x:v>
      </x:c>
      <x:c r="F1949" s="10" t="n">
        <x:v>149</x:v>
      </x:c>
      <x:c r="G1949" s="10" t="n">
        <x:v>29</x:v>
      </x:c>
      <x:c r="H1949" s="10" t="n">
        <x:f>ABS(G1949-F1949)</x:f>
        <x:v>120</x:v>
      </x:c>
      <x:c r="I1949" s="10" t="n">
        <x:f>G1949-F1949</x:f>
        <x:v>-120</x:v>
      </x:c>
    </x:row>
    <x:row r="1950" ht="20" customHeight="1">
      <x:c r="A1950" s="1" t="str">
        <x:v>22961</x:v>
      </x:c>
      <x:c r="B1950" s="10" t="n">
        <x:v>2</x:v>
      </x:c>
      <x:c r="C1950" s="9" t="d">
        <x:v>2011-11-02T00:00:00.000Z</x:v>
      </x:c>
      <x:c r="D1950" s="9" t="d">
        <x:v>2011-11-15T00:00:00.000Z</x:v>
      </x:c>
      <x:c r="E1950" s="1" t="str">
        <x:v>naive</x:v>
      </x:c>
      <x:c r="F1950" s="10" t="n">
        <x:v>23</x:v>
      </x:c>
      <x:c r="G1950" s="10" t="n">
        <x:v>29</x:v>
      </x:c>
      <x:c r="H1950" s="10" t="n">
        <x:f>ABS(G1950-F1950)</x:f>
        <x:v>6</x:v>
      </x:c>
      <x:c r="I1950" s="10" t="n">
        <x:f>G1950-F1950</x:f>
        <x:v>6</x:v>
      </x:c>
    </x:row>
    <x:row r="1951" ht="20" customHeight="1">
      <x:c r="A1951" s="1" t="str">
        <x:v>22961</x:v>
      </x:c>
      <x:c r="B1951" s="10" t="n">
        <x:v>2</x:v>
      </x:c>
      <x:c r="C1951" s="9" t="d">
        <x:v>2011-11-02T00:00:00.000Z</x:v>
      </x:c>
      <x:c r="D1951" s="9" t="d">
        <x:v>2011-11-16T00:00:00.000Z</x:v>
      </x:c>
      <x:c r="E1951" s="1" t="str">
        <x:v>naive</x:v>
      </x:c>
      <x:c r="F1951" s="10" t="n">
        <x:v>38</x:v>
      </x:c>
      <x:c r="G1951" s="10" t="n">
        <x:v>29</x:v>
      </x:c>
      <x:c r="H1951" s="10" t="n">
        <x:f>ABS(G1951-F1951)</x:f>
        <x:v>9</x:v>
      </x:c>
      <x:c r="I1951" s="10" t="n">
        <x:f>G1951-F1951</x:f>
        <x:v>-9</x:v>
      </x:c>
    </x:row>
    <x:row r="1952" ht="20" customHeight="1">
      <x:c r="A1952" s="1" t="str">
        <x:v>22961</x:v>
      </x:c>
      <x:c r="B1952" s="10" t="n">
        <x:v>2</x:v>
      </x:c>
      <x:c r="C1952" s="9" t="d">
        <x:v>2011-11-02T00:00:00.000Z</x:v>
      </x:c>
      <x:c r="D1952" s="9" t="d">
        <x:v>2011-11-03T00:00:00.000Z</x:v>
      </x:c>
      <x:c r="E1952" s="1" t="str">
        <x:v>seasonal_naive</x:v>
      </x:c>
      <x:c r="F1952" s="10" t="n">
        <x:v>30</x:v>
      </x:c>
      <x:c r="G1952" s="10" t="n">
        <x:v>50</x:v>
      </x:c>
      <x:c r="H1952" s="10" t="n">
        <x:f>ABS(G1952-F1952)</x:f>
        <x:v>20</x:v>
      </x:c>
      <x:c r="I1952" s="10" t="n">
        <x:f>G1952-F1952</x:f>
        <x:v>20</x:v>
      </x:c>
    </x:row>
    <x:row r="1953" ht="20" customHeight="1">
      <x:c r="A1953" s="1" t="str">
        <x:v>22961</x:v>
      </x:c>
      <x:c r="B1953" s="10" t="n">
        <x:v>2</x:v>
      </x:c>
      <x:c r="C1953" s="9" t="d">
        <x:v>2011-11-02T00:00:00.000Z</x:v>
      </x:c>
      <x:c r="D1953" s="9" t="d">
        <x:v>2011-11-04T00:00:00.000Z</x:v>
      </x:c>
      <x:c r="E1953" s="1" t="str">
        <x:v>seasonal_naive</x:v>
      </x:c>
      <x:c r="F1953" s="10" t="n">
        <x:v>26</x:v>
      </x:c>
      <x:c r="G1953" s="10" t="n">
        <x:v>36</x:v>
      </x:c>
      <x:c r="H1953" s="10" t="n">
        <x:f>ABS(G1953-F1953)</x:f>
        <x:v>10</x:v>
      </x:c>
      <x:c r="I1953" s="10" t="n">
        <x:f>G1953-F1953</x:f>
        <x:v>10</x:v>
      </x:c>
    </x:row>
    <x:row r="1954" ht="20" customHeight="1">
      <x:c r="A1954" s="1" t="str">
        <x:v>22961</x:v>
      </x:c>
      <x:c r="B1954" s="10" t="n">
        <x:v>2</x:v>
      </x:c>
      <x:c r="C1954" s="9" t="d">
        <x:v>2011-11-02T00:00:00.000Z</x:v>
      </x:c>
      <x:c r="D1954" s="9" t="d">
        <x:v>2011-11-05T00:00:00.000Z</x:v>
      </x:c>
      <x:c r="E1954" s="1" t="str">
        <x:v>seasonal_naive</x:v>
      </x:c>
      <x:c r="F1954" s="10" t="n">
        <x:v>0</x:v>
      </x:c>
      <x:c r="G1954" s="10" t="n">
        <x:v>0</x:v>
      </x:c>
      <x:c r="H1954" s="10" t="n">
        <x:f>ABS(G1954-F1954)</x:f>
        <x:v>0</x:v>
      </x:c>
      <x:c r="I1954" s="10" t="n">
        <x:f>G1954-F1954</x:f>
        <x:v>0</x:v>
      </x:c>
    </x:row>
    <x:row r="1955" ht="20" customHeight="1">
      <x:c r="A1955" s="1" t="str">
        <x:v>22961</x:v>
      </x:c>
      <x:c r="B1955" s="10" t="n">
        <x:v>2</x:v>
      </x:c>
      <x:c r="C1955" s="9" t="d">
        <x:v>2011-11-02T00:00:00.000Z</x:v>
      </x:c>
      <x:c r="D1955" s="9" t="d">
        <x:v>2011-11-06T00:00:00.000Z</x:v>
      </x:c>
      <x:c r="E1955" s="1" t="str">
        <x:v>seasonal_naive</x:v>
      </x:c>
      <x:c r="F1955" s="10" t="n">
        <x:v>38</x:v>
      </x:c>
      <x:c r="G1955" s="10" t="n">
        <x:v>5</x:v>
      </x:c>
      <x:c r="H1955" s="10" t="n">
        <x:f>ABS(G1955-F1955)</x:f>
        <x:v>33</x:v>
      </x:c>
      <x:c r="I1955" s="10" t="n">
        <x:f>G1955-F1955</x:f>
        <x:v>-33</x:v>
      </x:c>
    </x:row>
    <x:row r="1956" ht="20" customHeight="1">
      <x:c r="A1956" s="1" t="str">
        <x:v>22961</x:v>
      </x:c>
      <x:c r="B1956" s="10" t="n">
        <x:v>2</x:v>
      </x:c>
      <x:c r="C1956" s="9" t="d">
        <x:v>2011-11-02T00:00:00.000Z</x:v>
      </x:c>
      <x:c r="D1956" s="9" t="d">
        <x:v>2011-11-07T00:00:00.000Z</x:v>
      </x:c>
      <x:c r="E1956" s="1" t="str">
        <x:v>seasonal_naive</x:v>
      </x:c>
      <x:c r="F1956" s="10" t="n">
        <x:v>97</x:v>
      </x:c>
      <x:c r="G1956" s="10" t="n">
        <x:v>129</x:v>
      </x:c>
      <x:c r="H1956" s="10" t="n">
        <x:f>ABS(G1956-F1956)</x:f>
        <x:v>32</x:v>
      </x:c>
      <x:c r="I1956" s="10" t="n">
        <x:f>G1956-F1956</x:f>
        <x:v>32</x:v>
      </x:c>
    </x:row>
    <x:row r="1957" ht="20" customHeight="1">
      <x:c r="A1957" s="1" t="str">
        <x:v>22961</x:v>
      </x:c>
      <x:c r="B1957" s="10" t="n">
        <x:v>2</x:v>
      </x:c>
      <x:c r="C1957" s="9" t="d">
        <x:v>2011-11-02T00:00:00.000Z</x:v>
      </x:c>
      <x:c r="D1957" s="9" t="d">
        <x:v>2011-11-08T00:00:00.000Z</x:v>
      </x:c>
      <x:c r="E1957" s="1" t="str">
        <x:v>seasonal_naive</x:v>
      </x:c>
      <x:c r="F1957" s="10" t="n">
        <x:v>40</x:v>
      </x:c>
      <x:c r="G1957" s="10" t="n">
        <x:v>108</x:v>
      </x:c>
      <x:c r="H1957" s="10" t="n">
        <x:f>ABS(G1957-F1957)</x:f>
        <x:v>68</x:v>
      </x:c>
      <x:c r="I1957" s="10" t="n">
        <x:f>G1957-F1957</x:f>
        <x:v>68</x:v>
      </x:c>
    </x:row>
    <x:row r="1958" ht="20" customHeight="1">
      <x:c r="A1958" s="1" t="str">
        <x:v>22961</x:v>
      </x:c>
      <x:c r="B1958" s="10" t="n">
        <x:v>2</x:v>
      </x:c>
      <x:c r="C1958" s="9" t="d">
        <x:v>2011-11-02T00:00:00.000Z</x:v>
      </x:c>
      <x:c r="D1958" s="9" t="d">
        <x:v>2011-11-09T00:00:00.000Z</x:v>
      </x:c>
      <x:c r="E1958" s="1" t="str">
        <x:v>seasonal_naive</x:v>
      </x:c>
      <x:c r="F1958" s="10" t="n">
        <x:v>26</x:v>
      </x:c>
      <x:c r="G1958" s="10" t="n">
        <x:v>29</x:v>
      </x:c>
      <x:c r="H1958" s="10" t="n">
        <x:f>ABS(G1958-F1958)</x:f>
        <x:v>3</x:v>
      </x:c>
      <x:c r="I1958" s="10" t="n">
        <x:f>G1958-F1958</x:f>
        <x:v>3</x:v>
      </x:c>
    </x:row>
    <x:row r="1959" ht="20" customHeight="1">
      <x:c r="A1959" s="1" t="str">
        <x:v>22961</x:v>
      </x:c>
      <x:c r="B1959" s="10" t="n">
        <x:v>2</x:v>
      </x:c>
      <x:c r="C1959" s="9" t="d">
        <x:v>2011-11-02T00:00:00.000Z</x:v>
      </x:c>
      <x:c r="D1959" s="9" t="d">
        <x:v>2011-11-10T00:00:00.000Z</x:v>
      </x:c>
      <x:c r="E1959" s="1" t="str">
        <x:v>seasonal_naive</x:v>
      </x:c>
      <x:c r="F1959" s="10" t="n">
        <x:v>79</x:v>
      </x:c>
      <x:c r="G1959" s="10" t="n">
        <x:v>50</x:v>
      </x:c>
      <x:c r="H1959" s="10" t="n">
        <x:f>ABS(G1959-F1959)</x:f>
        <x:v>29</x:v>
      </x:c>
      <x:c r="I1959" s="10" t="n">
        <x:f>G1959-F1959</x:f>
        <x:v>-29</x:v>
      </x:c>
    </x:row>
    <x:row r="1960" ht="20" customHeight="1">
      <x:c r="A1960" s="1" t="str">
        <x:v>22961</x:v>
      </x:c>
      <x:c r="B1960" s="10" t="n">
        <x:v>2</x:v>
      </x:c>
      <x:c r="C1960" s="9" t="d">
        <x:v>2011-11-02T00:00:00.000Z</x:v>
      </x:c>
      <x:c r="D1960" s="9" t="d">
        <x:v>2011-11-11T00:00:00.000Z</x:v>
      </x:c>
      <x:c r="E1960" s="1" t="str">
        <x:v>seasonal_naive</x:v>
      </x:c>
      <x:c r="F1960" s="10" t="n">
        <x:v>8</x:v>
      </x:c>
      <x:c r="G1960" s="10" t="n">
        <x:v>36</x:v>
      </x:c>
      <x:c r="H1960" s="10" t="n">
        <x:f>ABS(G1960-F1960)</x:f>
        <x:v>28</x:v>
      </x:c>
      <x:c r="I1960" s="10" t="n">
        <x:f>G1960-F1960</x:f>
        <x:v>28</x:v>
      </x:c>
    </x:row>
    <x:row r="1961" ht="20" customHeight="1">
      <x:c r="A1961" s="1" t="str">
        <x:v>22961</x:v>
      </x:c>
      <x:c r="B1961" s="10" t="n">
        <x:v>2</x:v>
      </x:c>
      <x:c r="C1961" s="9" t="d">
        <x:v>2011-11-02T00:00:00.000Z</x:v>
      </x:c>
      <x:c r="D1961" s="9" t="d">
        <x:v>2011-11-12T00:00:00.000Z</x:v>
      </x:c>
      <x:c r="E1961" s="1" t="str">
        <x:v>seasonal_naive</x:v>
      </x:c>
      <x:c r="F1961" s="10" t="n">
        <x:v>0</x:v>
      </x:c>
      <x:c r="G1961" s="10" t="n">
        <x:v>0</x:v>
      </x:c>
      <x:c r="H1961" s="10" t="n">
        <x:f>ABS(G1961-F1961)</x:f>
        <x:v>0</x:v>
      </x:c>
      <x:c r="I1961" s="10" t="n">
        <x:f>G1961-F1961</x:f>
        <x:v>0</x:v>
      </x:c>
    </x:row>
    <x:row r="1962" ht="20" customHeight="1">
      <x:c r="A1962" s="1" t="str">
        <x:v>22961</x:v>
      </x:c>
      <x:c r="B1962" s="10" t="n">
        <x:v>2</x:v>
      </x:c>
      <x:c r="C1962" s="9" t="d">
        <x:v>2011-11-02T00:00:00.000Z</x:v>
      </x:c>
      <x:c r="D1962" s="9" t="d">
        <x:v>2011-11-13T00:00:00.000Z</x:v>
      </x:c>
      <x:c r="E1962" s="1" t="str">
        <x:v>seasonal_naive</x:v>
      </x:c>
      <x:c r="F1962" s="10" t="n">
        <x:v>39</x:v>
      </x:c>
      <x:c r="G1962" s="10" t="n">
        <x:v>5</x:v>
      </x:c>
      <x:c r="H1962" s="10" t="n">
        <x:f>ABS(G1962-F1962)</x:f>
        <x:v>34</x:v>
      </x:c>
      <x:c r="I1962" s="10" t="n">
        <x:f>G1962-F1962</x:f>
        <x:v>-34</x:v>
      </x:c>
    </x:row>
    <x:row r="1963" ht="20" customHeight="1">
      <x:c r="A1963" s="1" t="str">
        <x:v>22961</x:v>
      </x:c>
      <x:c r="B1963" s="10" t="n">
        <x:v>2</x:v>
      </x:c>
      <x:c r="C1963" s="9" t="d">
        <x:v>2011-11-02T00:00:00.000Z</x:v>
      </x:c>
      <x:c r="D1963" s="9" t="d">
        <x:v>2011-11-14T00:00:00.000Z</x:v>
      </x:c>
      <x:c r="E1963" s="1" t="str">
        <x:v>seasonal_naive</x:v>
      </x:c>
      <x:c r="F1963" s="10" t="n">
        <x:v>149</x:v>
      </x:c>
      <x:c r="G1963" s="10" t="n">
        <x:v>129</x:v>
      </x:c>
      <x:c r="H1963" s="10" t="n">
        <x:f>ABS(G1963-F1963)</x:f>
        <x:v>20</x:v>
      </x:c>
      <x:c r="I1963" s="10" t="n">
        <x:f>G1963-F1963</x:f>
        <x:v>-20</x:v>
      </x:c>
    </x:row>
    <x:row r="1964" ht="20" customHeight="1">
      <x:c r="A1964" s="1" t="str">
        <x:v>22961</x:v>
      </x:c>
      <x:c r="B1964" s="10" t="n">
        <x:v>2</x:v>
      </x:c>
      <x:c r="C1964" s="9" t="d">
        <x:v>2011-11-02T00:00:00.000Z</x:v>
      </x:c>
      <x:c r="D1964" s="9" t="d">
        <x:v>2011-11-15T00:00:00.000Z</x:v>
      </x:c>
      <x:c r="E1964" s="1" t="str">
        <x:v>seasonal_naive</x:v>
      </x:c>
      <x:c r="F1964" s="10" t="n">
        <x:v>23</x:v>
      </x:c>
      <x:c r="G1964" s="10" t="n">
        <x:v>108</x:v>
      </x:c>
      <x:c r="H1964" s="10" t="n">
        <x:f>ABS(G1964-F1964)</x:f>
        <x:v>85</x:v>
      </x:c>
      <x:c r="I1964" s="10" t="n">
        <x:f>G1964-F1964</x:f>
        <x:v>85</x:v>
      </x:c>
    </x:row>
    <x:row r="1965" ht="20" customHeight="1">
      <x:c r="A1965" s="1" t="str">
        <x:v>22961</x:v>
      </x:c>
      <x:c r="B1965" s="10" t="n">
        <x:v>2</x:v>
      </x:c>
      <x:c r="C1965" s="9" t="d">
        <x:v>2011-11-02T00:00:00.000Z</x:v>
      </x:c>
      <x:c r="D1965" s="9" t="d">
        <x:v>2011-11-16T00:00:00.000Z</x:v>
      </x:c>
      <x:c r="E1965" s="1" t="str">
        <x:v>seasonal_naive</x:v>
      </x:c>
      <x:c r="F1965" s="10" t="n">
        <x:v>38</x:v>
      </x:c>
      <x:c r="G1965" s="10" t="n">
        <x:v>29</x:v>
      </x:c>
      <x:c r="H1965" s="10" t="n">
        <x:f>ABS(G1965-F1965)</x:f>
        <x:v>9</x:v>
      </x:c>
      <x:c r="I1965" s="10" t="n">
        <x:f>G1965-F1965</x:f>
        <x:v>-9</x:v>
      </x:c>
    </x:row>
    <x:row r="1966" ht="20" customHeight="1">
      <x:c r="A1966" s="1" t="str">
        <x:v>22961</x:v>
      </x:c>
      <x:c r="B1966" s="10" t="n">
        <x:v>2</x:v>
      </x:c>
      <x:c r="C1966" s="9" t="d">
        <x:v>2011-11-02T00:00:00.000Z</x:v>
      </x:c>
      <x:c r="D1966" s="9" t="d">
        <x:v>2011-11-03T00:00:00.000Z</x:v>
      </x:c>
      <x:c r="E1966" s="1" t="str">
        <x:v>ridge</x:v>
      </x:c>
      <x:c r="F1966" s="10" t="n">
        <x:v>30</x:v>
      </x:c>
      <x:c r="G1966" s="10" t="n">
        <x:v>53.3731556755</x:v>
      </x:c>
      <x:c r="H1966" s="10" t="n">
        <x:f>ABS(G1966-F1966)</x:f>
        <x:v>23.3731556755</x:v>
      </x:c>
      <x:c r="I1966" s="10" t="n">
        <x:f>G1966-F1966</x:f>
        <x:v>23.3731556755</x:v>
      </x:c>
    </x:row>
    <x:row r="1967" ht="20" customHeight="1">
      <x:c r="A1967" s="1" t="str">
        <x:v>22961</x:v>
      </x:c>
      <x:c r="B1967" s="10" t="n">
        <x:v>2</x:v>
      </x:c>
      <x:c r="C1967" s="9" t="d">
        <x:v>2011-11-02T00:00:00.000Z</x:v>
      </x:c>
      <x:c r="D1967" s="9" t="d">
        <x:v>2011-11-04T00:00:00.000Z</x:v>
      </x:c>
      <x:c r="E1967" s="1" t="str">
        <x:v>ridge</x:v>
      </x:c>
      <x:c r="F1967" s="10" t="n">
        <x:v>26</x:v>
      </x:c>
      <x:c r="G1967" s="10" t="n">
        <x:v>40.63116234</x:v>
      </x:c>
      <x:c r="H1967" s="10" t="n">
        <x:f>ABS(G1967-F1967)</x:f>
        <x:v>14.631162340000003</x:v>
      </x:c>
      <x:c r="I1967" s="10" t="n">
        <x:f>G1967-F1967</x:f>
        <x:v>14.631162340000003</x:v>
      </x:c>
    </x:row>
    <x:row r="1968" ht="20" customHeight="1">
      <x:c r="A1968" s="1" t="str">
        <x:v>22961</x:v>
      </x:c>
      <x:c r="B1968" s="10" t="n">
        <x:v>2</x:v>
      </x:c>
      <x:c r="C1968" s="9" t="d">
        <x:v>2011-11-02T00:00:00.000Z</x:v>
      </x:c>
      <x:c r="D1968" s="9" t="d">
        <x:v>2011-11-05T00:00:00.000Z</x:v>
      </x:c>
      <x:c r="E1968" s="1" t="str">
        <x:v>ridge</x:v>
      </x:c>
      <x:c r="F1968" s="10" t="n">
        <x:v>0</x:v>
      </x:c>
      <x:c r="G1968" s="10" t="n">
        <x:v>31.4868103721</x:v>
      </x:c>
      <x:c r="H1968" s="10" t="n">
        <x:f>ABS(G1968-F1968)</x:f>
        <x:v>31.4868103721</x:v>
      </x:c>
      <x:c r="I1968" s="10" t="n">
        <x:f>G1968-F1968</x:f>
        <x:v>31.4868103721</x:v>
      </x:c>
    </x:row>
    <x:row r="1969" ht="20" customHeight="1">
      <x:c r="A1969" s="1" t="str">
        <x:v>22961</x:v>
      </x:c>
      <x:c r="B1969" s="10" t="n">
        <x:v>2</x:v>
      </x:c>
      <x:c r="C1969" s="9" t="d">
        <x:v>2011-11-02T00:00:00.000Z</x:v>
      </x:c>
      <x:c r="D1969" s="9" t="d">
        <x:v>2011-11-06T00:00:00.000Z</x:v>
      </x:c>
      <x:c r="E1969" s="1" t="str">
        <x:v>ridge</x:v>
      </x:c>
      <x:c r="F1969" s="10" t="n">
        <x:v>38</x:v>
      </x:c>
      <x:c r="G1969" s="10" t="n">
        <x:v>32.2409283341</x:v>
      </x:c>
      <x:c r="H1969" s="10" t="n">
        <x:f>ABS(G1969-F1969)</x:f>
        <x:v>5.759071665900002</x:v>
      </x:c>
      <x:c r="I1969" s="10" t="n">
        <x:f>G1969-F1969</x:f>
        <x:v>-5.759071665900002</x:v>
      </x:c>
    </x:row>
    <x:row r="1970" ht="20" customHeight="1">
      <x:c r="A1970" s="1" t="str">
        <x:v>22961</x:v>
      </x:c>
      <x:c r="B1970" s="10" t="n">
        <x:v>2</x:v>
      </x:c>
      <x:c r="C1970" s="9" t="d">
        <x:v>2011-11-02T00:00:00.000Z</x:v>
      </x:c>
      <x:c r="D1970" s="9" t="d">
        <x:v>2011-11-07T00:00:00.000Z</x:v>
      </x:c>
      <x:c r="E1970" s="1" t="str">
        <x:v>ridge</x:v>
      </x:c>
      <x:c r="F1970" s="10" t="n">
        <x:v>97</x:v>
      </x:c>
      <x:c r="G1970" s="10" t="n">
        <x:v>42.8816056899</x:v>
      </x:c>
      <x:c r="H1970" s="10" t="n">
        <x:f>ABS(G1970-F1970)</x:f>
        <x:v>54.1183943101</x:v>
      </x:c>
      <x:c r="I1970" s="10" t="n">
        <x:f>G1970-F1970</x:f>
        <x:v>-54.1183943101</x:v>
      </x:c>
    </x:row>
    <x:row r="1971" ht="20" customHeight="1">
      <x:c r="A1971" s="1" t="str">
        <x:v>22961</x:v>
      </x:c>
      <x:c r="B1971" s="10" t="n">
        <x:v>2</x:v>
      </x:c>
      <x:c r="C1971" s="9" t="d">
        <x:v>2011-11-02T00:00:00.000Z</x:v>
      </x:c>
      <x:c r="D1971" s="9" t="d">
        <x:v>2011-11-08T00:00:00.000Z</x:v>
      </x:c>
      <x:c r="E1971" s="1" t="str">
        <x:v>ridge</x:v>
      </x:c>
      <x:c r="F1971" s="10" t="n">
        <x:v>40</x:v>
      </x:c>
      <x:c r="G1971" s="10" t="n">
        <x:v>50.4523613589</x:v>
      </x:c>
      <x:c r="H1971" s="10" t="n">
        <x:f>ABS(G1971-F1971)</x:f>
        <x:v>10.4523613589</x:v>
      </x:c>
      <x:c r="I1971" s="10" t="n">
        <x:f>G1971-F1971</x:f>
        <x:v>10.4523613589</x:v>
      </x:c>
    </x:row>
    <x:row r="1972" ht="20" customHeight="1">
      <x:c r="A1972" s="1" t="str">
        <x:v>22961</x:v>
      </x:c>
      <x:c r="B1972" s="10" t="n">
        <x:v>2</x:v>
      </x:c>
      <x:c r="C1972" s="9" t="d">
        <x:v>2011-11-02T00:00:00.000Z</x:v>
      </x:c>
      <x:c r="D1972" s="9" t="d">
        <x:v>2011-11-09T00:00:00.000Z</x:v>
      </x:c>
      <x:c r="E1972" s="1" t="str">
        <x:v>ridge</x:v>
      </x:c>
      <x:c r="F1972" s="10" t="n">
        <x:v>26</x:v>
      </x:c>
      <x:c r="G1972" s="10" t="n">
        <x:v>54.2696259955</x:v>
      </x:c>
      <x:c r="H1972" s="10" t="n">
        <x:f>ABS(G1972-F1972)</x:f>
        <x:v>28.2696259955</x:v>
      </x:c>
      <x:c r="I1972" s="10" t="n">
        <x:f>G1972-F1972</x:f>
        <x:v>28.2696259955</x:v>
      </x:c>
    </x:row>
    <x:row r="1973" ht="20" customHeight="1">
      <x:c r="A1973" s="1" t="str">
        <x:v>22961</x:v>
      </x:c>
      <x:c r="B1973" s="10" t="n">
        <x:v>2</x:v>
      </x:c>
      <x:c r="C1973" s="9" t="d">
        <x:v>2011-11-02T00:00:00.000Z</x:v>
      </x:c>
      <x:c r="D1973" s="9" t="d">
        <x:v>2011-11-10T00:00:00.000Z</x:v>
      </x:c>
      <x:c r="E1973" s="1" t="str">
        <x:v>ridge</x:v>
      </x:c>
      <x:c r="F1973" s="10" t="n">
        <x:v>79</x:v>
      </x:c>
      <x:c r="G1973" s="10" t="n">
        <x:v>50.0471613894</x:v>
      </x:c>
      <x:c r="H1973" s="10" t="n">
        <x:f>ABS(G1973-F1973)</x:f>
        <x:v>28.952838610599997</x:v>
      </x:c>
      <x:c r="I1973" s="10" t="n">
        <x:f>G1973-F1973</x:f>
        <x:v>-28.952838610599997</x:v>
      </x:c>
    </x:row>
    <x:row r="1974" ht="20" customHeight="1">
      <x:c r="A1974" s="1" t="str">
        <x:v>22961</x:v>
      </x:c>
      <x:c r="B1974" s="10" t="n">
        <x:v>2</x:v>
      </x:c>
      <x:c r="C1974" s="9" t="d">
        <x:v>2011-11-02T00:00:00.000Z</x:v>
      </x:c>
      <x:c r="D1974" s="9" t="d">
        <x:v>2011-11-11T00:00:00.000Z</x:v>
      </x:c>
      <x:c r="E1974" s="1" t="str">
        <x:v>ridge</x:v>
      </x:c>
      <x:c r="F1974" s="10" t="n">
        <x:v>8</x:v>
      </x:c>
      <x:c r="G1974" s="10" t="n">
        <x:v>38.1394176407</x:v>
      </x:c>
      <x:c r="H1974" s="10" t="n">
        <x:f>ABS(G1974-F1974)</x:f>
        <x:v>30.139417640700003</x:v>
      </x:c>
      <x:c r="I1974" s="10" t="n">
        <x:f>G1974-F1974</x:f>
        <x:v>30.139417640700003</x:v>
      </x:c>
    </x:row>
    <x:row r="1975" ht="20" customHeight="1">
      <x:c r="A1975" s="1" t="str">
        <x:v>22961</x:v>
      </x:c>
      <x:c r="B1975" s="10" t="n">
        <x:v>2</x:v>
      </x:c>
      <x:c r="C1975" s="9" t="d">
        <x:v>2011-11-02T00:00:00.000Z</x:v>
      </x:c>
      <x:c r="D1975" s="9" t="d">
        <x:v>2011-11-12T00:00:00.000Z</x:v>
      </x:c>
      <x:c r="E1975" s="1" t="str">
        <x:v>ridge</x:v>
      </x:c>
      <x:c r="F1975" s="10" t="n">
        <x:v>0</x:v>
      </x:c>
      <x:c r="G1975" s="10" t="n">
        <x:v>28.6596991854</x:v>
      </x:c>
      <x:c r="H1975" s="10" t="n">
        <x:f>ABS(G1975-F1975)</x:f>
        <x:v>28.6596991854</x:v>
      </x:c>
      <x:c r="I1975" s="10" t="n">
        <x:f>G1975-F1975</x:f>
        <x:v>28.6596991854</x:v>
      </x:c>
    </x:row>
    <x:row r="1976" ht="20" customHeight="1">
      <x:c r="A1976" s="1" t="str">
        <x:v>22961</x:v>
      </x:c>
      <x:c r="B1976" s="10" t="n">
        <x:v>2</x:v>
      </x:c>
      <x:c r="C1976" s="9" t="d">
        <x:v>2011-11-02T00:00:00.000Z</x:v>
      </x:c>
      <x:c r="D1976" s="9" t="d">
        <x:v>2011-11-13T00:00:00.000Z</x:v>
      </x:c>
      <x:c r="E1976" s="1" t="str">
        <x:v>ridge</x:v>
      </x:c>
      <x:c r="F1976" s="10" t="n">
        <x:v>39</x:v>
      </x:c>
      <x:c r="G1976" s="10" t="n">
        <x:v>28.1157315618</x:v>
      </x:c>
      <x:c r="H1976" s="10" t="n">
        <x:f>ABS(G1976-F1976)</x:f>
        <x:v>10.8842684382</x:v>
      </x:c>
      <x:c r="I1976" s="10" t="n">
        <x:f>G1976-F1976</x:f>
        <x:v>-10.8842684382</x:v>
      </x:c>
    </x:row>
    <x:row r="1977" ht="20" customHeight="1">
      <x:c r="A1977" s="1" t="str">
        <x:v>22961</x:v>
      </x:c>
      <x:c r="B1977" s="10" t="n">
        <x:v>2</x:v>
      </x:c>
      <x:c r="C1977" s="9" t="d">
        <x:v>2011-11-02T00:00:00.000Z</x:v>
      </x:c>
      <x:c r="D1977" s="9" t="d">
        <x:v>2011-11-14T00:00:00.000Z</x:v>
      </x:c>
      <x:c r="E1977" s="1" t="str">
        <x:v>ridge</x:v>
      </x:c>
      <x:c r="F1977" s="10" t="n">
        <x:v>149</x:v>
      </x:c>
      <x:c r="G1977" s="10" t="n">
        <x:v>36.1550510632</x:v>
      </x:c>
      <x:c r="H1977" s="10" t="n">
        <x:f>ABS(G1977-F1977)</x:f>
        <x:v>112.8449489368</x:v>
      </x:c>
      <x:c r="I1977" s="10" t="n">
        <x:f>G1977-F1977</x:f>
        <x:v>-112.8449489368</x:v>
      </x:c>
    </x:row>
    <x:row r="1978" ht="20" customHeight="1">
      <x:c r="A1978" s="1" t="str">
        <x:v>22961</x:v>
      </x:c>
      <x:c r="B1978" s="10" t="n">
        <x:v>2</x:v>
      </x:c>
      <x:c r="C1978" s="9" t="d">
        <x:v>2011-11-02T00:00:00.000Z</x:v>
      </x:c>
      <x:c r="D1978" s="9" t="d">
        <x:v>2011-11-15T00:00:00.000Z</x:v>
      </x:c>
      <x:c r="E1978" s="1" t="str">
        <x:v>ridge</x:v>
      </x:c>
      <x:c r="F1978" s="10" t="n">
        <x:v>23</x:v>
      </x:c>
      <x:c r="G1978" s="10" t="n">
        <x:v>48.22957547</x:v>
      </x:c>
      <x:c r="H1978" s="10" t="n">
        <x:f>ABS(G1978-F1978)</x:f>
        <x:v>25.22957547</x:v>
      </x:c>
      <x:c r="I1978" s="10" t="n">
        <x:f>G1978-F1978</x:f>
        <x:v>25.22957547</x:v>
      </x:c>
    </x:row>
    <x:row r="1979" ht="20" customHeight="1">
      <x:c r="A1979" s="1" t="str">
        <x:v>22961</x:v>
      </x:c>
      <x:c r="B1979" s="10" t="n">
        <x:v>2</x:v>
      </x:c>
      <x:c r="C1979" s="9" t="d">
        <x:v>2011-11-02T00:00:00.000Z</x:v>
      </x:c>
      <x:c r="D1979" s="9" t="d">
        <x:v>2011-11-16T00:00:00.000Z</x:v>
      </x:c>
      <x:c r="E1979" s="1" t="str">
        <x:v>ridge</x:v>
      </x:c>
      <x:c r="F1979" s="10" t="n">
        <x:v>38</x:v>
      </x:c>
      <x:c r="G1979" s="10" t="n">
        <x:v>54.4119367247</x:v>
      </x:c>
      <x:c r="H1979" s="10" t="n">
        <x:f>ABS(G1979-F1979)</x:f>
        <x:v>16.4119367247</x:v>
      </x:c>
      <x:c r="I1979" s="10" t="n">
        <x:f>G1979-F1979</x:f>
        <x:v>16.4119367247</x:v>
      </x:c>
    </x:row>
    <x:row r="1980" ht="20" customHeight="1">
      <x:c r="A1980" s="1" t="str">
        <x:v>22961</x:v>
      </x:c>
      <x:c r="B1980" s="10" t="n">
        <x:v>3</x:v>
      </x:c>
      <x:c r="C1980" s="9" t="d">
        <x:v>2011-11-16T00:00:00.000Z</x:v>
      </x:c>
      <x:c r="D1980" s="9" t="d">
        <x:v>2011-11-17T00:00:00.000Z</x:v>
      </x:c>
      <x:c r="E1980" s="1" t="str">
        <x:v>naive</x:v>
      </x:c>
      <x:c r="F1980" s="10" t="n">
        <x:v>103</x:v>
      </x:c>
      <x:c r="G1980" s="10" t="n">
        <x:v>38</x:v>
      </x:c>
      <x:c r="H1980" s="10" t="n">
        <x:f>ABS(G1980-F1980)</x:f>
        <x:v>65</x:v>
      </x:c>
      <x:c r="I1980" s="10" t="n">
        <x:f>G1980-F1980</x:f>
        <x:v>-65</x:v>
      </x:c>
    </x:row>
    <x:row r="1981" ht="20" customHeight="1">
      <x:c r="A1981" s="1" t="str">
        <x:v>22961</x:v>
      </x:c>
      <x:c r="B1981" s="10" t="n">
        <x:v>3</x:v>
      </x:c>
      <x:c r="C1981" s="9" t="d">
        <x:v>2011-11-16T00:00:00.000Z</x:v>
      </x:c>
      <x:c r="D1981" s="9" t="d">
        <x:v>2011-11-18T00:00:00.000Z</x:v>
      </x:c>
      <x:c r="E1981" s="1" t="str">
        <x:v>naive</x:v>
      </x:c>
      <x:c r="F1981" s="10" t="n">
        <x:v>38</x:v>
      </x:c>
      <x:c r="G1981" s="10" t="n">
        <x:v>38</x:v>
      </x:c>
      <x:c r="H1981" s="10" t="n">
        <x:f>ABS(G1981-F1981)</x:f>
        <x:v>0</x:v>
      </x:c>
      <x:c r="I1981" s="10" t="n">
        <x:f>G1981-F1981</x:f>
        <x:v>0</x:v>
      </x:c>
    </x:row>
    <x:row r="1982" ht="20" customHeight="1">
      <x:c r="A1982" s="1" t="str">
        <x:v>22961</x:v>
      </x:c>
      <x:c r="B1982" s="10" t="n">
        <x:v>3</x:v>
      </x:c>
      <x:c r="C1982" s="9" t="d">
        <x:v>2011-11-16T00:00:00.000Z</x:v>
      </x:c>
      <x:c r="D1982" s="9" t="d">
        <x:v>2011-11-19T00:00:00.000Z</x:v>
      </x:c>
      <x:c r="E1982" s="1" t="str">
        <x:v>naive</x:v>
      </x:c>
      <x:c r="F1982" s="10" t="n">
        <x:v>0</x:v>
      </x:c>
      <x:c r="G1982" s="10" t="n">
        <x:v>38</x:v>
      </x:c>
      <x:c r="H1982" s="10" t="n">
        <x:f>ABS(G1982-F1982)</x:f>
        <x:v>38</x:v>
      </x:c>
      <x:c r="I1982" s="10" t="n">
        <x:f>G1982-F1982</x:f>
        <x:v>38</x:v>
      </x:c>
    </x:row>
    <x:row r="1983" ht="20" customHeight="1">
      <x:c r="A1983" s="1" t="str">
        <x:v>22961</x:v>
      </x:c>
      <x:c r="B1983" s="10" t="n">
        <x:v>3</x:v>
      </x:c>
      <x:c r="C1983" s="9" t="d">
        <x:v>2011-11-16T00:00:00.000Z</x:v>
      </x:c>
      <x:c r="D1983" s="9" t="d">
        <x:v>2011-11-20T00:00:00.000Z</x:v>
      </x:c>
      <x:c r="E1983" s="1" t="str">
        <x:v>naive</x:v>
      </x:c>
      <x:c r="F1983" s="10" t="n">
        <x:v>4</x:v>
      </x:c>
      <x:c r="G1983" s="10" t="n">
        <x:v>38</x:v>
      </x:c>
      <x:c r="H1983" s="10" t="n">
        <x:f>ABS(G1983-F1983)</x:f>
        <x:v>34</x:v>
      </x:c>
      <x:c r="I1983" s="10" t="n">
        <x:f>G1983-F1983</x:f>
        <x:v>34</x:v>
      </x:c>
    </x:row>
    <x:row r="1984" ht="20" customHeight="1">
      <x:c r="A1984" s="1" t="str">
        <x:v>22961</x:v>
      </x:c>
      <x:c r="B1984" s="10" t="n">
        <x:v>3</x:v>
      </x:c>
      <x:c r="C1984" s="9" t="d">
        <x:v>2011-11-16T00:00:00.000Z</x:v>
      </x:c>
      <x:c r="D1984" s="9" t="d">
        <x:v>2011-11-21T00:00:00.000Z</x:v>
      </x:c>
      <x:c r="E1984" s="1" t="str">
        <x:v>naive</x:v>
      </x:c>
      <x:c r="F1984" s="10" t="n">
        <x:v>200</x:v>
      </x:c>
      <x:c r="G1984" s="10" t="n">
        <x:v>38</x:v>
      </x:c>
      <x:c r="H1984" s="10" t="n">
        <x:f>ABS(G1984-F1984)</x:f>
        <x:v>162</x:v>
      </x:c>
      <x:c r="I1984" s="10" t="n">
        <x:f>G1984-F1984</x:f>
        <x:v>-162</x:v>
      </x:c>
    </x:row>
    <x:row r="1985" ht="20" customHeight="1">
      <x:c r="A1985" s="1" t="str">
        <x:v>22961</x:v>
      </x:c>
      <x:c r="B1985" s="10" t="n">
        <x:v>3</x:v>
      </x:c>
      <x:c r="C1985" s="9" t="d">
        <x:v>2011-11-16T00:00:00.000Z</x:v>
      </x:c>
      <x:c r="D1985" s="9" t="d">
        <x:v>2011-11-22T00:00:00.000Z</x:v>
      </x:c>
      <x:c r="E1985" s="1" t="str">
        <x:v>naive</x:v>
      </x:c>
      <x:c r="F1985" s="10" t="n">
        <x:v>17</x:v>
      </x:c>
      <x:c r="G1985" s="10" t="n">
        <x:v>38</x:v>
      </x:c>
      <x:c r="H1985" s="10" t="n">
        <x:f>ABS(G1985-F1985)</x:f>
        <x:v>21</x:v>
      </x:c>
      <x:c r="I1985" s="10" t="n">
        <x:f>G1985-F1985</x:f>
        <x:v>21</x:v>
      </x:c>
    </x:row>
    <x:row r="1986" ht="20" customHeight="1">
      <x:c r="A1986" s="1" t="str">
        <x:v>22961</x:v>
      </x:c>
      <x:c r="B1986" s="10" t="n">
        <x:v>3</x:v>
      </x:c>
      <x:c r="C1986" s="9" t="d">
        <x:v>2011-11-16T00:00:00.000Z</x:v>
      </x:c>
      <x:c r="D1986" s="9" t="d">
        <x:v>2011-11-23T00:00:00.000Z</x:v>
      </x:c>
      <x:c r="E1986" s="1" t="str">
        <x:v>naive</x:v>
      </x:c>
      <x:c r="F1986" s="10" t="n">
        <x:v>163</x:v>
      </x:c>
      <x:c r="G1986" s="10" t="n">
        <x:v>38</x:v>
      </x:c>
      <x:c r="H1986" s="10" t="n">
        <x:f>ABS(G1986-F1986)</x:f>
        <x:v>125</x:v>
      </x:c>
      <x:c r="I1986" s="10" t="n">
        <x:f>G1986-F1986</x:f>
        <x:v>-125</x:v>
      </x:c>
    </x:row>
    <x:row r="1987" ht="20" customHeight="1">
      <x:c r="A1987" s="1" t="str">
        <x:v>22961</x:v>
      </x:c>
      <x:c r="B1987" s="10" t="n">
        <x:v>3</x:v>
      </x:c>
      <x:c r="C1987" s="9" t="d">
        <x:v>2011-11-16T00:00:00.000Z</x:v>
      </x:c>
      <x:c r="D1987" s="9" t="d">
        <x:v>2011-11-24T00:00:00.000Z</x:v>
      </x:c>
      <x:c r="E1987" s="1" t="str">
        <x:v>naive</x:v>
      </x:c>
      <x:c r="F1987" s="10" t="n">
        <x:v>91</x:v>
      </x:c>
      <x:c r="G1987" s="10" t="n">
        <x:v>38</x:v>
      </x:c>
      <x:c r="H1987" s="10" t="n">
        <x:f>ABS(G1987-F1987)</x:f>
        <x:v>53</x:v>
      </x:c>
      <x:c r="I1987" s="10" t="n">
        <x:f>G1987-F1987</x:f>
        <x:v>-53</x:v>
      </x:c>
    </x:row>
    <x:row r="1988" ht="20" customHeight="1">
      <x:c r="A1988" s="1" t="str">
        <x:v>22961</x:v>
      </x:c>
      <x:c r="B1988" s="10" t="n">
        <x:v>3</x:v>
      </x:c>
      <x:c r="C1988" s="9" t="d">
        <x:v>2011-11-16T00:00:00.000Z</x:v>
      </x:c>
      <x:c r="D1988" s="9" t="d">
        <x:v>2011-11-25T00:00:00.000Z</x:v>
      </x:c>
      <x:c r="E1988" s="1" t="str">
        <x:v>naive</x:v>
      </x:c>
      <x:c r="F1988" s="10" t="n">
        <x:v>35</x:v>
      </x:c>
      <x:c r="G1988" s="10" t="n">
        <x:v>38</x:v>
      </x:c>
      <x:c r="H1988" s="10" t="n">
        <x:f>ABS(G1988-F1988)</x:f>
        <x:v>3</x:v>
      </x:c>
      <x:c r="I1988" s="10" t="n">
        <x:f>G1988-F1988</x:f>
        <x:v>3</x:v>
      </x:c>
    </x:row>
    <x:row r="1989" ht="20" customHeight="1">
      <x:c r="A1989" s="1" t="str">
        <x:v>22961</x:v>
      </x:c>
      <x:c r="B1989" s="10" t="n">
        <x:v>3</x:v>
      </x:c>
      <x:c r="C1989" s="9" t="d">
        <x:v>2011-11-16T00:00:00.000Z</x:v>
      </x:c>
      <x:c r="D1989" s="9" t="d">
        <x:v>2011-11-26T00:00:00.000Z</x:v>
      </x:c>
      <x:c r="E1989" s="1" t="str">
        <x:v>naive</x:v>
      </x:c>
      <x:c r="F1989" s="10" t="n">
        <x:v>0</x:v>
      </x:c>
      <x:c r="G1989" s="10" t="n">
        <x:v>38</x:v>
      </x:c>
      <x:c r="H1989" s="10" t="n">
        <x:f>ABS(G1989-F1989)</x:f>
        <x:v>38</x:v>
      </x:c>
      <x:c r="I1989" s="10" t="n">
        <x:f>G1989-F1989</x:f>
        <x:v>38</x:v>
      </x:c>
    </x:row>
    <x:row r="1990" ht="20" customHeight="1">
      <x:c r="A1990" s="1" t="str">
        <x:v>22961</x:v>
      </x:c>
      <x:c r="B1990" s="10" t="n">
        <x:v>3</x:v>
      </x:c>
      <x:c r="C1990" s="9" t="d">
        <x:v>2011-11-16T00:00:00.000Z</x:v>
      </x:c>
      <x:c r="D1990" s="9" t="d">
        <x:v>2011-11-27T00:00:00.000Z</x:v>
      </x:c>
      <x:c r="E1990" s="1" t="str">
        <x:v>naive</x:v>
      </x:c>
      <x:c r="F1990" s="10" t="n">
        <x:v>9</x:v>
      </x:c>
      <x:c r="G1990" s="10" t="n">
        <x:v>38</x:v>
      </x:c>
      <x:c r="H1990" s="10" t="n">
        <x:f>ABS(G1990-F1990)</x:f>
        <x:v>29</x:v>
      </x:c>
      <x:c r="I1990" s="10" t="n">
        <x:f>G1990-F1990</x:f>
        <x:v>29</x:v>
      </x:c>
    </x:row>
    <x:row r="1991" ht="20" customHeight="1">
      <x:c r="A1991" s="1" t="str">
        <x:v>22961</x:v>
      </x:c>
      <x:c r="B1991" s="10" t="n">
        <x:v>3</x:v>
      </x:c>
      <x:c r="C1991" s="9" t="d">
        <x:v>2011-11-16T00:00:00.000Z</x:v>
      </x:c>
      <x:c r="D1991" s="9" t="d">
        <x:v>2011-11-28T00:00:00.000Z</x:v>
      </x:c>
      <x:c r="E1991" s="1" t="str">
        <x:v>naive</x:v>
      </x:c>
      <x:c r="F1991" s="10" t="n">
        <x:v>52</x:v>
      </x:c>
      <x:c r="G1991" s="10" t="n">
        <x:v>38</x:v>
      </x:c>
      <x:c r="H1991" s="10" t="n">
        <x:f>ABS(G1991-F1991)</x:f>
        <x:v>14</x:v>
      </x:c>
      <x:c r="I1991" s="10" t="n">
        <x:f>G1991-F1991</x:f>
        <x:v>-14</x:v>
      </x:c>
    </x:row>
    <x:row r="1992" ht="20" customHeight="1">
      <x:c r="A1992" s="1" t="str">
        <x:v>22961</x:v>
      </x:c>
      <x:c r="B1992" s="10" t="n">
        <x:v>3</x:v>
      </x:c>
      <x:c r="C1992" s="9" t="d">
        <x:v>2011-11-16T00:00:00.000Z</x:v>
      </x:c>
      <x:c r="D1992" s="9" t="d">
        <x:v>2011-11-29T00:00:00.000Z</x:v>
      </x:c>
      <x:c r="E1992" s="1" t="str">
        <x:v>naive</x:v>
      </x:c>
      <x:c r="F1992" s="10" t="n">
        <x:v>60</x:v>
      </x:c>
      <x:c r="G1992" s="10" t="n">
        <x:v>38</x:v>
      </x:c>
      <x:c r="H1992" s="10" t="n">
        <x:f>ABS(G1992-F1992)</x:f>
        <x:v>22</x:v>
      </x:c>
      <x:c r="I1992" s="10" t="n">
        <x:f>G1992-F1992</x:f>
        <x:v>-22</x:v>
      </x:c>
    </x:row>
    <x:row r="1993" ht="20" customHeight="1">
      <x:c r="A1993" s="1" t="str">
        <x:v>22961</x:v>
      </x:c>
      <x:c r="B1993" s="10" t="n">
        <x:v>3</x:v>
      </x:c>
      <x:c r="C1993" s="9" t="d">
        <x:v>2011-11-16T00:00:00.000Z</x:v>
      </x:c>
      <x:c r="D1993" s="9" t="d">
        <x:v>2011-11-30T00:00:00.000Z</x:v>
      </x:c>
      <x:c r="E1993" s="1" t="str">
        <x:v>naive</x:v>
      </x:c>
      <x:c r="F1993" s="10" t="n">
        <x:v>72</x:v>
      </x:c>
      <x:c r="G1993" s="10" t="n">
        <x:v>38</x:v>
      </x:c>
      <x:c r="H1993" s="10" t="n">
        <x:f>ABS(G1993-F1993)</x:f>
        <x:v>34</x:v>
      </x:c>
      <x:c r="I1993" s="10" t="n">
        <x:f>G1993-F1993</x:f>
        <x:v>-34</x:v>
      </x:c>
    </x:row>
    <x:row r="1994" ht="20" customHeight="1">
      <x:c r="A1994" s="1" t="str">
        <x:v>22961</x:v>
      </x:c>
      <x:c r="B1994" s="10" t="n">
        <x:v>3</x:v>
      </x:c>
      <x:c r="C1994" s="9" t="d">
        <x:v>2011-11-16T00:00:00.000Z</x:v>
      </x:c>
      <x:c r="D1994" s="9" t="d">
        <x:v>2011-11-17T00:00:00.000Z</x:v>
      </x:c>
      <x:c r="E1994" s="1" t="str">
        <x:v>seasonal_naive</x:v>
      </x:c>
      <x:c r="F1994" s="10" t="n">
        <x:v>103</x:v>
      </x:c>
      <x:c r="G1994" s="10" t="n">
        <x:v>79</x:v>
      </x:c>
      <x:c r="H1994" s="10" t="n">
        <x:f>ABS(G1994-F1994)</x:f>
        <x:v>24</x:v>
      </x:c>
      <x:c r="I1994" s="10" t="n">
        <x:f>G1994-F1994</x:f>
        <x:v>-24</x:v>
      </x:c>
    </x:row>
    <x:row r="1995" ht="20" customHeight="1">
      <x:c r="A1995" s="1" t="str">
        <x:v>22961</x:v>
      </x:c>
      <x:c r="B1995" s="10" t="n">
        <x:v>3</x:v>
      </x:c>
      <x:c r="C1995" s="9" t="d">
        <x:v>2011-11-16T00:00:00.000Z</x:v>
      </x:c>
      <x:c r="D1995" s="9" t="d">
        <x:v>2011-11-18T00:00:00.000Z</x:v>
      </x:c>
      <x:c r="E1995" s="1" t="str">
        <x:v>seasonal_naive</x:v>
      </x:c>
      <x:c r="F1995" s="10" t="n">
        <x:v>38</x:v>
      </x:c>
      <x:c r="G1995" s="10" t="n">
        <x:v>8</x:v>
      </x:c>
      <x:c r="H1995" s="10" t="n">
        <x:f>ABS(G1995-F1995)</x:f>
        <x:v>30</x:v>
      </x:c>
      <x:c r="I1995" s="10" t="n">
        <x:f>G1995-F1995</x:f>
        <x:v>-30</x:v>
      </x:c>
    </x:row>
    <x:row r="1996" ht="20" customHeight="1">
      <x:c r="A1996" s="1" t="str">
        <x:v>22961</x:v>
      </x:c>
      <x:c r="B1996" s="10" t="n">
        <x:v>3</x:v>
      </x:c>
      <x:c r="C1996" s="9" t="d">
        <x:v>2011-11-16T00:00:00.000Z</x:v>
      </x:c>
      <x:c r="D1996" s="9" t="d">
        <x:v>2011-11-19T00:00:00.000Z</x:v>
      </x:c>
      <x:c r="E1996" s="1" t="str">
        <x:v>seasonal_naive</x:v>
      </x:c>
      <x:c r="F1996" s="10" t="n">
        <x:v>0</x:v>
      </x:c>
      <x:c r="G1996" s="10" t="n">
        <x:v>0</x:v>
      </x:c>
      <x:c r="H1996" s="10" t="n">
        <x:f>ABS(G1996-F1996)</x:f>
        <x:v>0</x:v>
      </x:c>
      <x:c r="I1996" s="10" t="n">
        <x:f>G1996-F1996</x:f>
        <x:v>0</x:v>
      </x:c>
    </x:row>
    <x:row r="1997" ht="20" customHeight="1">
      <x:c r="A1997" s="1" t="str">
        <x:v>22961</x:v>
      </x:c>
      <x:c r="B1997" s="10" t="n">
        <x:v>3</x:v>
      </x:c>
      <x:c r="C1997" s="9" t="d">
        <x:v>2011-11-16T00:00:00.000Z</x:v>
      </x:c>
      <x:c r="D1997" s="9" t="d">
        <x:v>2011-11-20T00:00:00.000Z</x:v>
      </x:c>
      <x:c r="E1997" s="1" t="str">
        <x:v>seasonal_naive</x:v>
      </x:c>
      <x:c r="F1997" s="10" t="n">
        <x:v>4</x:v>
      </x:c>
      <x:c r="G1997" s="10" t="n">
        <x:v>39</x:v>
      </x:c>
      <x:c r="H1997" s="10" t="n">
        <x:f>ABS(G1997-F1997)</x:f>
        <x:v>35</x:v>
      </x:c>
      <x:c r="I1997" s="10" t="n">
        <x:f>G1997-F1997</x:f>
        <x:v>35</x:v>
      </x:c>
    </x:row>
    <x:row r="1998" ht="20" customHeight="1">
      <x:c r="A1998" s="1" t="str">
        <x:v>22961</x:v>
      </x:c>
      <x:c r="B1998" s="10" t="n">
        <x:v>3</x:v>
      </x:c>
      <x:c r="C1998" s="9" t="d">
        <x:v>2011-11-16T00:00:00.000Z</x:v>
      </x:c>
      <x:c r="D1998" s="9" t="d">
        <x:v>2011-11-21T00:00:00.000Z</x:v>
      </x:c>
      <x:c r="E1998" s="1" t="str">
        <x:v>seasonal_naive</x:v>
      </x:c>
      <x:c r="F1998" s="10" t="n">
        <x:v>200</x:v>
      </x:c>
      <x:c r="G1998" s="10" t="n">
        <x:v>149</x:v>
      </x:c>
      <x:c r="H1998" s="10" t="n">
        <x:f>ABS(G1998-F1998)</x:f>
        <x:v>51</x:v>
      </x:c>
      <x:c r="I1998" s="10" t="n">
        <x:f>G1998-F1998</x:f>
        <x:v>-51</x:v>
      </x:c>
    </x:row>
    <x:row r="1999" ht="20" customHeight="1">
      <x:c r="A1999" s="1" t="str">
        <x:v>22961</x:v>
      </x:c>
      <x:c r="B1999" s="10" t="n">
        <x:v>3</x:v>
      </x:c>
      <x:c r="C1999" s="9" t="d">
        <x:v>2011-11-16T00:00:00.000Z</x:v>
      </x:c>
      <x:c r="D1999" s="9" t="d">
        <x:v>2011-11-22T00:00:00.000Z</x:v>
      </x:c>
      <x:c r="E1999" s="1" t="str">
        <x:v>seasonal_naive</x:v>
      </x:c>
      <x:c r="F1999" s="10" t="n">
        <x:v>17</x:v>
      </x:c>
      <x:c r="G1999" s="10" t="n">
        <x:v>23</x:v>
      </x:c>
      <x:c r="H1999" s="10" t="n">
        <x:f>ABS(G1999-F1999)</x:f>
        <x:v>6</x:v>
      </x:c>
      <x:c r="I1999" s="10" t="n">
        <x:f>G1999-F1999</x:f>
        <x:v>6</x:v>
      </x:c>
    </x:row>
    <x:row r="2000" ht="20" customHeight="1">
      <x:c r="A2000" s="1" t="str">
        <x:v>22961</x:v>
      </x:c>
      <x:c r="B2000" s="10" t="n">
        <x:v>3</x:v>
      </x:c>
      <x:c r="C2000" s="9" t="d">
        <x:v>2011-11-16T00:00:00.000Z</x:v>
      </x:c>
      <x:c r="D2000" s="9" t="d">
        <x:v>2011-11-23T00:00:00.000Z</x:v>
      </x:c>
      <x:c r="E2000" s="1" t="str">
        <x:v>seasonal_naive</x:v>
      </x:c>
      <x:c r="F2000" s="10" t="n">
        <x:v>163</x:v>
      </x:c>
      <x:c r="G2000" s="10" t="n">
        <x:v>38</x:v>
      </x:c>
      <x:c r="H2000" s="10" t="n">
        <x:f>ABS(G2000-F2000)</x:f>
        <x:v>125</x:v>
      </x:c>
      <x:c r="I2000" s="10" t="n">
        <x:f>G2000-F2000</x:f>
        <x:v>-125</x:v>
      </x:c>
    </x:row>
    <x:row r="2001" ht="20" customHeight="1">
      <x:c r="A2001" s="1" t="str">
        <x:v>22961</x:v>
      </x:c>
      <x:c r="B2001" s="10" t="n">
        <x:v>3</x:v>
      </x:c>
      <x:c r="C2001" s="9" t="d">
        <x:v>2011-11-16T00:00:00.000Z</x:v>
      </x:c>
      <x:c r="D2001" s="9" t="d">
        <x:v>2011-11-24T00:00:00.000Z</x:v>
      </x:c>
      <x:c r="E2001" s="1" t="str">
        <x:v>seasonal_naive</x:v>
      </x:c>
      <x:c r="F2001" s="10" t="n">
        <x:v>91</x:v>
      </x:c>
      <x:c r="G2001" s="10" t="n">
        <x:v>79</x:v>
      </x:c>
      <x:c r="H2001" s="10" t="n">
        <x:f>ABS(G2001-F2001)</x:f>
        <x:v>12</x:v>
      </x:c>
      <x:c r="I2001" s="10" t="n">
        <x:f>G2001-F2001</x:f>
        <x:v>-12</x:v>
      </x:c>
    </x:row>
    <x:row r="2002" ht="20" customHeight="1">
      <x:c r="A2002" s="1" t="str">
        <x:v>22961</x:v>
      </x:c>
      <x:c r="B2002" s="10" t="n">
        <x:v>3</x:v>
      </x:c>
      <x:c r="C2002" s="9" t="d">
        <x:v>2011-11-16T00:00:00.000Z</x:v>
      </x:c>
      <x:c r="D2002" s="9" t="d">
        <x:v>2011-11-25T00:00:00.000Z</x:v>
      </x:c>
      <x:c r="E2002" s="1" t="str">
        <x:v>seasonal_naive</x:v>
      </x:c>
      <x:c r="F2002" s="10" t="n">
        <x:v>35</x:v>
      </x:c>
      <x:c r="G2002" s="10" t="n">
        <x:v>8</x:v>
      </x:c>
      <x:c r="H2002" s="10" t="n">
        <x:f>ABS(G2002-F2002)</x:f>
        <x:v>27</x:v>
      </x:c>
      <x:c r="I2002" s="10" t="n">
        <x:f>G2002-F2002</x:f>
        <x:v>-27</x:v>
      </x:c>
    </x:row>
    <x:row r="2003" ht="20" customHeight="1">
      <x:c r="A2003" s="1" t="str">
        <x:v>22961</x:v>
      </x:c>
      <x:c r="B2003" s="10" t="n">
        <x:v>3</x:v>
      </x:c>
      <x:c r="C2003" s="9" t="d">
        <x:v>2011-11-16T00:00:00.000Z</x:v>
      </x:c>
      <x:c r="D2003" s="9" t="d">
        <x:v>2011-11-26T00:00:00.000Z</x:v>
      </x:c>
      <x:c r="E2003" s="1" t="str">
        <x:v>seasonal_naive</x:v>
      </x:c>
      <x:c r="F2003" s="10" t="n">
        <x:v>0</x:v>
      </x:c>
      <x:c r="G2003" s="10" t="n">
        <x:v>0</x:v>
      </x:c>
      <x:c r="H2003" s="10" t="n">
        <x:f>ABS(G2003-F2003)</x:f>
        <x:v>0</x:v>
      </x:c>
      <x:c r="I2003" s="10" t="n">
        <x:f>G2003-F2003</x:f>
        <x:v>0</x:v>
      </x:c>
    </x:row>
    <x:row r="2004" ht="20" customHeight="1">
      <x:c r="A2004" s="1" t="str">
        <x:v>22961</x:v>
      </x:c>
      <x:c r="B2004" s="10" t="n">
        <x:v>3</x:v>
      </x:c>
      <x:c r="C2004" s="9" t="d">
        <x:v>2011-11-16T00:00:00.000Z</x:v>
      </x:c>
      <x:c r="D2004" s="9" t="d">
        <x:v>2011-11-27T00:00:00.000Z</x:v>
      </x:c>
      <x:c r="E2004" s="1" t="str">
        <x:v>seasonal_naive</x:v>
      </x:c>
      <x:c r="F2004" s="10" t="n">
        <x:v>9</x:v>
      </x:c>
      <x:c r="G2004" s="10" t="n">
        <x:v>39</x:v>
      </x:c>
      <x:c r="H2004" s="10" t="n">
        <x:f>ABS(G2004-F2004)</x:f>
        <x:v>30</x:v>
      </x:c>
      <x:c r="I2004" s="10" t="n">
        <x:f>G2004-F2004</x:f>
        <x:v>30</x:v>
      </x:c>
    </x:row>
    <x:row r="2005" ht="20" customHeight="1">
      <x:c r="A2005" s="1" t="str">
        <x:v>22961</x:v>
      </x:c>
      <x:c r="B2005" s="10" t="n">
        <x:v>3</x:v>
      </x:c>
      <x:c r="C2005" s="9" t="d">
        <x:v>2011-11-16T00:00:00.000Z</x:v>
      </x:c>
      <x:c r="D2005" s="9" t="d">
        <x:v>2011-11-28T00:00:00.000Z</x:v>
      </x:c>
      <x:c r="E2005" s="1" t="str">
        <x:v>seasonal_naive</x:v>
      </x:c>
      <x:c r="F2005" s="10" t="n">
        <x:v>52</x:v>
      </x:c>
      <x:c r="G2005" s="10" t="n">
        <x:v>149</x:v>
      </x:c>
      <x:c r="H2005" s="10" t="n">
        <x:f>ABS(G2005-F2005)</x:f>
        <x:v>97</x:v>
      </x:c>
      <x:c r="I2005" s="10" t="n">
        <x:f>G2005-F2005</x:f>
        <x:v>97</x:v>
      </x:c>
    </x:row>
    <x:row r="2006" ht="20" customHeight="1">
      <x:c r="A2006" s="1" t="str">
        <x:v>22961</x:v>
      </x:c>
      <x:c r="B2006" s="10" t="n">
        <x:v>3</x:v>
      </x:c>
      <x:c r="C2006" s="9" t="d">
        <x:v>2011-11-16T00:00:00.000Z</x:v>
      </x:c>
      <x:c r="D2006" s="9" t="d">
        <x:v>2011-11-29T00:00:00.000Z</x:v>
      </x:c>
      <x:c r="E2006" s="1" t="str">
        <x:v>seasonal_naive</x:v>
      </x:c>
      <x:c r="F2006" s="10" t="n">
        <x:v>60</x:v>
      </x:c>
      <x:c r="G2006" s="10" t="n">
        <x:v>23</x:v>
      </x:c>
      <x:c r="H2006" s="10" t="n">
        <x:f>ABS(G2006-F2006)</x:f>
        <x:v>37</x:v>
      </x:c>
      <x:c r="I2006" s="10" t="n">
        <x:f>G2006-F2006</x:f>
        <x:v>-37</x:v>
      </x:c>
    </x:row>
    <x:row r="2007" ht="20" customHeight="1">
      <x:c r="A2007" s="1" t="str">
        <x:v>22961</x:v>
      </x:c>
      <x:c r="B2007" s="10" t="n">
        <x:v>3</x:v>
      </x:c>
      <x:c r="C2007" s="9" t="d">
        <x:v>2011-11-16T00:00:00.000Z</x:v>
      </x:c>
      <x:c r="D2007" s="9" t="d">
        <x:v>2011-11-30T00:00:00.000Z</x:v>
      </x:c>
      <x:c r="E2007" s="1" t="str">
        <x:v>seasonal_naive</x:v>
      </x:c>
      <x:c r="F2007" s="10" t="n">
        <x:v>72</x:v>
      </x:c>
      <x:c r="G2007" s="10" t="n">
        <x:v>38</x:v>
      </x:c>
      <x:c r="H2007" s="10" t="n">
        <x:f>ABS(G2007-F2007)</x:f>
        <x:v>34</x:v>
      </x:c>
      <x:c r="I2007" s="10" t="n">
        <x:f>G2007-F2007</x:f>
        <x:v>-34</x:v>
      </x:c>
    </x:row>
    <x:row r="2008" ht="20" customHeight="1">
      <x:c r="A2008" s="1" t="str">
        <x:v>22961</x:v>
      </x:c>
      <x:c r="B2008" s="10" t="n">
        <x:v>3</x:v>
      </x:c>
      <x:c r="C2008" s="9" t="d">
        <x:v>2011-11-16T00:00:00.000Z</x:v>
      </x:c>
      <x:c r="D2008" s="9" t="d">
        <x:v>2011-11-17T00:00:00.000Z</x:v>
      </x:c>
      <x:c r="E2008" s="1" t="str">
        <x:v>ridge</x:v>
      </x:c>
      <x:c r="F2008" s="10" t="n">
        <x:v>103</x:v>
      </x:c>
      <x:c r="G2008" s="10" t="n">
        <x:v>51.4959294569</x:v>
      </x:c>
      <x:c r="H2008" s="10" t="n">
        <x:f>ABS(G2008-F2008)</x:f>
        <x:v>51.5040705431</x:v>
      </x:c>
      <x:c r="I2008" s="10" t="n">
        <x:f>G2008-F2008</x:f>
        <x:v>-51.5040705431</x:v>
      </x:c>
    </x:row>
    <x:row r="2009" ht="20" customHeight="1">
      <x:c r="A2009" s="1" t="str">
        <x:v>22961</x:v>
      </x:c>
      <x:c r="B2009" s="10" t="n">
        <x:v>3</x:v>
      </x:c>
      <x:c r="C2009" s="9" t="d">
        <x:v>2011-11-16T00:00:00.000Z</x:v>
      </x:c>
      <x:c r="D2009" s="9" t="d">
        <x:v>2011-11-18T00:00:00.000Z</x:v>
      </x:c>
      <x:c r="E2009" s="1" t="str">
        <x:v>ridge</x:v>
      </x:c>
      <x:c r="F2009" s="10" t="n">
        <x:v>38</x:v>
      </x:c>
      <x:c r="G2009" s="10" t="n">
        <x:v>36.850365113</x:v>
      </x:c>
      <x:c r="H2009" s="10" t="n">
        <x:f>ABS(G2009-F2009)</x:f>
        <x:v>1.1496348869999977</x:v>
      </x:c>
      <x:c r="I2009" s="10" t="n">
        <x:f>G2009-F2009</x:f>
        <x:v>-1.1496348869999977</x:v>
      </x:c>
    </x:row>
    <x:row r="2010" ht="20" customHeight="1">
      <x:c r="A2010" s="1" t="str">
        <x:v>22961</x:v>
      </x:c>
      <x:c r="B2010" s="10" t="n">
        <x:v>3</x:v>
      </x:c>
      <x:c r="C2010" s="9" t="d">
        <x:v>2011-11-16T00:00:00.000Z</x:v>
      </x:c>
      <x:c r="D2010" s="9" t="d">
        <x:v>2011-11-19T00:00:00.000Z</x:v>
      </x:c>
      <x:c r="E2010" s="1" t="str">
        <x:v>ridge</x:v>
      </x:c>
      <x:c r="F2010" s="10" t="n">
        <x:v>0</x:v>
      </x:c>
      <x:c r="G2010" s="10" t="n">
        <x:v>29.458435148</x:v>
      </x:c>
      <x:c r="H2010" s="10" t="n">
        <x:f>ABS(G2010-F2010)</x:f>
        <x:v>29.458435148</x:v>
      </x:c>
      <x:c r="I2010" s="10" t="n">
        <x:f>G2010-F2010</x:f>
        <x:v>29.458435148</x:v>
      </x:c>
    </x:row>
    <x:row r="2011" ht="20" customHeight="1">
      <x:c r="A2011" s="1" t="str">
        <x:v>22961</x:v>
      </x:c>
      <x:c r="B2011" s="10" t="n">
        <x:v>3</x:v>
      </x:c>
      <x:c r="C2011" s="9" t="d">
        <x:v>2011-11-16T00:00:00.000Z</x:v>
      </x:c>
      <x:c r="D2011" s="9" t="d">
        <x:v>2011-11-20T00:00:00.000Z</x:v>
      </x:c>
      <x:c r="E2011" s="1" t="str">
        <x:v>ridge</x:v>
      </x:c>
      <x:c r="F2011" s="10" t="n">
        <x:v>4</x:v>
      </x:c>
      <x:c r="G2011" s="10" t="n">
        <x:v>32.0569340333</x:v>
      </x:c>
      <x:c r="H2011" s="10" t="n">
        <x:f>ABS(G2011-F2011)</x:f>
        <x:v>28.056934033300003</x:v>
      </x:c>
      <x:c r="I2011" s="10" t="n">
        <x:f>G2011-F2011</x:f>
        <x:v>28.056934033300003</x:v>
      </x:c>
    </x:row>
    <x:row r="2012" ht="20" customHeight="1">
      <x:c r="A2012" s="1" t="str">
        <x:v>22961</x:v>
      </x:c>
      <x:c r="B2012" s="10" t="n">
        <x:v>3</x:v>
      </x:c>
      <x:c r="C2012" s="9" t="d">
        <x:v>2011-11-16T00:00:00.000Z</x:v>
      </x:c>
      <x:c r="D2012" s="9" t="d">
        <x:v>2011-11-21T00:00:00.000Z</x:v>
      </x:c>
      <x:c r="E2012" s="1" t="str">
        <x:v>ridge</x:v>
      </x:c>
      <x:c r="F2012" s="10" t="n">
        <x:v>200</x:v>
      </x:c>
      <x:c r="G2012" s="10" t="n">
        <x:v>42.9060720358</x:v>
      </x:c>
      <x:c r="H2012" s="10" t="n">
        <x:f>ABS(G2012-F2012)</x:f>
        <x:v>157.0939279642</x:v>
      </x:c>
      <x:c r="I2012" s="10" t="n">
        <x:f>G2012-F2012</x:f>
        <x:v>-157.0939279642</x:v>
      </x:c>
    </x:row>
    <x:row r="2013" ht="20" customHeight="1">
      <x:c r="A2013" s="1" t="str">
        <x:v>22961</x:v>
      </x:c>
      <x:c r="B2013" s="10" t="n">
        <x:v>3</x:v>
      </x:c>
      <x:c r="C2013" s="9" t="d">
        <x:v>2011-11-16T00:00:00.000Z</x:v>
      </x:c>
      <x:c r="D2013" s="9" t="d">
        <x:v>2011-11-22T00:00:00.000Z</x:v>
      </x:c>
      <x:c r="E2013" s="1" t="str">
        <x:v>ridge</x:v>
      </x:c>
      <x:c r="F2013" s="10" t="n">
        <x:v>17</x:v>
      </x:c>
      <x:c r="G2013" s="10" t="n">
        <x:v>47.2718098028</x:v>
      </x:c>
      <x:c r="H2013" s="10" t="n">
        <x:f>ABS(G2013-F2013)</x:f>
        <x:v>30.2718098028</x:v>
      </x:c>
      <x:c r="I2013" s="10" t="n">
        <x:f>G2013-F2013</x:f>
        <x:v>30.2718098028</x:v>
      </x:c>
    </x:row>
    <x:row r="2014" ht="20" customHeight="1">
      <x:c r="A2014" s="1" t="str">
        <x:v>22961</x:v>
      </x:c>
      <x:c r="B2014" s="10" t="n">
        <x:v>3</x:v>
      </x:c>
      <x:c r="C2014" s="9" t="d">
        <x:v>2011-11-16T00:00:00.000Z</x:v>
      </x:c>
      <x:c r="D2014" s="9" t="d">
        <x:v>2011-11-23T00:00:00.000Z</x:v>
      </x:c>
      <x:c r="E2014" s="1" t="str">
        <x:v>ridge</x:v>
      </x:c>
      <x:c r="F2014" s="10" t="n">
        <x:v>163</x:v>
      </x:c>
      <x:c r="G2014" s="10" t="n">
        <x:v>53.2160653481</x:v>
      </x:c>
      <x:c r="H2014" s="10" t="n">
        <x:f>ABS(G2014-F2014)</x:f>
        <x:v>109.7839346519</x:v>
      </x:c>
      <x:c r="I2014" s="10" t="n">
        <x:f>G2014-F2014</x:f>
        <x:v>-109.7839346519</x:v>
      </x:c>
    </x:row>
    <x:row r="2015" ht="20" customHeight="1">
      <x:c r="A2015" s="1" t="str">
        <x:v>22961</x:v>
      </x:c>
      <x:c r="B2015" s="10" t="n">
        <x:v>3</x:v>
      </x:c>
      <x:c r="C2015" s="9" t="d">
        <x:v>2011-11-16T00:00:00.000Z</x:v>
      </x:c>
      <x:c r="D2015" s="9" t="d">
        <x:v>2011-11-24T00:00:00.000Z</x:v>
      </x:c>
      <x:c r="E2015" s="1" t="str">
        <x:v>ridge</x:v>
      </x:c>
      <x:c r="F2015" s="10" t="n">
        <x:v>91</x:v>
      </x:c>
      <x:c r="G2015" s="10" t="n">
        <x:v>48.2970613034</x:v>
      </x:c>
      <x:c r="H2015" s="10" t="n">
        <x:f>ABS(G2015-F2015)</x:f>
        <x:v>42.7029386966</x:v>
      </x:c>
      <x:c r="I2015" s="10" t="n">
        <x:f>G2015-F2015</x:f>
        <x:v>-42.7029386966</x:v>
      </x:c>
    </x:row>
    <x:row r="2016" ht="20" customHeight="1">
      <x:c r="A2016" s="1" t="str">
        <x:v>22961</x:v>
      </x:c>
      <x:c r="B2016" s="10" t="n">
        <x:v>3</x:v>
      </x:c>
      <x:c r="C2016" s="9" t="d">
        <x:v>2011-11-16T00:00:00.000Z</x:v>
      </x:c>
      <x:c r="D2016" s="9" t="d">
        <x:v>2011-11-25T00:00:00.000Z</x:v>
      </x:c>
      <x:c r="E2016" s="1" t="str">
        <x:v>ridge</x:v>
      </x:c>
      <x:c r="F2016" s="10" t="n">
        <x:v>35</x:v>
      </x:c>
      <x:c r="G2016" s="10" t="n">
        <x:v>36.2788548046</x:v>
      </x:c>
      <x:c r="H2016" s="10" t="n">
        <x:f>ABS(G2016-F2016)</x:f>
        <x:v>1.2788548046000017</x:v>
      </x:c>
      <x:c r="I2016" s="10" t="n">
        <x:f>G2016-F2016</x:f>
        <x:v>1.2788548046000017</x:v>
      </x:c>
    </x:row>
    <x:row r="2017" ht="20" customHeight="1">
      <x:c r="A2017" s="1" t="str">
        <x:v>22961</x:v>
      </x:c>
      <x:c r="B2017" s="10" t="n">
        <x:v>3</x:v>
      </x:c>
      <x:c r="C2017" s="9" t="d">
        <x:v>2011-11-16T00:00:00.000Z</x:v>
      </x:c>
      <x:c r="D2017" s="9" t="d">
        <x:v>2011-11-26T00:00:00.000Z</x:v>
      </x:c>
      <x:c r="E2017" s="1" t="str">
        <x:v>ridge</x:v>
      </x:c>
      <x:c r="F2017" s="10" t="n">
        <x:v>0</x:v>
      </x:c>
      <x:c r="G2017" s="10" t="n">
        <x:v>27.5393176588</x:v>
      </x:c>
      <x:c r="H2017" s="10" t="n">
        <x:f>ABS(G2017-F2017)</x:f>
        <x:v>27.5393176588</x:v>
      </x:c>
      <x:c r="I2017" s="10" t="n">
        <x:f>G2017-F2017</x:f>
        <x:v>27.5393176588</x:v>
      </x:c>
    </x:row>
    <x:row r="2018" ht="20" customHeight="1">
      <x:c r="A2018" s="1" t="str">
        <x:v>22961</x:v>
      </x:c>
      <x:c r="B2018" s="10" t="n">
        <x:v>3</x:v>
      </x:c>
      <x:c r="C2018" s="9" t="d">
        <x:v>2011-11-16T00:00:00.000Z</x:v>
      </x:c>
      <x:c r="D2018" s="9" t="d">
        <x:v>2011-11-27T00:00:00.000Z</x:v>
      </x:c>
      <x:c r="E2018" s="1" t="str">
        <x:v>ridge</x:v>
      </x:c>
      <x:c r="F2018" s="10" t="n">
        <x:v>9</x:v>
      </x:c>
      <x:c r="G2018" s="10" t="n">
        <x:v>28.268408613</x:v>
      </x:c>
      <x:c r="H2018" s="10" t="n">
        <x:f>ABS(G2018-F2018)</x:f>
        <x:v>19.268408613</x:v>
      </x:c>
      <x:c r="I2018" s="10" t="n">
        <x:f>G2018-F2018</x:f>
        <x:v>19.268408613</x:v>
      </x:c>
    </x:row>
    <x:row r="2019" ht="20" customHeight="1">
      <x:c r="A2019" s="1" t="str">
        <x:v>22961</x:v>
      </x:c>
      <x:c r="B2019" s="10" t="n">
        <x:v>3</x:v>
      </x:c>
      <x:c r="C2019" s="9" t="d">
        <x:v>2011-11-16T00:00:00.000Z</x:v>
      </x:c>
      <x:c r="D2019" s="9" t="d">
        <x:v>2011-11-28T00:00:00.000Z</x:v>
      </x:c>
      <x:c r="E2019" s="1" t="str">
        <x:v>ridge</x:v>
      </x:c>
      <x:c r="F2019" s="10" t="n">
        <x:v>52</x:v>
      </x:c>
      <x:c r="G2019" s="10" t="n">
        <x:v>37.9712482327</x:v>
      </x:c>
      <x:c r="H2019" s="10" t="n">
        <x:f>ABS(G2019-F2019)</x:f>
        <x:v>14.028751767300001</x:v>
      </x:c>
      <x:c r="I2019" s="10" t="n">
        <x:f>G2019-F2019</x:f>
        <x:v>-14.028751767300001</x:v>
      </x:c>
    </x:row>
    <x:row r="2020" ht="20" customHeight="1">
      <x:c r="A2020" s="1" t="str">
        <x:v>22961</x:v>
      </x:c>
      <x:c r="B2020" s="10" t="n">
        <x:v>3</x:v>
      </x:c>
      <x:c r="C2020" s="9" t="d">
        <x:v>2011-11-16T00:00:00.000Z</x:v>
      </x:c>
      <x:c r="D2020" s="9" t="d">
        <x:v>2011-11-29T00:00:00.000Z</x:v>
      </x:c>
      <x:c r="E2020" s="1" t="str">
        <x:v>ridge</x:v>
      </x:c>
      <x:c r="F2020" s="10" t="n">
        <x:v>60</x:v>
      </x:c>
      <x:c r="G2020" s="10" t="n">
        <x:v>48.9214200168</x:v>
      </x:c>
      <x:c r="H2020" s="10" t="n">
        <x:f>ABS(G2020-F2020)</x:f>
        <x:v>11.078579983200001</x:v>
      </x:c>
      <x:c r="I2020" s="10" t="n">
        <x:f>G2020-F2020</x:f>
        <x:v>-11.078579983200001</x:v>
      </x:c>
    </x:row>
    <x:row r="2021" ht="20" customHeight="1">
      <x:c r="A2021" s="1" t="str">
        <x:v>22961</x:v>
      </x:c>
      <x:c r="B2021" s="10" t="n">
        <x:v>3</x:v>
      </x:c>
      <x:c r="C2021" s="9" t="d">
        <x:v>2011-11-16T00:00:00.000Z</x:v>
      </x:c>
      <x:c r="D2021" s="9" t="d">
        <x:v>2011-11-30T00:00:00.000Z</x:v>
      </x:c>
      <x:c r="E2021" s="1" t="str">
        <x:v>ridge</x:v>
      </x:c>
      <x:c r="F2021" s="10" t="n">
        <x:v>72</x:v>
      </x:c>
      <x:c r="G2021" s="10" t="n">
        <x:v>53.6020262315</x:v>
      </x:c>
      <x:c r="H2021" s="10" t="n">
        <x:f>ABS(G2021-F2021)</x:f>
        <x:v>18.3979737685</x:v>
      </x:c>
      <x:c r="I2021" s="10" t="n">
        <x:f>G2021-F2021</x:f>
        <x:v>-18.3979737685</x:v>
      </x:c>
    </x:row>
    <x:row r="2022" ht="20" customHeight="1">
      <x:c r="A2022" s="1" t="str">
        <x:v>84378</x:v>
      </x:c>
      <x:c r="B2022" s="10" t="n">
        <x:v>1</x:v>
      </x:c>
      <x:c r="C2022" s="9" t="d">
        <x:v>2011-10-19T00:00:00.000Z</x:v>
      </x:c>
      <x:c r="D2022" s="9" t="d">
        <x:v>2011-10-20T00:00:00.000Z</x:v>
      </x:c>
      <x:c r="E2022" s="1" t="str">
        <x:v>naive</x:v>
      </x:c>
      <x:c r="F2022" s="10" t="n">
        <x:v>74</x:v>
      </x:c>
      <x:c r="G2022" s="10" t="n">
        <x:v>12</x:v>
      </x:c>
      <x:c r="H2022" s="10" t="n">
        <x:f>ABS(G2022-F2022)</x:f>
        <x:v>62</x:v>
      </x:c>
      <x:c r="I2022" s="10" t="n">
        <x:f>G2022-F2022</x:f>
        <x:v>-62</x:v>
      </x:c>
    </x:row>
    <x:row r="2023" ht="20" customHeight="1">
      <x:c r="A2023" s="1" t="str">
        <x:v>84378</x:v>
      </x:c>
      <x:c r="B2023" s="10" t="n">
        <x:v>1</x:v>
      </x:c>
      <x:c r="C2023" s="9" t="d">
        <x:v>2011-10-19T00:00:00.000Z</x:v>
      </x:c>
      <x:c r="D2023" s="9" t="d">
        <x:v>2011-10-21T00:00:00.000Z</x:v>
      </x:c>
      <x:c r="E2023" s="1" t="str">
        <x:v>naive</x:v>
      </x:c>
      <x:c r="F2023" s="10" t="n">
        <x:v>157</x:v>
      </x:c>
      <x:c r="G2023" s="10" t="n">
        <x:v>12</x:v>
      </x:c>
      <x:c r="H2023" s="10" t="n">
        <x:f>ABS(G2023-F2023)</x:f>
        <x:v>145</x:v>
      </x:c>
      <x:c r="I2023" s="10" t="n">
        <x:f>G2023-F2023</x:f>
        <x:v>-145</x:v>
      </x:c>
    </x:row>
    <x:row r="2024" ht="20" customHeight="1">
      <x:c r="A2024" s="1" t="str">
        <x:v>84378</x:v>
      </x:c>
      <x:c r="B2024" s="10" t="n">
        <x:v>1</x:v>
      </x:c>
      <x:c r="C2024" s="9" t="d">
        <x:v>2011-10-19T00:00:00.000Z</x:v>
      </x:c>
      <x:c r="D2024" s="9" t="d">
        <x:v>2011-10-22T00:00:00.000Z</x:v>
      </x:c>
      <x:c r="E2024" s="1" t="str">
        <x:v>naive</x:v>
      </x:c>
      <x:c r="F2024" s="10" t="n">
        <x:v>0</x:v>
      </x:c>
      <x:c r="G2024" s="10" t="n">
        <x:v>12</x:v>
      </x:c>
      <x:c r="H2024" s="10" t="n">
        <x:f>ABS(G2024-F2024)</x:f>
        <x:v>12</x:v>
      </x:c>
      <x:c r="I2024" s="10" t="n">
        <x:f>G2024-F2024</x:f>
        <x:v>12</x:v>
      </x:c>
    </x:row>
    <x:row r="2025" ht="20" customHeight="1">
      <x:c r="A2025" s="1" t="str">
        <x:v>84378</x:v>
      </x:c>
      <x:c r="B2025" s="10" t="n">
        <x:v>1</x:v>
      </x:c>
      <x:c r="C2025" s="9" t="d">
        <x:v>2011-10-19T00:00:00.000Z</x:v>
      </x:c>
      <x:c r="D2025" s="9" t="d">
        <x:v>2011-10-23T00:00:00.000Z</x:v>
      </x:c>
      <x:c r="E2025" s="1" t="str">
        <x:v>naive</x:v>
      </x:c>
      <x:c r="F2025" s="10" t="n">
        <x:v>4</x:v>
      </x:c>
      <x:c r="G2025" s="10" t="n">
        <x:v>12</x:v>
      </x:c>
      <x:c r="H2025" s="10" t="n">
        <x:f>ABS(G2025-F2025)</x:f>
        <x:v>8</x:v>
      </x:c>
      <x:c r="I2025" s="10" t="n">
        <x:f>G2025-F2025</x:f>
        <x:v>8</x:v>
      </x:c>
    </x:row>
    <x:row r="2026" ht="20" customHeight="1">
      <x:c r="A2026" s="1" t="str">
        <x:v>84378</x:v>
      </x:c>
      <x:c r="B2026" s="10" t="n">
        <x:v>1</x:v>
      </x:c>
      <x:c r="C2026" s="9" t="d">
        <x:v>2011-10-19T00:00:00.000Z</x:v>
      </x:c>
      <x:c r="D2026" s="9" t="d">
        <x:v>2011-10-24T00:00:00.000Z</x:v>
      </x:c>
      <x:c r="E2026" s="1" t="str">
        <x:v>naive</x:v>
      </x:c>
      <x:c r="F2026" s="10" t="n">
        <x:v>6</x:v>
      </x:c>
      <x:c r="G2026" s="10" t="n">
        <x:v>12</x:v>
      </x:c>
      <x:c r="H2026" s="10" t="n">
        <x:f>ABS(G2026-F2026)</x:f>
        <x:v>6</x:v>
      </x:c>
      <x:c r="I2026" s="10" t="n">
        <x:f>G2026-F2026</x:f>
        <x:v>6</x:v>
      </x:c>
    </x:row>
    <x:row r="2027" ht="20" customHeight="1">
      <x:c r="A2027" s="1" t="str">
        <x:v>84378</x:v>
      </x:c>
      <x:c r="B2027" s="10" t="n">
        <x:v>1</x:v>
      </x:c>
      <x:c r="C2027" s="9" t="d">
        <x:v>2011-10-19T00:00:00.000Z</x:v>
      </x:c>
      <x:c r="D2027" s="9" t="d">
        <x:v>2011-10-25T00:00:00.000Z</x:v>
      </x:c>
      <x:c r="E2027" s="1" t="str">
        <x:v>naive</x:v>
      </x:c>
      <x:c r="F2027" s="10" t="n">
        <x:v>4</x:v>
      </x:c>
      <x:c r="G2027" s="10" t="n">
        <x:v>12</x:v>
      </x:c>
      <x:c r="H2027" s="10" t="n">
        <x:f>ABS(G2027-F2027)</x:f>
        <x:v>8</x:v>
      </x:c>
      <x:c r="I2027" s="10" t="n">
        <x:f>G2027-F2027</x:f>
        <x:v>8</x:v>
      </x:c>
    </x:row>
    <x:row r="2028" ht="20" customHeight="1">
      <x:c r="A2028" s="1" t="str">
        <x:v>84378</x:v>
      </x:c>
      <x:c r="B2028" s="10" t="n">
        <x:v>1</x:v>
      </x:c>
      <x:c r="C2028" s="9" t="d">
        <x:v>2011-10-19T00:00:00.000Z</x:v>
      </x:c>
      <x:c r="D2028" s="9" t="d">
        <x:v>2011-10-26T00:00:00.000Z</x:v>
      </x:c>
      <x:c r="E2028" s="1" t="str">
        <x:v>naive</x:v>
      </x:c>
      <x:c r="F2028" s="10" t="n">
        <x:v>16</x:v>
      </x:c>
      <x:c r="G2028" s="10" t="n">
        <x:v>12</x:v>
      </x:c>
      <x:c r="H2028" s="10" t="n">
        <x:f>ABS(G2028-F2028)</x:f>
        <x:v>4</x:v>
      </x:c>
      <x:c r="I2028" s="10" t="n">
        <x:f>G2028-F2028</x:f>
        <x:v>-4</x:v>
      </x:c>
    </x:row>
    <x:row r="2029" ht="20" customHeight="1">
      <x:c r="A2029" s="1" t="str">
        <x:v>84378</x:v>
      </x:c>
      <x:c r="B2029" s="10" t="n">
        <x:v>1</x:v>
      </x:c>
      <x:c r="C2029" s="9" t="d">
        <x:v>2011-10-19T00:00:00.000Z</x:v>
      </x:c>
      <x:c r="D2029" s="9" t="d">
        <x:v>2011-10-27T00:00:00.000Z</x:v>
      </x:c>
      <x:c r="E2029" s="1" t="str">
        <x:v>naive</x:v>
      </x:c>
      <x:c r="F2029" s="10" t="n">
        <x:v>15</x:v>
      </x:c>
      <x:c r="G2029" s="10" t="n">
        <x:v>12</x:v>
      </x:c>
      <x:c r="H2029" s="10" t="n">
        <x:f>ABS(G2029-F2029)</x:f>
        <x:v>3</x:v>
      </x:c>
      <x:c r="I2029" s="10" t="n">
        <x:f>G2029-F2029</x:f>
        <x:v>-3</x:v>
      </x:c>
    </x:row>
    <x:row r="2030" ht="20" customHeight="1">
      <x:c r="A2030" s="1" t="str">
        <x:v>84378</x:v>
      </x:c>
      <x:c r="B2030" s="10" t="n">
        <x:v>1</x:v>
      </x:c>
      <x:c r="C2030" s="9" t="d">
        <x:v>2011-10-19T00:00:00.000Z</x:v>
      </x:c>
      <x:c r="D2030" s="9" t="d">
        <x:v>2011-10-28T00:00:00.000Z</x:v>
      </x:c>
      <x:c r="E2030" s="1" t="str">
        <x:v>naive</x:v>
      </x:c>
      <x:c r="F2030" s="10" t="n">
        <x:v>60</x:v>
      </x:c>
      <x:c r="G2030" s="10" t="n">
        <x:v>12</x:v>
      </x:c>
      <x:c r="H2030" s="10" t="n">
        <x:f>ABS(G2030-F2030)</x:f>
        <x:v>48</x:v>
      </x:c>
      <x:c r="I2030" s="10" t="n">
        <x:f>G2030-F2030</x:f>
        <x:v>-48</x:v>
      </x:c>
    </x:row>
    <x:row r="2031" ht="20" customHeight="1">
      <x:c r="A2031" s="1" t="str">
        <x:v>84378</x:v>
      </x:c>
      <x:c r="B2031" s="10" t="n">
        <x:v>1</x:v>
      </x:c>
      <x:c r="C2031" s="9" t="d">
        <x:v>2011-10-19T00:00:00.000Z</x:v>
      </x:c>
      <x:c r="D2031" s="9" t="d">
        <x:v>2011-10-29T00:00:00.000Z</x:v>
      </x:c>
      <x:c r="E2031" s="1" t="str">
        <x:v>naive</x:v>
      </x:c>
      <x:c r="F2031" s="10" t="n">
        <x:v>0</x:v>
      </x:c>
      <x:c r="G2031" s="10" t="n">
        <x:v>12</x:v>
      </x:c>
      <x:c r="H2031" s="10" t="n">
        <x:f>ABS(G2031-F2031)</x:f>
        <x:v>12</x:v>
      </x:c>
      <x:c r="I2031" s="10" t="n">
        <x:f>G2031-F2031</x:f>
        <x:v>12</x:v>
      </x:c>
    </x:row>
    <x:row r="2032" ht="20" customHeight="1">
      <x:c r="A2032" s="1" t="str">
        <x:v>84378</x:v>
      </x:c>
      <x:c r="B2032" s="10" t="n">
        <x:v>1</x:v>
      </x:c>
      <x:c r="C2032" s="9" t="d">
        <x:v>2011-10-19T00:00:00.000Z</x:v>
      </x:c>
      <x:c r="D2032" s="9" t="d">
        <x:v>2011-10-30T00:00:00.000Z</x:v>
      </x:c>
      <x:c r="E2032" s="1" t="str">
        <x:v>naive</x:v>
      </x:c>
      <x:c r="F2032" s="10" t="n">
        <x:v>2</x:v>
      </x:c>
      <x:c r="G2032" s="10" t="n">
        <x:v>12</x:v>
      </x:c>
      <x:c r="H2032" s="10" t="n">
        <x:f>ABS(G2032-F2032)</x:f>
        <x:v>10</x:v>
      </x:c>
      <x:c r="I2032" s="10" t="n">
        <x:f>G2032-F2032</x:f>
        <x:v>10</x:v>
      </x:c>
    </x:row>
    <x:row r="2033" ht="20" customHeight="1">
      <x:c r="A2033" s="1" t="str">
        <x:v>84378</x:v>
      </x:c>
      <x:c r="B2033" s="10" t="n">
        <x:v>1</x:v>
      </x:c>
      <x:c r="C2033" s="9" t="d">
        <x:v>2011-10-19T00:00:00.000Z</x:v>
      </x:c>
      <x:c r="D2033" s="9" t="d">
        <x:v>2011-10-31T00:00:00.000Z</x:v>
      </x:c>
      <x:c r="E2033" s="1" t="str">
        <x:v>naive</x:v>
      </x:c>
      <x:c r="F2033" s="10" t="n">
        <x:v>6</x:v>
      </x:c>
      <x:c r="G2033" s="10" t="n">
        <x:v>12</x:v>
      </x:c>
      <x:c r="H2033" s="10" t="n">
        <x:f>ABS(G2033-F2033)</x:f>
        <x:v>6</x:v>
      </x:c>
      <x:c r="I2033" s="10" t="n">
        <x:f>G2033-F2033</x:f>
        <x:v>6</x:v>
      </x:c>
    </x:row>
    <x:row r="2034" ht="20" customHeight="1">
      <x:c r="A2034" s="1" t="str">
        <x:v>84378</x:v>
      </x:c>
      <x:c r="B2034" s="10" t="n">
        <x:v>1</x:v>
      </x:c>
      <x:c r="C2034" s="9" t="d">
        <x:v>2011-10-19T00:00:00.000Z</x:v>
      </x:c>
      <x:c r="D2034" s="9" t="d">
        <x:v>2011-11-01T00:00:00.000Z</x:v>
      </x:c>
      <x:c r="E2034" s="1" t="str">
        <x:v>naive</x:v>
      </x:c>
      <x:c r="F2034" s="10" t="n">
        <x:v>0</x:v>
      </x:c>
      <x:c r="G2034" s="10" t="n">
        <x:v>12</x:v>
      </x:c>
      <x:c r="H2034" s="10" t="n">
        <x:f>ABS(G2034-F2034)</x:f>
        <x:v>12</x:v>
      </x:c>
      <x:c r="I2034" s="10" t="n">
        <x:f>G2034-F2034</x:f>
        <x:v>12</x:v>
      </x:c>
    </x:row>
    <x:row r="2035" ht="20" customHeight="1">
      <x:c r="A2035" s="1" t="str">
        <x:v>84378</x:v>
      </x:c>
      <x:c r="B2035" s="10" t="n">
        <x:v>1</x:v>
      </x:c>
      <x:c r="C2035" s="9" t="d">
        <x:v>2011-10-19T00:00:00.000Z</x:v>
      </x:c>
      <x:c r="D2035" s="9" t="d">
        <x:v>2011-11-02T00:00:00.000Z</x:v>
      </x:c>
      <x:c r="E2035" s="1" t="str">
        <x:v>naive</x:v>
      </x:c>
      <x:c r="F2035" s="10" t="n">
        <x:v>3</x:v>
      </x:c>
      <x:c r="G2035" s="10" t="n">
        <x:v>12</x:v>
      </x:c>
      <x:c r="H2035" s="10" t="n">
        <x:f>ABS(G2035-F2035)</x:f>
        <x:v>9</x:v>
      </x:c>
      <x:c r="I2035" s="10" t="n">
        <x:f>G2035-F2035</x:f>
        <x:v>9</x:v>
      </x:c>
    </x:row>
    <x:row r="2036" ht="20" customHeight="1">
      <x:c r="A2036" s="1" t="str">
        <x:v>84378</x:v>
      </x:c>
      <x:c r="B2036" s="10" t="n">
        <x:v>1</x:v>
      </x:c>
      <x:c r="C2036" s="9" t="d">
        <x:v>2011-10-19T00:00:00.000Z</x:v>
      </x:c>
      <x:c r="D2036" s="9" t="d">
        <x:v>2011-10-20T00:00:00.000Z</x:v>
      </x:c>
      <x:c r="E2036" s="1" t="str">
        <x:v>seasonal_naive</x:v>
      </x:c>
      <x:c r="F2036" s="10" t="n">
        <x:v>74</x:v>
      </x:c>
      <x:c r="G2036" s="10" t="n">
        <x:v>36</x:v>
      </x:c>
      <x:c r="H2036" s="10" t="n">
        <x:f>ABS(G2036-F2036)</x:f>
        <x:v>38</x:v>
      </x:c>
      <x:c r="I2036" s="10" t="n">
        <x:f>G2036-F2036</x:f>
        <x:v>-38</x:v>
      </x:c>
    </x:row>
    <x:row r="2037" ht="20" customHeight="1">
      <x:c r="A2037" s="1" t="str">
        <x:v>84378</x:v>
      </x:c>
      <x:c r="B2037" s="10" t="n">
        <x:v>1</x:v>
      </x:c>
      <x:c r="C2037" s="9" t="d">
        <x:v>2011-10-19T00:00:00.000Z</x:v>
      </x:c>
      <x:c r="D2037" s="9" t="d">
        <x:v>2011-10-21T00:00:00.000Z</x:v>
      </x:c>
      <x:c r="E2037" s="1" t="str">
        <x:v>seasonal_naive</x:v>
      </x:c>
      <x:c r="F2037" s="10" t="n">
        <x:v>157</x:v>
      </x:c>
      <x:c r="G2037" s="10" t="n">
        <x:v>14</x:v>
      </x:c>
      <x:c r="H2037" s="10" t="n">
        <x:f>ABS(G2037-F2037)</x:f>
        <x:v>143</x:v>
      </x:c>
      <x:c r="I2037" s="10" t="n">
        <x:f>G2037-F2037</x:f>
        <x:v>-143</x:v>
      </x:c>
    </x:row>
    <x:row r="2038" ht="20" customHeight="1">
      <x:c r="A2038" s="1" t="str">
        <x:v>84378</x:v>
      </x:c>
      <x:c r="B2038" s="10" t="n">
        <x:v>1</x:v>
      </x:c>
      <x:c r="C2038" s="9" t="d">
        <x:v>2011-10-19T00:00:00.000Z</x:v>
      </x:c>
      <x:c r="D2038" s="9" t="d">
        <x:v>2011-10-22T00:00:00.000Z</x:v>
      </x:c>
      <x:c r="E2038" s="1" t="str">
        <x:v>seasonal_naive</x:v>
      </x:c>
      <x:c r="F2038" s="10" t="n">
        <x:v>0</x:v>
      </x:c>
      <x:c r="G2038" s="10" t="n">
        <x:v>0</x:v>
      </x:c>
      <x:c r="H2038" s="10" t="n">
        <x:f>ABS(G2038-F2038)</x:f>
        <x:v>0</x:v>
      </x:c>
      <x:c r="I2038" s="10" t="n">
        <x:f>G2038-F2038</x:f>
        <x:v>0</x:v>
      </x:c>
    </x:row>
    <x:row r="2039" ht="20" customHeight="1">
      <x:c r="A2039" s="1" t="str">
        <x:v>84378</x:v>
      </x:c>
      <x:c r="B2039" s="10" t="n">
        <x:v>1</x:v>
      </x:c>
      <x:c r="C2039" s="9" t="d">
        <x:v>2011-10-19T00:00:00.000Z</x:v>
      </x:c>
      <x:c r="D2039" s="9" t="d">
        <x:v>2011-10-23T00:00:00.000Z</x:v>
      </x:c>
      <x:c r="E2039" s="1" t="str">
        <x:v>seasonal_naive</x:v>
      </x:c>
      <x:c r="F2039" s="10" t="n">
        <x:v>4</x:v>
      </x:c>
      <x:c r="G2039" s="10" t="n">
        <x:v>13</x:v>
      </x:c>
      <x:c r="H2039" s="10" t="n">
        <x:f>ABS(G2039-F2039)</x:f>
        <x:v>9</x:v>
      </x:c>
      <x:c r="I2039" s="10" t="n">
        <x:f>G2039-F2039</x:f>
        <x:v>9</x:v>
      </x:c>
    </x:row>
    <x:row r="2040" ht="20" customHeight="1">
      <x:c r="A2040" s="1" t="str">
        <x:v>84378</x:v>
      </x:c>
      <x:c r="B2040" s="10" t="n">
        <x:v>1</x:v>
      </x:c>
      <x:c r="C2040" s="9" t="d">
        <x:v>2011-10-19T00:00:00.000Z</x:v>
      </x:c>
      <x:c r="D2040" s="9" t="d">
        <x:v>2011-10-24T00:00:00.000Z</x:v>
      </x:c>
      <x:c r="E2040" s="1" t="str">
        <x:v>seasonal_naive</x:v>
      </x:c>
      <x:c r="F2040" s="10" t="n">
        <x:v>6</x:v>
      </x:c>
      <x:c r="G2040" s="10" t="n">
        <x:v>1</x:v>
      </x:c>
      <x:c r="H2040" s="10" t="n">
        <x:f>ABS(G2040-F2040)</x:f>
        <x:v>5</x:v>
      </x:c>
      <x:c r="I2040" s="10" t="n">
        <x:f>G2040-F2040</x:f>
        <x:v>-5</x:v>
      </x:c>
    </x:row>
    <x:row r="2041" ht="20" customHeight="1">
      <x:c r="A2041" s="1" t="str">
        <x:v>84378</x:v>
      </x:c>
      <x:c r="B2041" s="10" t="n">
        <x:v>1</x:v>
      </x:c>
      <x:c r="C2041" s="9" t="d">
        <x:v>2011-10-19T00:00:00.000Z</x:v>
      </x:c>
      <x:c r="D2041" s="9" t="d">
        <x:v>2011-10-25T00:00:00.000Z</x:v>
      </x:c>
      <x:c r="E2041" s="1" t="str">
        <x:v>seasonal_naive</x:v>
      </x:c>
      <x:c r="F2041" s="10" t="n">
        <x:v>4</x:v>
      </x:c>
      <x:c r="G2041" s="10" t="n">
        <x:v>72</x:v>
      </x:c>
      <x:c r="H2041" s="10" t="n">
        <x:f>ABS(G2041-F2041)</x:f>
        <x:v>68</x:v>
      </x:c>
      <x:c r="I2041" s="10" t="n">
        <x:f>G2041-F2041</x:f>
        <x:v>68</x:v>
      </x:c>
    </x:row>
    <x:row r="2042" ht="20" customHeight="1">
      <x:c r="A2042" s="1" t="str">
        <x:v>84378</x:v>
      </x:c>
      <x:c r="B2042" s="10" t="n">
        <x:v>1</x:v>
      </x:c>
      <x:c r="C2042" s="9" t="d">
        <x:v>2011-10-19T00:00:00.000Z</x:v>
      </x:c>
      <x:c r="D2042" s="9" t="d">
        <x:v>2011-10-26T00:00:00.000Z</x:v>
      </x:c>
      <x:c r="E2042" s="1" t="str">
        <x:v>seasonal_naive</x:v>
      </x:c>
      <x:c r="F2042" s="10" t="n">
        <x:v>16</x:v>
      </x:c>
      <x:c r="G2042" s="10" t="n">
        <x:v>12</x:v>
      </x:c>
      <x:c r="H2042" s="10" t="n">
        <x:f>ABS(G2042-F2042)</x:f>
        <x:v>4</x:v>
      </x:c>
      <x:c r="I2042" s="10" t="n">
        <x:f>G2042-F2042</x:f>
        <x:v>-4</x:v>
      </x:c>
    </x:row>
    <x:row r="2043" ht="20" customHeight="1">
      <x:c r="A2043" s="1" t="str">
        <x:v>84378</x:v>
      </x:c>
      <x:c r="B2043" s="10" t="n">
        <x:v>1</x:v>
      </x:c>
      <x:c r="C2043" s="9" t="d">
        <x:v>2011-10-19T00:00:00.000Z</x:v>
      </x:c>
      <x:c r="D2043" s="9" t="d">
        <x:v>2011-10-27T00:00:00.000Z</x:v>
      </x:c>
      <x:c r="E2043" s="1" t="str">
        <x:v>seasonal_naive</x:v>
      </x:c>
      <x:c r="F2043" s="10" t="n">
        <x:v>15</x:v>
      </x:c>
      <x:c r="G2043" s="10" t="n">
        <x:v>36</x:v>
      </x:c>
      <x:c r="H2043" s="10" t="n">
        <x:f>ABS(G2043-F2043)</x:f>
        <x:v>21</x:v>
      </x:c>
      <x:c r="I2043" s="10" t="n">
        <x:f>G2043-F2043</x:f>
        <x:v>21</x:v>
      </x:c>
    </x:row>
    <x:row r="2044" ht="20" customHeight="1">
      <x:c r="A2044" s="1" t="str">
        <x:v>84378</x:v>
      </x:c>
      <x:c r="B2044" s="10" t="n">
        <x:v>1</x:v>
      </x:c>
      <x:c r="C2044" s="9" t="d">
        <x:v>2011-10-19T00:00:00.000Z</x:v>
      </x:c>
      <x:c r="D2044" s="9" t="d">
        <x:v>2011-10-28T00:00:00.000Z</x:v>
      </x:c>
      <x:c r="E2044" s="1" t="str">
        <x:v>seasonal_naive</x:v>
      </x:c>
      <x:c r="F2044" s="10" t="n">
        <x:v>60</x:v>
      </x:c>
      <x:c r="G2044" s="10" t="n">
        <x:v>14</x:v>
      </x:c>
      <x:c r="H2044" s="10" t="n">
        <x:f>ABS(G2044-F2044)</x:f>
        <x:v>46</x:v>
      </x:c>
      <x:c r="I2044" s="10" t="n">
        <x:f>G2044-F2044</x:f>
        <x:v>-46</x:v>
      </x:c>
    </x:row>
    <x:row r="2045" ht="20" customHeight="1">
      <x:c r="A2045" s="1" t="str">
        <x:v>84378</x:v>
      </x:c>
      <x:c r="B2045" s="10" t="n">
        <x:v>1</x:v>
      </x:c>
      <x:c r="C2045" s="9" t="d">
        <x:v>2011-10-19T00:00:00.000Z</x:v>
      </x:c>
      <x:c r="D2045" s="9" t="d">
        <x:v>2011-10-29T00:00:00.000Z</x:v>
      </x:c>
      <x:c r="E2045" s="1" t="str">
        <x:v>seasonal_naive</x:v>
      </x:c>
      <x:c r="F2045" s="10" t="n">
        <x:v>0</x:v>
      </x:c>
      <x:c r="G2045" s="10" t="n">
        <x:v>0</x:v>
      </x:c>
      <x:c r="H2045" s="10" t="n">
        <x:f>ABS(G2045-F2045)</x:f>
        <x:v>0</x:v>
      </x:c>
      <x:c r="I2045" s="10" t="n">
        <x:f>G2045-F2045</x:f>
        <x:v>0</x:v>
      </x:c>
    </x:row>
    <x:row r="2046" ht="20" customHeight="1">
      <x:c r="A2046" s="1" t="str">
        <x:v>84378</x:v>
      </x:c>
      <x:c r="B2046" s="10" t="n">
        <x:v>1</x:v>
      </x:c>
      <x:c r="C2046" s="9" t="d">
        <x:v>2011-10-19T00:00:00.000Z</x:v>
      </x:c>
      <x:c r="D2046" s="9" t="d">
        <x:v>2011-10-30T00:00:00.000Z</x:v>
      </x:c>
      <x:c r="E2046" s="1" t="str">
        <x:v>seasonal_naive</x:v>
      </x:c>
      <x:c r="F2046" s="10" t="n">
        <x:v>2</x:v>
      </x:c>
      <x:c r="G2046" s="10" t="n">
        <x:v>13</x:v>
      </x:c>
      <x:c r="H2046" s="10" t="n">
        <x:f>ABS(G2046-F2046)</x:f>
        <x:v>11</x:v>
      </x:c>
      <x:c r="I2046" s="10" t="n">
        <x:f>G2046-F2046</x:f>
        <x:v>11</x:v>
      </x:c>
    </x:row>
    <x:row r="2047" ht="20" customHeight="1">
      <x:c r="A2047" s="1" t="str">
        <x:v>84378</x:v>
      </x:c>
      <x:c r="B2047" s="10" t="n">
        <x:v>1</x:v>
      </x:c>
      <x:c r="C2047" s="9" t="d">
        <x:v>2011-10-19T00:00:00.000Z</x:v>
      </x:c>
      <x:c r="D2047" s="9" t="d">
        <x:v>2011-10-31T00:00:00.000Z</x:v>
      </x:c>
      <x:c r="E2047" s="1" t="str">
        <x:v>seasonal_naive</x:v>
      </x:c>
      <x:c r="F2047" s="10" t="n">
        <x:v>6</x:v>
      </x:c>
      <x:c r="G2047" s="10" t="n">
        <x:v>1</x:v>
      </x:c>
      <x:c r="H2047" s="10" t="n">
        <x:f>ABS(G2047-F2047)</x:f>
        <x:v>5</x:v>
      </x:c>
      <x:c r="I2047" s="10" t="n">
        <x:f>G2047-F2047</x:f>
        <x:v>-5</x:v>
      </x:c>
    </x:row>
    <x:row r="2048" ht="20" customHeight="1">
      <x:c r="A2048" s="1" t="str">
        <x:v>84378</x:v>
      </x:c>
      <x:c r="B2048" s="10" t="n">
        <x:v>1</x:v>
      </x:c>
      <x:c r="C2048" s="9" t="d">
        <x:v>2011-10-19T00:00:00.000Z</x:v>
      </x:c>
      <x:c r="D2048" s="9" t="d">
        <x:v>2011-11-01T00:00:00.000Z</x:v>
      </x:c>
      <x:c r="E2048" s="1" t="str">
        <x:v>seasonal_naive</x:v>
      </x:c>
      <x:c r="F2048" s="10" t="n">
        <x:v>0</x:v>
      </x:c>
      <x:c r="G2048" s="10" t="n">
        <x:v>72</x:v>
      </x:c>
      <x:c r="H2048" s="10" t="n">
        <x:f>ABS(G2048-F2048)</x:f>
        <x:v>72</x:v>
      </x:c>
      <x:c r="I2048" s="10" t="n">
        <x:f>G2048-F2048</x:f>
        <x:v>72</x:v>
      </x:c>
    </x:row>
    <x:row r="2049" ht="20" customHeight="1">
      <x:c r="A2049" s="1" t="str">
        <x:v>84378</x:v>
      </x:c>
      <x:c r="B2049" s="10" t="n">
        <x:v>1</x:v>
      </x:c>
      <x:c r="C2049" s="9" t="d">
        <x:v>2011-10-19T00:00:00.000Z</x:v>
      </x:c>
      <x:c r="D2049" s="9" t="d">
        <x:v>2011-11-02T00:00:00.000Z</x:v>
      </x:c>
      <x:c r="E2049" s="1" t="str">
        <x:v>seasonal_naive</x:v>
      </x:c>
      <x:c r="F2049" s="10" t="n">
        <x:v>3</x:v>
      </x:c>
      <x:c r="G2049" s="10" t="n">
        <x:v>12</x:v>
      </x:c>
      <x:c r="H2049" s="10" t="n">
        <x:f>ABS(G2049-F2049)</x:f>
        <x:v>9</x:v>
      </x:c>
      <x:c r="I2049" s="10" t="n">
        <x:f>G2049-F2049</x:f>
        <x:v>9</x:v>
      </x:c>
    </x:row>
    <x:row r="2050" ht="20" customHeight="1">
      <x:c r="A2050" s="1" t="str">
        <x:v>84378</x:v>
      </x:c>
      <x:c r="B2050" s="10" t="n">
        <x:v>1</x:v>
      </x:c>
      <x:c r="C2050" s="9" t="d">
        <x:v>2011-10-19T00:00:00.000Z</x:v>
      </x:c>
      <x:c r="D2050" s="9" t="d">
        <x:v>2011-10-20T00:00:00.000Z</x:v>
      </x:c>
      <x:c r="E2050" s="1" t="str">
        <x:v>ridge</x:v>
      </x:c>
      <x:c r="F2050" s="10" t="n">
        <x:v>74</x:v>
      </x:c>
      <x:c r="G2050" s="10" t="n">
        <x:v>21.1213150095</x:v>
      </x:c>
      <x:c r="H2050" s="10" t="n">
        <x:f>ABS(G2050-F2050)</x:f>
        <x:v>52.8786849905</x:v>
      </x:c>
      <x:c r="I2050" s="10" t="n">
        <x:f>G2050-F2050</x:f>
        <x:v>-52.8786849905</x:v>
      </x:c>
    </x:row>
    <x:row r="2051" ht="20" customHeight="1">
      <x:c r="A2051" s="1" t="str">
        <x:v>84378</x:v>
      </x:c>
      <x:c r="B2051" s="10" t="n">
        <x:v>1</x:v>
      </x:c>
      <x:c r="C2051" s="9" t="d">
        <x:v>2011-10-19T00:00:00.000Z</x:v>
      </x:c>
      <x:c r="D2051" s="9" t="d">
        <x:v>2011-10-21T00:00:00.000Z</x:v>
      </x:c>
      <x:c r="E2051" s="1" t="str">
        <x:v>ridge</x:v>
      </x:c>
      <x:c r="F2051" s="10" t="n">
        <x:v>157</x:v>
      </x:c>
      <x:c r="G2051" s="10" t="n">
        <x:v>12.8438723483</x:v>
      </x:c>
      <x:c r="H2051" s="10" t="n">
        <x:f>ABS(G2051-F2051)</x:f>
        <x:v>144.1561276517</x:v>
      </x:c>
      <x:c r="I2051" s="10" t="n">
        <x:f>G2051-F2051</x:f>
        <x:v>-144.1561276517</x:v>
      </x:c>
    </x:row>
    <x:row r="2052" ht="20" customHeight="1">
      <x:c r="A2052" s="1" t="str">
        <x:v>84378</x:v>
      </x:c>
      <x:c r="B2052" s="10" t="n">
        <x:v>1</x:v>
      </x:c>
      <x:c r="C2052" s="9" t="d">
        <x:v>2011-10-19T00:00:00.000Z</x:v>
      </x:c>
      <x:c r="D2052" s="9" t="d">
        <x:v>2011-10-22T00:00:00.000Z</x:v>
      </x:c>
      <x:c r="E2052" s="1" t="str">
        <x:v>ridge</x:v>
      </x:c>
      <x:c r="F2052" s="10" t="n">
        <x:v>0</x:v>
      </x:c>
      <x:c r="G2052" s="10" t="n">
        <x:v>9.5195184327</x:v>
      </x:c>
      <x:c r="H2052" s="10" t="n">
        <x:f>ABS(G2052-F2052)</x:f>
        <x:v>9.5195184327</x:v>
      </x:c>
      <x:c r="I2052" s="10" t="n">
        <x:f>G2052-F2052</x:f>
        <x:v>9.5195184327</x:v>
      </x:c>
    </x:row>
    <x:row r="2053" ht="20" customHeight="1">
      <x:c r="A2053" s="1" t="str">
        <x:v>84378</x:v>
      </x:c>
      <x:c r="B2053" s="10" t="n">
        <x:v>1</x:v>
      </x:c>
      <x:c r="C2053" s="9" t="d">
        <x:v>2011-10-19T00:00:00.000Z</x:v>
      </x:c>
      <x:c r="D2053" s="9" t="d">
        <x:v>2011-10-23T00:00:00.000Z</x:v>
      </x:c>
      <x:c r="E2053" s="1" t="str">
        <x:v>ridge</x:v>
      </x:c>
      <x:c r="F2053" s="10" t="n">
        <x:v>4</x:v>
      </x:c>
      <x:c r="G2053" s="10" t="n">
        <x:v>12.9141141026</x:v>
      </x:c>
      <x:c r="H2053" s="10" t="n">
        <x:f>ABS(G2053-F2053)</x:f>
        <x:v>8.9141141026</x:v>
      </x:c>
      <x:c r="I2053" s="10" t="n">
        <x:f>G2053-F2053</x:f>
        <x:v>8.9141141026</x:v>
      </x:c>
    </x:row>
    <x:row r="2054" ht="20" customHeight="1">
      <x:c r="A2054" s="1" t="str">
        <x:v>84378</x:v>
      </x:c>
      <x:c r="B2054" s="10" t="n">
        <x:v>1</x:v>
      </x:c>
      <x:c r="C2054" s="9" t="d">
        <x:v>2011-10-19T00:00:00.000Z</x:v>
      </x:c>
      <x:c r="D2054" s="9" t="d">
        <x:v>2011-10-24T00:00:00.000Z</x:v>
      </x:c>
      <x:c r="E2054" s="1" t="str">
        <x:v>ridge</x:v>
      </x:c>
      <x:c r="F2054" s="10" t="n">
        <x:v>6</x:v>
      </x:c>
      <x:c r="G2054" s="10" t="n">
        <x:v>16.2926798296</x:v>
      </x:c>
      <x:c r="H2054" s="10" t="n">
        <x:f>ABS(G2054-F2054)</x:f>
        <x:v>10.2926798296</x:v>
      </x:c>
      <x:c r="I2054" s="10" t="n">
        <x:f>G2054-F2054</x:f>
        <x:v>10.2926798296</x:v>
      </x:c>
    </x:row>
    <x:row r="2055" ht="20" customHeight="1">
      <x:c r="A2055" s="1" t="str">
        <x:v>84378</x:v>
      </x:c>
      <x:c r="B2055" s="10" t="n">
        <x:v>1</x:v>
      </x:c>
      <x:c r="C2055" s="9" t="d">
        <x:v>2011-10-19T00:00:00.000Z</x:v>
      </x:c>
      <x:c r="D2055" s="9" t="d">
        <x:v>2011-10-25T00:00:00.000Z</x:v>
      </x:c>
      <x:c r="E2055" s="1" t="str">
        <x:v>ridge</x:v>
      </x:c>
      <x:c r="F2055" s="10" t="n">
        <x:v>4</x:v>
      </x:c>
      <x:c r="G2055" s="10" t="n">
        <x:v>24.6814495859</x:v>
      </x:c>
      <x:c r="H2055" s="10" t="n">
        <x:f>ABS(G2055-F2055)</x:f>
        <x:v>20.6814495859</x:v>
      </x:c>
      <x:c r="I2055" s="10" t="n">
        <x:f>G2055-F2055</x:f>
        <x:v>20.6814495859</x:v>
      </x:c>
    </x:row>
    <x:row r="2056" ht="20" customHeight="1">
      <x:c r="A2056" s="1" t="str">
        <x:v>84378</x:v>
      </x:c>
      <x:c r="B2056" s="10" t="n">
        <x:v>1</x:v>
      </x:c>
      <x:c r="C2056" s="9" t="d">
        <x:v>2011-10-19T00:00:00.000Z</x:v>
      </x:c>
      <x:c r="D2056" s="9" t="d">
        <x:v>2011-10-26T00:00:00.000Z</x:v>
      </x:c>
      <x:c r="E2056" s="1" t="str">
        <x:v>ridge</x:v>
      </x:c>
      <x:c r="F2056" s="10" t="n">
        <x:v>16</x:v>
      </x:c>
      <x:c r="G2056" s="10" t="n">
        <x:v>20.7719024323</x:v>
      </x:c>
      <x:c r="H2056" s="10" t="n">
        <x:f>ABS(G2056-F2056)</x:f>
        <x:v>4.771902432299999</x:v>
      </x:c>
      <x:c r="I2056" s="10" t="n">
        <x:f>G2056-F2056</x:f>
        <x:v>4.771902432299999</x:v>
      </x:c>
    </x:row>
    <x:row r="2057" ht="20" customHeight="1">
      <x:c r="A2057" s="1" t="str">
        <x:v>84378</x:v>
      </x:c>
      <x:c r="B2057" s="10" t="n">
        <x:v>1</x:v>
      </x:c>
      <x:c r="C2057" s="9" t="d">
        <x:v>2011-10-19T00:00:00.000Z</x:v>
      </x:c>
      <x:c r="D2057" s="9" t="d">
        <x:v>2011-10-27T00:00:00.000Z</x:v>
      </x:c>
      <x:c r="E2057" s="1" t="str">
        <x:v>ridge</x:v>
      </x:c>
      <x:c r="F2057" s="10" t="n">
        <x:v>15</x:v>
      </x:c>
      <x:c r="G2057" s="10" t="n">
        <x:v>18.9766554728</x:v>
      </x:c>
      <x:c r="H2057" s="10" t="n">
        <x:f>ABS(G2057-F2057)</x:f>
        <x:v>3.976655472800001</x:v>
      </x:c>
      <x:c r="I2057" s="10" t="n">
        <x:f>G2057-F2057</x:f>
        <x:v>3.976655472800001</x:v>
      </x:c>
    </x:row>
    <x:row r="2058" ht="20" customHeight="1">
      <x:c r="A2058" s="1" t="str">
        <x:v>84378</x:v>
      </x:c>
      <x:c r="B2058" s="10" t="n">
        <x:v>1</x:v>
      </x:c>
      <x:c r="C2058" s="9" t="d">
        <x:v>2011-10-19T00:00:00.000Z</x:v>
      </x:c>
      <x:c r="D2058" s="9" t="d">
        <x:v>2011-10-28T00:00:00.000Z</x:v>
      </x:c>
      <x:c r="E2058" s="1" t="str">
        <x:v>ridge</x:v>
      </x:c>
      <x:c r="F2058" s="10" t="n">
        <x:v>60</x:v>
      </x:c>
      <x:c r="G2058" s="10" t="n">
        <x:v>12.6142812206</x:v>
      </x:c>
      <x:c r="H2058" s="10" t="n">
        <x:f>ABS(G2058-F2058)</x:f>
        <x:v>47.3857187794</x:v>
      </x:c>
      <x:c r="I2058" s="10" t="n">
        <x:f>G2058-F2058</x:f>
        <x:v>-47.3857187794</x:v>
      </x:c>
    </x:row>
    <x:row r="2059" ht="20" customHeight="1">
      <x:c r="A2059" s="1" t="str">
        <x:v>84378</x:v>
      </x:c>
      <x:c r="B2059" s="10" t="n">
        <x:v>1</x:v>
      </x:c>
      <x:c r="C2059" s="9" t="d">
        <x:v>2011-10-19T00:00:00.000Z</x:v>
      </x:c>
      <x:c r="D2059" s="9" t="d">
        <x:v>2011-10-29T00:00:00.000Z</x:v>
      </x:c>
      <x:c r="E2059" s="1" t="str">
        <x:v>ridge</x:v>
      </x:c>
      <x:c r="F2059" s="10" t="n">
        <x:v>0</x:v>
      </x:c>
      <x:c r="G2059" s="10" t="n">
        <x:v>8.9967769872</x:v>
      </x:c>
      <x:c r="H2059" s="10" t="n">
        <x:f>ABS(G2059-F2059)</x:f>
        <x:v>8.9967769872</x:v>
      </x:c>
      <x:c r="I2059" s="10" t="n">
        <x:f>G2059-F2059</x:f>
        <x:v>8.9967769872</x:v>
      </x:c>
    </x:row>
    <x:row r="2060" ht="20" customHeight="1">
      <x:c r="A2060" s="1" t="str">
        <x:v>84378</x:v>
      </x:c>
      <x:c r="B2060" s="10" t="n">
        <x:v>1</x:v>
      </x:c>
      <x:c r="C2060" s="9" t="d">
        <x:v>2011-10-19T00:00:00.000Z</x:v>
      </x:c>
      <x:c r="D2060" s="9" t="d">
        <x:v>2011-10-30T00:00:00.000Z</x:v>
      </x:c>
      <x:c r="E2060" s="1" t="str">
        <x:v>ridge</x:v>
      </x:c>
      <x:c r="F2060" s="10" t="n">
        <x:v>2</x:v>
      </x:c>
      <x:c r="G2060" s="10" t="n">
        <x:v>11.3318362479</x:v>
      </x:c>
      <x:c r="H2060" s="10" t="n">
        <x:f>ABS(G2060-F2060)</x:f>
        <x:v>9.3318362479</x:v>
      </x:c>
      <x:c r="I2060" s="10" t="n">
        <x:f>G2060-F2060</x:f>
        <x:v>9.3318362479</x:v>
      </x:c>
    </x:row>
    <x:row r="2061" ht="20" customHeight="1">
      <x:c r="A2061" s="1" t="str">
        <x:v>84378</x:v>
      </x:c>
      <x:c r="B2061" s="10" t="n">
        <x:v>1</x:v>
      </x:c>
      <x:c r="C2061" s="9" t="d">
        <x:v>2011-10-19T00:00:00.000Z</x:v>
      </x:c>
      <x:c r="D2061" s="9" t="d">
        <x:v>2011-10-31T00:00:00.000Z</x:v>
      </x:c>
      <x:c r="E2061" s="1" t="str">
        <x:v>ridge</x:v>
      </x:c>
      <x:c r="F2061" s="10" t="n">
        <x:v>6</x:v>
      </x:c>
      <x:c r="G2061" s="10" t="n">
        <x:v>14.270595778</x:v>
      </x:c>
      <x:c r="H2061" s="10" t="n">
        <x:f>ABS(G2061-F2061)</x:f>
        <x:v>8.270595778</x:v>
      </x:c>
      <x:c r="I2061" s="10" t="n">
        <x:f>G2061-F2061</x:f>
        <x:v>8.270595778</x:v>
      </x:c>
    </x:row>
    <x:row r="2062" ht="20" customHeight="1">
      <x:c r="A2062" s="1" t="str">
        <x:v>84378</x:v>
      </x:c>
      <x:c r="B2062" s="10" t="n">
        <x:v>1</x:v>
      </x:c>
      <x:c r="C2062" s="9" t="d">
        <x:v>2011-10-19T00:00:00.000Z</x:v>
      </x:c>
      <x:c r="D2062" s="9" t="d">
        <x:v>2011-11-01T00:00:00.000Z</x:v>
      </x:c>
      <x:c r="E2062" s="1" t="str">
        <x:v>ridge</x:v>
      </x:c>
      <x:c r="F2062" s="10" t="n">
        <x:v>0</x:v>
      </x:c>
      <x:c r="G2062" s="10" t="n">
        <x:v>23.6210069229</x:v>
      </x:c>
      <x:c r="H2062" s="10" t="n">
        <x:f>ABS(G2062-F2062)</x:f>
        <x:v>23.6210069229</x:v>
      </x:c>
      <x:c r="I2062" s="10" t="n">
        <x:f>G2062-F2062</x:f>
        <x:v>23.6210069229</x:v>
      </x:c>
    </x:row>
    <x:row r="2063" ht="20" customHeight="1">
      <x:c r="A2063" s="1" t="str">
        <x:v>84378</x:v>
      </x:c>
      <x:c r="B2063" s="10" t="n">
        <x:v>1</x:v>
      </x:c>
      <x:c r="C2063" s="9" t="d">
        <x:v>2011-10-19T00:00:00.000Z</x:v>
      </x:c>
      <x:c r="D2063" s="9" t="d">
        <x:v>2011-11-02T00:00:00.000Z</x:v>
      </x:c>
      <x:c r="E2063" s="1" t="str">
        <x:v>ridge</x:v>
      </x:c>
      <x:c r="F2063" s="10" t="n">
        <x:v>3</x:v>
      </x:c>
      <x:c r="G2063" s="10" t="n">
        <x:v>19.3381593449</x:v>
      </x:c>
      <x:c r="H2063" s="10" t="n">
        <x:f>ABS(G2063-F2063)</x:f>
        <x:v>16.3381593449</x:v>
      </x:c>
      <x:c r="I2063" s="10" t="n">
        <x:f>G2063-F2063</x:f>
        <x:v>16.3381593449</x:v>
      </x:c>
    </x:row>
    <x:row r="2064" ht="20" customHeight="1">
      <x:c r="A2064" s="1" t="str">
        <x:v>84378</x:v>
      </x:c>
      <x:c r="B2064" s="10" t="n">
        <x:v>2</x:v>
      </x:c>
      <x:c r="C2064" s="9" t="d">
        <x:v>2011-11-02T00:00:00.000Z</x:v>
      </x:c>
      <x:c r="D2064" s="9" t="d">
        <x:v>2011-11-03T00:00:00.000Z</x:v>
      </x:c>
      <x:c r="E2064" s="1" t="str">
        <x:v>naive</x:v>
      </x:c>
      <x:c r="F2064" s="10" t="n">
        <x:v>26</x:v>
      </x:c>
      <x:c r="G2064" s="10" t="n">
        <x:v>3</x:v>
      </x:c>
      <x:c r="H2064" s="10" t="n">
        <x:f>ABS(G2064-F2064)</x:f>
        <x:v>23</x:v>
      </x:c>
      <x:c r="I2064" s="10" t="n">
        <x:f>G2064-F2064</x:f>
        <x:v>-23</x:v>
      </x:c>
    </x:row>
    <x:row r="2065" ht="20" customHeight="1">
      <x:c r="A2065" s="1" t="str">
        <x:v>84378</x:v>
      </x:c>
      <x:c r="B2065" s="10" t="n">
        <x:v>2</x:v>
      </x:c>
      <x:c r="C2065" s="9" t="d">
        <x:v>2011-11-02T00:00:00.000Z</x:v>
      </x:c>
      <x:c r="D2065" s="9" t="d">
        <x:v>2011-11-04T00:00:00.000Z</x:v>
      </x:c>
      <x:c r="E2065" s="1" t="str">
        <x:v>naive</x:v>
      </x:c>
      <x:c r="F2065" s="10" t="n">
        <x:v>19</x:v>
      </x:c>
      <x:c r="G2065" s="10" t="n">
        <x:v>3</x:v>
      </x:c>
      <x:c r="H2065" s="10" t="n">
        <x:f>ABS(G2065-F2065)</x:f>
        <x:v>16</x:v>
      </x:c>
      <x:c r="I2065" s="10" t="n">
        <x:f>G2065-F2065</x:f>
        <x:v>-16</x:v>
      </x:c>
    </x:row>
    <x:row r="2066" ht="20" customHeight="1">
      <x:c r="A2066" s="1" t="str">
        <x:v>84378</x:v>
      </x:c>
      <x:c r="B2066" s="10" t="n">
        <x:v>2</x:v>
      </x:c>
      <x:c r="C2066" s="9" t="d">
        <x:v>2011-11-02T00:00:00.000Z</x:v>
      </x:c>
      <x:c r="D2066" s="9" t="d">
        <x:v>2011-11-05T00:00:00.000Z</x:v>
      </x:c>
      <x:c r="E2066" s="1" t="str">
        <x:v>naive</x:v>
      </x:c>
      <x:c r="F2066" s="10" t="n">
        <x:v>0</x:v>
      </x:c>
      <x:c r="G2066" s="10" t="n">
        <x:v>3</x:v>
      </x:c>
      <x:c r="H2066" s="10" t="n">
        <x:f>ABS(G2066-F2066)</x:f>
        <x:v>3</x:v>
      </x:c>
      <x:c r="I2066" s="10" t="n">
        <x:f>G2066-F2066</x:f>
        <x:v>3</x:v>
      </x:c>
    </x:row>
    <x:row r="2067" ht="20" customHeight="1">
      <x:c r="A2067" s="1" t="str">
        <x:v>84378</x:v>
      </x:c>
      <x:c r="B2067" s="10" t="n">
        <x:v>2</x:v>
      </x:c>
      <x:c r="C2067" s="9" t="d">
        <x:v>2011-11-02T00:00:00.000Z</x:v>
      </x:c>
      <x:c r="D2067" s="9" t="d">
        <x:v>2011-11-06T00:00:00.000Z</x:v>
      </x:c>
      <x:c r="E2067" s="1" t="str">
        <x:v>naive</x:v>
      </x:c>
      <x:c r="F2067" s="10" t="n">
        <x:v>25</x:v>
      </x:c>
      <x:c r="G2067" s="10" t="n">
        <x:v>3</x:v>
      </x:c>
      <x:c r="H2067" s="10" t="n">
        <x:f>ABS(G2067-F2067)</x:f>
        <x:v>22</x:v>
      </x:c>
      <x:c r="I2067" s="10" t="n">
        <x:f>G2067-F2067</x:f>
        <x:v>-22</x:v>
      </x:c>
    </x:row>
    <x:row r="2068" ht="20" customHeight="1">
      <x:c r="A2068" s="1" t="str">
        <x:v>84378</x:v>
      </x:c>
      <x:c r="B2068" s="10" t="n">
        <x:v>2</x:v>
      </x:c>
      <x:c r="C2068" s="9" t="d">
        <x:v>2011-11-02T00:00:00.000Z</x:v>
      </x:c>
      <x:c r="D2068" s="9" t="d">
        <x:v>2011-11-07T00:00:00.000Z</x:v>
      </x:c>
      <x:c r="E2068" s="1" t="str">
        <x:v>naive</x:v>
      </x:c>
      <x:c r="F2068" s="10" t="n">
        <x:v>2</x:v>
      </x:c>
      <x:c r="G2068" s="10" t="n">
        <x:v>3</x:v>
      </x:c>
      <x:c r="H2068" s="10" t="n">
        <x:f>ABS(G2068-F2068)</x:f>
        <x:v>1</x:v>
      </x:c>
      <x:c r="I2068" s="10" t="n">
        <x:f>G2068-F2068</x:f>
        <x:v>1</x:v>
      </x:c>
    </x:row>
    <x:row r="2069" ht="20" customHeight="1">
      <x:c r="A2069" s="1" t="str">
        <x:v>84378</x:v>
      </x:c>
      <x:c r="B2069" s="10" t="n">
        <x:v>2</x:v>
      </x:c>
      <x:c r="C2069" s="9" t="d">
        <x:v>2011-11-02T00:00:00.000Z</x:v>
      </x:c>
      <x:c r="D2069" s="9" t="d">
        <x:v>2011-11-08T00:00:00.000Z</x:v>
      </x:c>
      <x:c r="E2069" s="1" t="str">
        <x:v>naive</x:v>
      </x:c>
      <x:c r="F2069" s="10" t="n">
        <x:v>16</x:v>
      </x:c>
      <x:c r="G2069" s="10" t="n">
        <x:v>3</x:v>
      </x:c>
      <x:c r="H2069" s="10" t="n">
        <x:f>ABS(G2069-F2069)</x:f>
        <x:v>13</x:v>
      </x:c>
      <x:c r="I2069" s="10" t="n">
        <x:f>G2069-F2069</x:f>
        <x:v>-13</x:v>
      </x:c>
    </x:row>
    <x:row r="2070" ht="20" customHeight="1">
      <x:c r="A2070" s="1" t="str">
        <x:v>84378</x:v>
      </x:c>
      <x:c r="B2070" s="10" t="n">
        <x:v>2</x:v>
      </x:c>
      <x:c r="C2070" s="9" t="d">
        <x:v>2011-11-02T00:00:00.000Z</x:v>
      </x:c>
      <x:c r="D2070" s="9" t="d">
        <x:v>2011-11-09T00:00:00.000Z</x:v>
      </x:c>
      <x:c r="E2070" s="1" t="str">
        <x:v>naive</x:v>
      </x:c>
      <x:c r="F2070" s="10" t="n">
        <x:v>41</x:v>
      </x:c>
      <x:c r="G2070" s="10" t="n">
        <x:v>3</x:v>
      </x:c>
      <x:c r="H2070" s="10" t="n">
        <x:f>ABS(G2070-F2070)</x:f>
        <x:v>38</x:v>
      </x:c>
      <x:c r="I2070" s="10" t="n">
        <x:f>G2070-F2070</x:f>
        <x:v>-38</x:v>
      </x:c>
    </x:row>
    <x:row r="2071" ht="20" customHeight="1">
      <x:c r="A2071" s="1" t="str">
        <x:v>84378</x:v>
      </x:c>
      <x:c r="B2071" s="10" t="n">
        <x:v>2</x:v>
      </x:c>
      <x:c r="C2071" s="9" t="d">
        <x:v>2011-11-02T00:00:00.000Z</x:v>
      </x:c>
      <x:c r="D2071" s="9" t="d">
        <x:v>2011-11-10T00:00:00.000Z</x:v>
      </x:c>
      <x:c r="E2071" s="1" t="str">
        <x:v>naive</x:v>
      </x:c>
      <x:c r="F2071" s="10" t="n">
        <x:v>13</x:v>
      </x:c>
      <x:c r="G2071" s="10" t="n">
        <x:v>3</x:v>
      </x:c>
      <x:c r="H2071" s="10" t="n">
        <x:f>ABS(G2071-F2071)</x:f>
        <x:v>10</x:v>
      </x:c>
      <x:c r="I2071" s="10" t="n">
        <x:f>G2071-F2071</x:f>
        <x:v>-10</x:v>
      </x:c>
    </x:row>
    <x:row r="2072" ht="20" customHeight="1">
      <x:c r="A2072" s="1" t="str">
        <x:v>84378</x:v>
      </x:c>
      <x:c r="B2072" s="10" t="n">
        <x:v>2</x:v>
      </x:c>
      <x:c r="C2072" s="9" t="d">
        <x:v>2011-11-02T00:00:00.000Z</x:v>
      </x:c>
      <x:c r="D2072" s="9" t="d">
        <x:v>2011-11-11T00:00:00.000Z</x:v>
      </x:c>
      <x:c r="E2072" s="1" t="str">
        <x:v>naive</x:v>
      </x:c>
      <x:c r="F2072" s="10" t="n">
        <x:v>16</x:v>
      </x:c>
      <x:c r="G2072" s="10" t="n">
        <x:v>3</x:v>
      </x:c>
      <x:c r="H2072" s="10" t="n">
        <x:f>ABS(G2072-F2072)</x:f>
        <x:v>13</x:v>
      </x:c>
      <x:c r="I2072" s="10" t="n">
        <x:f>G2072-F2072</x:f>
        <x:v>-13</x:v>
      </x:c>
    </x:row>
    <x:row r="2073" ht="20" customHeight="1">
      <x:c r="A2073" s="1" t="str">
        <x:v>84378</x:v>
      </x:c>
      <x:c r="B2073" s="10" t="n">
        <x:v>2</x:v>
      </x:c>
      <x:c r="C2073" s="9" t="d">
        <x:v>2011-11-02T00:00:00.000Z</x:v>
      </x:c>
      <x:c r="D2073" s="9" t="d">
        <x:v>2011-11-12T00:00:00.000Z</x:v>
      </x:c>
      <x:c r="E2073" s="1" t="str">
        <x:v>naive</x:v>
      </x:c>
      <x:c r="F2073" s="10" t="n">
        <x:v>0</x:v>
      </x:c>
      <x:c r="G2073" s="10" t="n">
        <x:v>3</x:v>
      </x:c>
      <x:c r="H2073" s="10" t="n">
        <x:f>ABS(G2073-F2073)</x:f>
        <x:v>3</x:v>
      </x:c>
      <x:c r="I2073" s="10" t="n">
        <x:f>G2073-F2073</x:f>
        <x:v>3</x:v>
      </x:c>
    </x:row>
    <x:row r="2074" ht="20" customHeight="1">
      <x:c r="A2074" s="1" t="str">
        <x:v>84378</x:v>
      </x:c>
      <x:c r="B2074" s="10" t="n">
        <x:v>2</x:v>
      </x:c>
      <x:c r="C2074" s="9" t="d">
        <x:v>2011-11-02T00:00:00.000Z</x:v>
      </x:c>
      <x:c r="D2074" s="9" t="d">
        <x:v>2011-11-13T00:00:00.000Z</x:v>
      </x:c>
      <x:c r="E2074" s="1" t="str">
        <x:v>naive</x:v>
      </x:c>
      <x:c r="F2074" s="10" t="n">
        <x:v>26</x:v>
      </x:c>
      <x:c r="G2074" s="10" t="n">
        <x:v>3</x:v>
      </x:c>
      <x:c r="H2074" s="10" t="n">
        <x:f>ABS(G2074-F2074)</x:f>
        <x:v>23</x:v>
      </x:c>
      <x:c r="I2074" s="10" t="n">
        <x:f>G2074-F2074</x:f>
        <x:v>-23</x:v>
      </x:c>
    </x:row>
    <x:row r="2075" ht="20" customHeight="1">
      <x:c r="A2075" s="1" t="str">
        <x:v>84378</x:v>
      </x:c>
      <x:c r="B2075" s="10" t="n">
        <x:v>2</x:v>
      </x:c>
      <x:c r="C2075" s="9" t="d">
        <x:v>2011-11-02T00:00:00.000Z</x:v>
      </x:c>
      <x:c r="D2075" s="9" t="d">
        <x:v>2011-11-14T00:00:00.000Z</x:v>
      </x:c>
      <x:c r="E2075" s="1" t="str">
        <x:v>naive</x:v>
      </x:c>
      <x:c r="F2075" s="10" t="n">
        <x:v>7</x:v>
      </x:c>
      <x:c r="G2075" s="10" t="n">
        <x:v>3</x:v>
      </x:c>
      <x:c r="H2075" s="10" t="n">
        <x:f>ABS(G2075-F2075)</x:f>
        <x:v>4</x:v>
      </x:c>
      <x:c r="I2075" s="10" t="n">
        <x:f>G2075-F2075</x:f>
        <x:v>-4</x:v>
      </x:c>
    </x:row>
    <x:row r="2076" ht="20" customHeight="1">
      <x:c r="A2076" s="1" t="str">
        <x:v>84378</x:v>
      </x:c>
      <x:c r="B2076" s="10" t="n">
        <x:v>2</x:v>
      </x:c>
      <x:c r="C2076" s="9" t="d">
        <x:v>2011-11-02T00:00:00.000Z</x:v>
      </x:c>
      <x:c r="D2076" s="9" t="d">
        <x:v>2011-11-15T00:00:00.000Z</x:v>
      </x:c>
      <x:c r="E2076" s="1" t="str">
        <x:v>naive</x:v>
      </x:c>
      <x:c r="F2076" s="10" t="n">
        <x:v>34</x:v>
      </x:c>
      <x:c r="G2076" s="10" t="n">
        <x:v>3</x:v>
      </x:c>
      <x:c r="H2076" s="10" t="n">
        <x:f>ABS(G2076-F2076)</x:f>
        <x:v>31</x:v>
      </x:c>
      <x:c r="I2076" s="10" t="n">
        <x:f>G2076-F2076</x:f>
        <x:v>-31</x:v>
      </x:c>
    </x:row>
    <x:row r="2077" ht="20" customHeight="1">
      <x:c r="A2077" s="1" t="str">
        <x:v>84378</x:v>
      </x:c>
      <x:c r="B2077" s="10" t="n">
        <x:v>2</x:v>
      </x:c>
      <x:c r="C2077" s="9" t="d">
        <x:v>2011-11-02T00:00:00.000Z</x:v>
      </x:c>
      <x:c r="D2077" s="9" t="d">
        <x:v>2011-11-16T00:00:00.000Z</x:v>
      </x:c>
      <x:c r="E2077" s="1" t="str">
        <x:v>naive</x:v>
      </x:c>
      <x:c r="F2077" s="10" t="n">
        <x:v>20</x:v>
      </x:c>
      <x:c r="G2077" s="10" t="n">
        <x:v>3</x:v>
      </x:c>
      <x:c r="H2077" s="10" t="n">
        <x:f>ABS(G2077-F2077)</x:f>
        <x:v>17</x:v>
      </x:c>
      <x:c r="I2077" s="10" t="n">
        <x:f>G2077-F2077</x:f>
        <x:v>-17</x:v>
      </x:c>
    </x:row>
    <x:row r="2078" ht="20" customHeight="1">
      <x:c r="A2078" s="1" t="str">
        <x:v>84378</x:v>
      </x:c>
      <x:c r="B2078" s="10" t="n">
        <x:v>2</x:v>
      </x:c>
      <x:c r="C2078" s="9" t="d">
        <x:v>2011-11-02T00:00:00.000Z</x:v>
      </x:c>
      <x:c r="D2078" s="9" t="d">
        <x:v>2011-11-03T00:00:00.000Z</x:v>
      </x:c>
      <x:c r="E2078" s="1" t="str">
        <x:v>seasonal_naive</x:v>
      </x:c>
      <x:c r="F2078" s="10" t="n">
        <x:v>26</x:v>
      </x:c>
      <x:c r="G2078" s="10" t="n">
        <x:v>15</x:v>
      </x:c>
      <x:c r="H2078" s="10" t="n">
        <x:f>ABS(G2078-F2078)</x:f>
        <x:v>11</x:v>
      </x:c>
      <x:c r="I2078" s="10" t="n">
        <x:f>G2078-F2078</x:f>
        <x:v>-11</x:v>
      </x:c>
    </x:row>
    <x:row r="2079" ht="20" customHeight="1">
      <x:c r="A2079" s="1" t="str">
        <x:v>84378</x:v>
      </x:c>
      <x:c r="B2079" s="10" t="n">
        <x:v>2</x:v>
      </x:c>
      <x:c r="C2079" s="9" t="d">
        <x:v>2011-11-02T00:00:00.000Z</x:v>
      </x:c>
      <x:c r="D2079" s="9" t="d">
        <x:v>2011-11-04T00:00:00.000Z</x:v>
      </x:c>
      <x:c r="E2079" s="1" t="str">
        <x:v>seasonal_naive</x:v>
      </x:c>
      <x:c r="F2079" s="10" t="n">
        <x:v>19</x:v>
      </x:c>
      <x:c r="G2079" s="10" t="n">
        <x:v>60</x:v>
      </x:c>
      <x:c r="H2079" s="10" t="n">
        <x:f>ABS(G2079-F2079)</x:f>
        <x:v>41</x:v>
      </x:c>
      <x:c r="I2079" s="10" t="n">
        <x:f>G2079-F2079</x:f>
        <x:v>41</x:v>
      </x:c>
    </x:row>
    <x:row r="2080" ht="20" customHeight="1">
      <x:c r="A2080" s="1" t="str">
        <x:v>84378</x:v>
      </x:c>
      <x:c r="B2080" s="10" t="n">
        <x:v>2</x:v>
      </x:c>
      <x:c r="C2080" s="9" t="d">
        <x:v>2011-11-02T00:00:00.000Z</x:v>
      </x:c>
      <x:c r="D2080" s="9" t="d">
        <x:v>2011-11-05T00:00:00.000Z</x:v>
      </x:c>
      <x:c r="E2080" s="1" t="str">
        <x:v>seasonal_naive</x:v>
      </x:c>
      <x:c r="F2080" s="10" t="n">
        <x:v>0</x:v>
      </x:c>
      <x:c r="G2080" s="10" t="n">
        <x:v>0</x:v>
      </x:c>
      <x:c r="H2080" s="10" t="n">
        <x:f>ABS(G2080-F2080)</x:f>
        <x:v>0</x:v>
      </x:c>
      <x:c r="I2080" s="10" t="n">
        <x:f>G2080-F2080</x:f>
        <x:v>0</x:v>
      </x:c>
    </x:row>
    <x:row r="2081" ht="20" customHeight="1">
      <x:c r="A2081" s="1" t="str">
        <x:v>84378</x:v>
      </x:c>
      <x:c r="B2081" s="10" t="n">
        <x:v>2</x:v>
      </x:c>
      <x:c r="C2081" s="9" t="d">
        <x:v>2011-11-02T00:00:00.000Z</x:v>
      </x:c>
      <x:c r="D2081" s="9" t="d">
        <x:v>2011-11-06T00:00:00.000Z</x:v>
      </x:c>
      <x:c r="E2081" s="1" t="str">
        <x:v>seasonal_naive</x:v>
      </x:c>
      <x:c r="F2081" s="10" t="n">
        <x:v>25</x:v>
      </x:c>
      <x:c r="G2081" s="10" t="n">
        <x:v>2</x:v>
      </x:c>
      <x:c r="H2081" s="10" t="n">
        <x:f>ABS(G2081-F2081)</x:f>
        <x:v>23</x:v>
      </x:c>
      <x:c r="I2081" s="10" t="n">
        <x:f>G2081-F2081</x:f>
        <x:v>-23</x:v>
      </x:c>
    </x:row>
    <x:row r="2082" ht="20" customHeight="1">
      <x:c r="A2082" s="1" t="str">
        <x:v>84378</x:v>
      </x:c>
      <x:c r="B2082" s="10" t="n">
        <x:v>2</x:v>
      </x:c>
      <x:c r="C2082" s="9" t="d">
        <x:v>2011-11-02T00:00:00.000Z</x:v>
      </x:c>
      <x:c r="D2082" s="9" t="d">
        <x:v>2011-11-07T00:00:00.000Z</x:v>
      </x:c>
      <x:c r="E2082" s="1" t="str">
        <x:v>seasonal_naive</x:v>
      </x:c>
      <x:c r="F2082" s="10" t="n">
        <x:v>2</x:v>
      </x:c>
      <x:c r="G2082" s="10" t="n">
        <x:v>6</x:v>
      </x:c>
      <x:c r="H2082" s="10" t="n">
        <x:f>ABS(G2082-F2082)</x:f>
        <x:v>4</x:v>
      </x:c>
      <x:c r="I2082" s="10" t="n">
        <x:f>G2082-F2082</x:f>
        <x:v>4</x:v>
      </x:c>
    </x:row>
    <x:row r="2083" ht="20" customHeight="1">
      <x:c r="A2083" s="1" t="str">
        <x:v>84378</x:v>
      </x:c>
      <x:c r="B2083" s="10" t="n">
        <x:v>2</x:v>
      </x:c>
      <x:c r="C2083" s="9" t="d">
        <x:v>2011-11-02T00:00:00.000Z</x:v>
      </x:c>
      <x:c r="D2083" s="9" t="d">
        <x:v>2011-11-08T00:00:00.000Z</x:v>
      </x:c>
      <x:c r="E2083" s="1" t="str">
        <x:v>seasonal_naive</x:v>
      </x:c>
      <x:c r="F2083" s="10" t="n">
        <x:v>16</x:v>
      </x:c>
      <x:c r="G2083" s="10" t="n">
        <x:v>0</x:v>
      </x:c>
      <x:c r="H2083" s="10" t="n">
        <x:f>ABS(G2083-F2083)</x:f>
        <x:v>16</x:v>
      </x:c>
      <x:c r="I2083" s="10" t="n">
        <x:f>G2083-F2083</x:f>
        <x:v>-16</x:v>
      </x:c>
    </x:row>
    <x:row r="2084" ht="20" customHeight="1">
      <x:c r="A2084" s="1" t="str">
        <x:v>84378</x:v>
      </x:c>
      <x:c r="B2084" s="10" t="n">
        <x:v>2</x:v>
      </x:c>
      <x:c r="C2084" s="9" t="d">
        <x:v>2011-11-02T00:00:00.000Z</x:v>
      </x:c>
      <x:c r="D2084" s="9" t="d">
        <x:v>2011-11-09T00:00:00.000Z</x:v>
      </x:c>
      <x:c r="E2084" s="1" t="str">
        <x:v>seasonal_naive</x:v>
      </x:c>
      <x:c r="F2084" s="10" t="n">
        <x:v>41</x:v>
      </x:c>
      <x:c r="G2084" s="10" t="n">
        <x:v>3</x:v>
      </x:c>
      <x:c r="H2084" s="10" t="n">
        <x:f>ABS(G2084-F2084)</x:f>
        <x:v>38</x:v>
      </x:c>
      <x:c r="I2084" s="10" t="n">
        <x:f>G2084-F2084</x:f>
        <x:v>-38</x:v>
      </x:c>
    </x:row>
    <x:row r="2085" ht="20" customHeight="1">
      <x:c r="A2085" s="1" t="str">
        <x:v>84378</x:v>
      </x:c>
      <x:c r="B2085" s="10" t="n">
        <x:v>2</x:v>
      </x:c>
      <x:c r="C2085" s="9" t="d">
        <x:v>2011-11-02T00:00:00.000Z</x:v>
      </x:c>
      <x:c r="D2085" s="9" t="d">
        <x:v>2011-11-10T00:00:00.000Z</x:v>
      </x:c>
      <x:c r="E2085" s="1" t="str">
        <x:v>seasonal_naive</x:v>
      </x:c>
      <x:c r="F2085" s="10" t="n">
        <x:v>13</x:v>
      </x:c>
      <x:c r="G2085" s="10" t="n">
        <x:v>15</x:v>
      </x:c>
      <x:c r="H2085" s="10" t="n">
        <x:f>ABS(G2085-F2085)</x:f>
        <x:v>2</x:v>
      </x:c>
      <x:c r="I2085" s="10" t="n">
        <x:f>G2085-F2085</x:f>
        <x:v>2</x:v>
      </x:c>
    </x:row>
    <x:row r="2086" ht="20" customHeight="1">
      <x:c r="A2086" s="1" t="str">
        <x:v>84378</x:v>
      </x:c>
      <x:c r="B2086" s="10" t="n">
        <x:v>2</x:v>
      </x:c>
      <x:c r="C2086" s="9" t="d">
        <x:v>2011-11-02T00:00:00.000Z</x:v>
      </x:c>
      <x:c r="D2086" s="9" t="d">
        <x:v>2011-11-11T00:00:00.000Z</x:v>
      </x:c>
      <x:c r="E2086" s="1" t="str">
        <x:v>seasonal_naive</x:v>
      </x:c>
      <x:c r="F2086" s="10" t="n">
        <x:v>16</x:v>
      </x:c>
      <x:c r="G2086" s="10" t="n">
        <x:v>60</x:v>
      </x:c>
      <x:c r="H2086" s="10" t="n">
        <x:f>ABS(G2086-F2086)</x:f>
        <x:v>44</x:v>
      </x:c>
      <x:c r="I2086" s="10" t="n">
        <x:f>G2086-F2086</x:f>
        <x:v>44</x:v>
      </x:c>
    </x:row>
    <x:row r="2087" ht="20" customHeight="1">
      <x:c r="A2087" s="1" t="str">
        <x:v>84378</x:v>
      </x:c>
      <x:c r="B2087" s="10" t="n">
        <x:v>2</x:v>
      </x:c>
      <x:c r="C2087" s="9" t="d">
        <x:v>2011-11-02T00:00:00.000Z</x:v>
      </x:c>
      <x:c r="D2087" s="9" t="d">
        <x:v>2011-11-12T00:00:00.000Z</x:v>
      </x:c>
      <x:c r="E2087" s="1" t="str">
        <x:v>seasonal_naive</x:v>
      </x:c>
      <x:c r="F2087" s="10" t="n">
        <x:v>0</x:v>
      </x:c>
      <x:c r="G2087" s="10" t="n">
        <x:v>0</x:v>
      </x:c>
      <x:c r="H2087" s="10" t="n">
        <x:f>ABS(G2087-F2087)</x:f>
        <x:v>0</x:v>
      </x:c>
      <x:c r="I2087" s="10" t="n">
        <x:f>G2087-F2087</x:f>
        <x:v>0</x:v>
      </x:c>
    </x:row>
    <x:row r="2088" ht="20" customHeight="1">
      <x:c r="A2088" s="1" t="str">
        <x:v>84378</x:v>
      </x:c>
      <x:c r="B2088" s="10" t="n">
        <x:v>2</x:v>
      </x:c>
      <x:c r="C2088" s="9" t="d">
        <x:v>2011-11-02T00:00:00.000Z</x:v>
      </x:c>
      <x:c r="D2088" s="9" t="d">
        <x:v>2011-11-13T00:00:00.000Z</x:v>
      </x:c>
      <x:c r="E2088" s="1" t="str">
        <x:v>seasonal_naive</x:v>
      </x:c>
      <x:c r="F2088" s="10" t="n">
        <x:v>26</x:v>
      </x:c>
      <x:c r="G2088" s="10" t="n">
        <x:v>2</x:v>
      </x:c>
      <x:c r="H2088" s="10" t="n">
        <x:f>ABS(G2088-F2088)</x:f>
        <x:v>24</x:v>
      </x:c>
      <x:c r="I2088" s="10" t="n">
        <x:f>G2088-F2088</x:f>
        <x:v>-24</x:v>
      </x:c>
    </x:row>
    <x:row r="2089" ht="20" customHeight="1">
      <x:c r="A2089" s="1" t="str">
        <x:v>84378</x:v>
      </x:c>
      <x:c r="B2089" s="10" t="n">
        <x:v>2</x:v>
      </x:c>
      <x:c r="C2089" s="9" t="d">
        <x:v>2011-11-02T00:00:00.000Z</x:v>
      </x:c>
      <x:c r="D2089" s="9" t="d">
        <x:v>2011-11-14T00:00:00.000Z</x:v>
      </x:c>
      <x:c r="E2089" s="1" t="str">
        <x:v>seasonal_naive</x:v>
      </x:c>
      <x:c r="F2089" s="10" t="n">
        <x:v>7</x:v>
      </x:c>
      <x:c r="G2089" s="10" t="n">
        <x:v>6</x:v>
      </x:c>
      <x:c r="H2089" s="10" t="n">
        <x:f>ABS(G2089-F2089)</x:f>
        <x:v>1</x:v>
      </x:c>
      <x:c r="I2089" s="10" t="n">
        <x:f>G2089-F2089</x:f>
        <x:v>-1</x:v>
      </x:c>
    </x:row>
    <x:row r="2090" ht="20" customHeight="1">
      <x:c r="A2090" s="1" t="str">
        <x:v>84378</x:v>
      </x:c>
      <x:c r="B2090" s="10" t="n">
        <x:v>2</x:v>
      </x:c>
      <x:c r="C2090" s="9" t="d">
        <x:v>2011-11-02T00:00:00.000Z</x:v>
      </x:c>
      <x:c r="D2090" s="9" t="d">
        <x:v>2011-11-15T00:00:00.000Z</x:v>
      </x:c>
      <x:c r="E2090" s="1" t="str">
        <x:v>seasonal_naive</x:v>
      </x:c>
      <x:c r="F2090" s="10" t="n">
        <x:v>34</x:v>
      </x:c>
      <x:c r="G2090" s="10" t="n">
        <x:v>0</x:v>
      </x:c>
      <x:c r="H2090" s="10" t="n">
        <x:f>ABS(G2090-F2090)</x:f>
        <x:v>34</x:v>
      </x:c>
      <x:c r="I2090" s="10" t="n">
        <x:f>G2090-F2090</x:f>
        <x:v>-34</x:v>
      </x:c>
    </x:row>
    <x:row r="2091" ht="20" customHeight="1">
      <x:c r="A2091" s="1" t="str">
        <x:v>84378</x:v>
      </x:c>
      <x:c r="B2091" s="10" t="n">
        <x:v>2</x:v>
      </x:c>
      <x:c r="C2091" s="9" t="d">
        <x:v>2011-11-02T00:00:00.000Z</x:v>
      </x:c>
      <x:c r="D2091" s="9" t="d">
        <x:v>2011-11-16T00:00:00.000Z</x:v>
      </x:c>
      <x:c r="E2091" s="1" t="str">
        <x:v>seasonal_naive</x:v>
      </x:c>
      <x:c r="F2091" s="10" t="n">
        <x:v>20</x:v>
      </x:c>
      <x:c r="G2091" s="10" t="n">
        <x:v>3</x:v>
      </x:c>
      <x:c r="H2091" s="10" t="n">
        <x:f>ABS(G2091-F2091)</x:f>
        <x:v>17</x:v>
      </x:c>
      <x:c r="I2091" s="10" t="n">
        <x:f>G2091-F2091</x:f>
        <x:v>-17</x:v>
      </x:c>
    </x:row>
    <x:row r="2092" ht="20" customHeight="1">
      <x:c r="A2092" s="1" t="str">
        <x:v>84378</x:v>
      </x:c>
      <x:c r="B2092" s="10" t="n">
        <x:v>2</x:v>
      </x:c>
      <x:c r="C2092" s="9" t="d">
        <x:v>2011-11-02T00:00:00.000Z</x:v>
      </x:c>
      <x:c r="D2092" s="9" t="d">
        <x:v>2011-11-03T00:00:00.000Z</x:v>
      </x:c>
      <x:c r="E2092" s="1" t="str">
        <x:v>ridge</x:v>
      </x:c>
      <x:c r="F2092" s="10" t="n">
        <x:v>26</x:v>
      </x:c>
      <x:c r="G2092" s="10" t="n">
        <x:v>19.4069766144</x:v>
      </x:c>
      <x:c r="H2092" s="10" t="n">
        <x:f>ABS(G2092-F2092)</x:f>
        <x:v>6.593023385599999</x:v>
      </x:c>
      <x:c r="I2092" s="10" t="n">
        <x:f>G2092-F2092</x:f>
        <x:v>-6.593023385599999</x:v>
      </x:c>
    </x:row>
    <x:row r="2093" ht="20" customHeight="1">
      <x:c r="A2093" s="1" t="str">
        <x:v>84378</x:v>
      </x:c>
      <x:c r="B2093" s="10" t="n">
        <x:v>2</x:v>
      </x:c>
      <x:c r="C2093" s="9" t="d">
        <x:v>2011-11-02T00:00:00.000Z</x:v>
      </x:c>
      <x:c r="D2093" s="9" t="d">
        <x:v>2011-11-04T00:00:00.000Z</x:v>
      </x:c>
      <x:c r="E2093" s="1" t="str">
        <x:v>ridge</x:v>
      </x:c>
      <x:c r="F2093" s="10" t="n">
        <x:v>19</x:v>
      </x:c>
      <x:c r="G2093" s="10" t="n">
        <x:v>27.3859471343</x:v>
      </x:c>
      <x:c r="H2093" s="10" t="n">
        <x:f>ABS(G2093-F2093)</x:f>
        <x:v>8.3859471343</x:v>
      </x:c>
      <x:c r="I2093" s="10" t="n">
        <x:f>G2093-F2093</x:f>
        <x:v>8.3859471343</x:v>
      </x:c>
    </x:row>
    <x:row r="2094" ht="20" customHeight="1">
      <x:c r="A2094" s="1" t="str">
        <x:v>84378</x:v>
      </x:c>
      <x:c r="B2094" s="10" t="n">
        <x:v>2</x:v>
      </x:c>
      <x:c r="C2094" s="9" t="d">
        <x:v>2011-11-02T00:00:00.000Z</x:v>
      </x:c>
      <x:c r="D2094" s="9" t="d">
        <x:v>2011-11-05T00:00:00.000Z</x:v>
      </x:c>
      <x:c r="E2094" s="1" t="str">
        <x:v>ridge</x:v>
      </x:c>
      <x:c r="F2094" s="10" t="n">
        <x:v>0</x:v>
      </x:c>
      <x:c r="G2094" s="10" t="n">
        <x:v>6.267680793</x:v>
      </x:c>
      <x:c r="H2094" s="10" t="n">
        <x:f>ABS(G2094-F2094)</x:f>
        <x:v>6.267680793</x:v>
      </x:c>
      <x:c r="I2094" s="10" t="n">
        <x:f>G2094-F2094</x:f>
        <x:v>6.267680793</x:v>
      </x:c>
    </x:row>
    <x:row r="2095" ht="20" customHeight="1">
      <x:c r="A2095" s="1" t="str">
        <x:v>84378</x:v>
      </x:c>
      <x:c r="B2095" s="10" t="n">
        <x:v>2</x:v>
      </x:c>
      <x:c r="C2095" s="9" t="d">
        <x:v>2011-11-02T00:00:00.000Z</x:v>
      </x:c>
      <x:c r="D2095" s="9" t="d">
        <x:v>2011-11-06T00:00:00.000Z</x:v>
      </x:c>
      <x:c r="E2095" s="1" t="str">
        <x:v>ridge</x:v>
      </x:c>
      <x:c r="F2095" s="10" t="n">
        <x:v>25</x:v>
      </x:c>
      <x:c r="G2095" s="10" t="n">
        <x:v>5.9868974184</x:v>
      </x:c>
      <x:c r="H2095" s="10" t="n">
        <x:f>ABS(G2095-F2095)</x:f>
        <x:v>19.013102581600002</x:v>
      </x:c>
      <x:c r="I2095" s="10" t="n">
        <x:f>G2095-F2095</x:f>
        <x:v>-19.013102581600002</x:v>
      </x:c>
    </x:row>
    <x:row r="2096" ht="20" customHeight="1">
      <x:c r="A2096" s="1" t="str">
        <x:v>84378</x:v>
      </x:c>
      <x:c r="B2096" s="10" t="n">
        <x:v>2</x:v>
      </x:c>
      <x:c r="C2096" s="9" t="d">
        <x:v>2011-11-02T00:00:00.000Z</x:v>
      </x:c>
      <x:c r="D2096" s="9" t="d">
        <x:v>2011-11-07T00:00:00.000Z</x:v>
      </x:c>
      <x:c r="E2096" s="1" t="str">
        <x:v>ridge</x:v>
      </x:c>
      <x:c r="F2096" s="10" t="n">
        <x:v>2</x:v>
      </x:c>
      <x:c r="G2096" s="10" t="n">
        <x:v>9.3736695862</x:v>
      </x:c>
      <x:c r="H2096" s="10" t="n">
        <x:f>ABS(G2096-F2096)</x:f>
        <x:v>7.3736695862</x:v>
      </x:c>
      <x:c r="I2096" s="10" t="n">
        <x:f>G2096-F2096</x:f>
        <x:v>7.3736695862</x:v>
      </x:c>
    </x:row>
    <x:row r="2097" ht="20" customHeight="1">
      <x:c r="A2097" s="1" t="str">
        <x:v>84378</x:v>
      </x:c>
      <x:c r="B2097" s="10" t="n">
        <x:v>2</x:v>
      </x:c>
      <x:c r="C2097" s="9" t="d">
        <x:v>2011-11-02T00:00:00.000Z</x:v>
      </x:c>
      <x:c r="D2097" s="9" t="d">
        <x:v>2011-11-08T00:00:00.000Z</x:v>
      </x:c>
      <x:c r="E2097" s="1" t="str">
        <x:v>ridge</x:v>
      </x:c>
      <x:c r="F2097" s="10" t="n">
        <x:v>16</x:v>
      </x:c>
      <x:c r="G2097" s="10" t="n">
        <x:v>12.3739358959</x:v>
      </x:c>
      <x:c r="H2097" s="10" t="n">
        <x:f>ABS(G2097-F2097)</x:f>
        <x:v>3.6260641040999992</x:v>
      </x:c>
      <x:c r="I2097" s="10" t="n">
        <x:f>G2097-F2097</x:f>
        <x:v>-3.6260641040999992</x:v>
      </x:c>
    </x:row>
    <x:row r="2098" ht="20" customHeight="1">
      <x:c r="A2098" s="1" t="str">
        <x:v>84378</x:v>
      </x:c>
      <x:c r="B2098" s="10" t="n">
        <x:v>2</x:v>
      </x:c>
      <x:c r="C2098" s="9" t="d">
        <x:v>2011-11-02T00:00:00.000Z</x:v>
      </x:c>
      <x:c r="D2098" s="9" t="d">
        <x:v>2011-11-09T00:00:00.000Z</x:v>
      </x:c>
      <x:c r="E2098" s="1" t="str">
        <x:v>ridge</x:v>
      </x:c>
      <x:c r="F2098" s="10" t="n">
        <x:v>41</x:v>
      </x:c>
      <x:c r="G2098" s="10" t="n">
        <x:v>15.7619691023</x:v>
      </x:c>
      <x:c r="H2098" s="10" t="n">
        <x:f>ABS(G2098-F2098)</x:f>
        <x:v>25.2380308977</x:v>
      </x:c>
      <x:c r="I2098" s="10" t="n">
        <x:f>G2098-F2098</x:f>
        <x:v>-25.2380308977</x:v>
      </x:c>
    </x:row>
    <x:row r="2099" ht="20" customHeight="1">
      <x:c r="A2099" s="1" t="str">
        <x:v>84378</x:v>
      </x:c>
      <x:c r="B2099" s="10" t="n">
        <x:v>2</x:v>
      </x:c>
      <x:c r="C2099" s="9" t="d">
        <x:v>2011-11-02T00:00:00.000Z</x:v>
      </x:c>
      <x:c r="D2099" s="9" t="d">
        <x:v>2011-11-10T00:00:00.000Z</x:v>
      </x:c>
      <x:c r="E2099" s="1" t="str">
        <x:v>ridge</x:v>
      </x:c>
      <x:c r="F2099" s="10" t="n">
        <x:v>13</x:v>
      </x:c>
      <x:c r="G2099" s="10" t="n">
        <x:v>16.6740202761</x:v>
      </x:c>
      <x:c r="H2099" s="10" t="n">
        <x:f>ABS(G2099-F2099)</x:f>
        <x:v>3.6740202760999985</x:v>
      </x:c>
      <x:c r="I2099" s="10" t="n">
        <x:f>G2099-F2099</x:f>
        <x:v>3.6740202760999985</x:v>
      </x:c>
    </x:row>
    <x:row r="2100" ht="20" customHeight="1">
      <x:c r="A2100" s="1" t="str">
        <x:v>84378</x:v>
      </x:c>
      <x:c r="B2100" s="10" t="n">
        <x:v>2</x:v>
      </x:c>
      <x:c r="C2100" s="9" t="d">
        <x:v>2011-11-02T00:00:00.000Z</x:v>
      </x:c>
      <x:c r="D2100" s="9" t="d">
        <x:v>2011-11-11T00:00:00.000Z</x:v>
      </x:c>
      <x:c r="E2100" s="1" t="str">
        <x:v>ridge</x:v>
      </x:c>
      <x:c r="F2100" s="10" t="n">
        <x:v>16</x:v>
      </x:c>
      <x:c r="G2100" s="10" t="n">
        <x:v>17.3263635209</x:v>
      </x:c>
      <x:c r="H2100" s="10" t="n">
        <x:f>ABS(G2100-F2100)</x:f>
        <x:v>1.3263635208999993</x:v>
      </x:c>
      <x:c r="I2100" s="10" t="n">
        <x:f>G2100-F2100</x:f>
        <x:v>1.3263635208999993</x:v>
      </x:c>
    </x:row>
    <x:row r="2101" ht="20" customHeight="1">
      <x:c r="A2101" s="1" t="str">
        <x:v>84378</x:v>
      </x:c>
      <x:c r="B2101" s="10" t="n">
        <x:v>2</x:v>
      </x:c>
      <x:c r="C2101" s="9" t="d">
        <x:v>2011-11-02T00:00:00.000Z</x:v>
      </x:c>
      <x:c r="D2101" s="9" t="d">
        <x:v>2011-11-12T00:00:00.000Z</x:v>
      </x:c>
      <x:c r="E2101" s="1" t="str">
        <x:v>ridge</x:v>
      </x:c>
      <x:c r="F2101" s="10" t="n">
        <x:v>0</x:v>
      </x:c>
      <x:c r="G2101" s="10" t="n">
        <x:v>7.743111922</x:v>
      </x:c>
      <x:c r="H2101" s="10" t="n">
        <x:f>ABS(G2101-F2101)</x:f>
        <x:v>7.743111922</x:v>
      </x:c>
      <x:c r="I2101" s="10" t="n">
        <x:f>G2101-F2101</x:f>
        <x:v>7.743111922</x:v>
      </x:c>
    </x:row>
    <x:row r="2102" ht="20" customHeight="1">
      <x:c r="A2102" s="1" t="str">
        <x:v>84378</x:v>
      </x:c>
      <x:c r="B2102" s="10" t="n">
        <x:v>2</x:v>
      </x:c>
      <x:c r="C2102" s="9" t="d">
        <x:v>2011-11-02T00:00:00.000Z</x:v>
      </x:c>
      <x:c r="D2102" s="9" t="d">
        <x:v>2011-11-13T00:00:00.000Z</x:v>
      </x:c>
      <x:c r="E2102" s="1" t="str">
        <x:v>ridge</x:v>
      </x:c>
      <x:c r="F2102" s="10" t="n">
        <x:v>26</x:v>
      </x:c>
      <x:c r="G2102" s="10" t="n">
        <x:v>7.3746518573</x:v>
      </x:c>
      <x:c r="H2102" s="10" t="n">
        <x:f>ABS(G2102-F2102)</x:f>
        <x:v>18.6253481427</x:v>
      </x:c>
      <x:c r="I2102" s="10" t="n">
        <x:f>G2102-F2102</x:f>
        <x:v>-18.6253481427</x:v>
      </x:c>
    </x:row>
    <x:row r="2103" ht="20" customHeight="1">
      <x:c r="A2103" s="1" t="str">
        <x:v>84378</x:v>
      </x:c>
      <x:c r="B2103" s="10" t="n">
        <x:v>2</x:v>
      </x:c>
      <x:c r="C2103" s="9" t="d">
        <x:v>2011-11-02T00:00:00.000Z</x:v>
      </x:c>
      <x:c r="D2103" s="9" t="d">
        <x:v>2011-11-14T00:00:00.000Z</x:v>
      </x:c>
      <x:c r="E2103" s="1" t="str">
        <x:v>ridge</x:v>
      </x:c>
      <x:c r="F2103" s="10" t="n">
        <x:v>7</x:v>
      </x:c>
      <x:c r="G2103" s="10" t="n">
        <x:v>10.7314230412</x:v>
      </x:c>
      <x:c r="H2103" s="10" t="n">
        <x:f>ABS(G2103-F2103)</x:f>
        <x:v>3.7314230411999993</x:v>
      </x:c>
      <x:c r="I2103" s="10" t="n">
        <x:f>G2103-F2103</x:f>
        <x:v>3.7314230411999993</x:v>
      </x:c>
    </x:row>
    <x:row r="2104" ht="20" customHeight="1">
      <x:c r="A2104" s="1" t="str">
        <x:v>84378</x:v>
      </x:c>
      <x:c r="B2104" s="10" t="n">
        <x:v>2</x:v>
      </x:c>
      <x:c r="C2104" s="9" t="d">
        <x:v>2011-11-02T00:00:00.000Z</x:v>
      </x:c>
      <x:c r="D2104" s="9" t="d">
        <x:v>2011-11-15T00:00:00.000Z</x:v>
      </x:c>
      <x:c r="E2104" s="1" t="str">
        <x:v>ridge</x:v>
      </x:c>
      <x:c r="F2104" s="10" t="n">
        <x:v>34</x:v>
      </x:c>
      <x:c r="G2104" s="10" t="n">
        <x:v>14.1766376681</x:v>
      </x:c>
      <x:c r="H2104" s="10" t="n">
        <x:f>ABS(G2104-F2104)</x:f>
        <x:v>19.8233623319</x:v>
      </x:c>
      <x:c r="I2104" s="10" t="n">
        <x:f>G2104-F2104</x:f>
        <x:v>-19.8233623319</x:v>
      </x:c>
    </x:row>
    <x:row r="2105" ht="20" customHeight="1">
      <x:c r="A2105" s="1" t="str">
        <x:v>84378</x:v>
      </x:c>
      <x:c r="B2105" s="10" t="n">
        <x:v>2</x:v>
      </x:c>
      <x:c r="C2105" s="9" t="d">
        <x:v>2011-11-02T00:00:00.000Z</x:v>
      </x:c>
      <x:c r="D2105" s="9" t="d">
        <x:v>2011-11-16T00:00:00.000Z</x:v>
      </x:c>
      <x:c r="E2105" s="1" t="str">
        <x:v>ridge</x:v>
      </x:c>
      <x:c r="F2105" s="10" t="n">
        <x:v>20</x:v>
      </x:c>
      <x:c r="G2105" s="10" t="n">
        <x:v>16.8357987156</x:v>
      </x:c>
      <x:c r="H2105" s="10" t="n">
        <x:f>ABS(G2105-F2105)</x:f>
        <x:v>3.1642012844000007</x:v>
      </x:c>
      <x:c r="I2105" s="10" t="n">
        <x:f>G2105-F2105</x:f>
        <x:v>-3.1642012844000007</x:v>
      </x:c>
    </x:row>
    <x:row r="2106" ht="20" customHeight="1">
      <x:c r="A2106" s="1" t="str">
        <x:v>84378</x:v>
      </x:c>
      <x:c r="B2106" s="10" t="n">
        <x:v>3</x:v>
      </x:c>
      <x:c r="C2106" s="9" t="d">
        <x:v>2011-11-16T00:00:00.000Z</x:v>
      </x:c>
      <x:c r="D2106" s="9" t="d">
        <x:v>2011-11-17T00:00:00.000Z</x:v>
      </x:c>
      <x:c r="E2106" s="1" t="str">
        <x:v>naive</x:v>
      </x:c>
      <x:c r="F2106" s="10" t="n">
        <x:v>28</x:v>
      </x:c>
      <x:c r="G2106" s="10" t="n">
        <x:v>20</x:v>
      </x:c>
      <x:c r="H2106" s="10" t="n">
        <x:f>ABS(G2106-F2106)</x:f>
        <x:v>8</x:v>
      </x:c>
      <x:c r="I2106" s="10" t="n">
        <x:f>G2106-F2106</x:f>
        <x:v>-8</x:v>
      </x:c>
    </x:row>
    <x:row r="2107" ht="20" customHeight="1">
      <x:c r="A2107" s="1" t="str">
        <x:v>84378</x:v>
      </x:c>
      <x:c r="B2107" s="10" t="n">
        <x:v>3</x:v>
      </x:c>
      <x:c r="C2107" s="9" t="d">
        <x:v>2011-11-16T00:00:00.000Z</x:v>
      </x:c>
      <x:c r="D2107" s="9" t="d">
        <x:v>2011-11-18T00:00:00.000Z</x:v>
      </x:c>
      <x:c r="E2107" s="1" t="str">
        <x:v>naive</x:v>
      </x:c>
      <x:c r="F2107" s="10" t="n">
        <x:v>24</x:v>
      </x:c>
      <x:c r="G2107" s="10" t="n">
        <x:v>20</x:v>
      </x:c>
      <x:c r="H2107" s="10" t="n">
        <x:f>ABS(G2107-F2107)</x:f>
        <x:v>4</x:v>
      </x:c>
      <x:c r="I2107" s="10" t="n">
        <x:f>G2107-F2107</x:f>
        <x:v>-4</x:v>
      </x:c>
    </x:row>
    <x:row r="2108" ht="20" customHeight="1">
      <x:c r="A2108" s="1" t="str">
        <x:v>84378</x:v>
      </x:c>
      <x:c r="B2108" s="10" t="n">
        <x:v>3</x:v>
      </x:c>
      <x:c r="C2108" s="9" t="d">
        <x:v>2011-11-16T00:00:00.000Z</x:v>
      </x:c>
      <x:c r="D2108" s="9" t="d">
        <x:v>2011-11-19T00:00:00.000Z</x:v>
      </x:c>
      <x:c r="E2108" s="1" t="str">
        <x:v>naive</x:v>
      </x:c>
      <x:c r="F2108" s="10" t="n">
        <x:v>0</x:v>
      </x:c>
      <x:c r="G2108" s="10" t="n">
        <x:v>20</x:v>
      </x:c>
      <x:c r="H2108" s="10" t="n">
        <x:f>ABS(G2108-F2108)</x:f>
        <x:v>20</x:v>
      </x:c>
      <x:c r="I2108" s="10" t="n">
        <x:f>G2108-F2108</x:f>
        <x:v>20</x:v>
      </x:c>
    </x:row>
    <x:row r="2109" ht="20" customHeight="1">
      <x:c r="A2109" s="1" t="str">
        <x:v>84378</x:v>
      </x:c>
      <x:c r="B2109" s="10" t="n">
        <x:v>3</x:v>
      </x:c>
      <x:c r="C2109" s="9" t="d">
        <x:v>2011-11-16T00:00:00.000Z</x:v>
      </x:c>
      <x:c r="D2109" s="9" t="d">
        <x:v>2011-11-20T00:00:00.000Z</x:v>
      </x:c>
      <x:c r="E2109" s="1" t="str">
        <x:v>naive</x:v>
      </x:c>
      <x:c r="F2109" s="10" t="n">
        <x:v>9</x:v>
      </x:c>
      <x:c r="G2109" s="10" t="n">
        <x:v>20</x:v>
      </x:c>
      <x:c r="H2109" s="10" t="n">
        <x:f>ABS(G2109-F2109)</x:f>
        <x:v>11</x:v>
      </x:c>
      <x:c r="I2109" s="10" t="n">
        <x:f>G2109-F2109</x:f>
        <x:v>11</x:v>
      </x:c>
    </x:row>
    <x:row r="2110" ht="20" customHeight="1">
      <x:c r="A2110" s="1" t="str">
        <x:v>84378</x:v>
      </x:c>
      <x:c r="B2110" s="10" t="n">
        <x:v>3</x:v>
      </x:c>
      <x:c r="C2110" s="9" t="d">
        <x:v>2011-11-16T00:00:00.000Z</x:v>
      </x:c>
      <x:c r="D2110" s="9" t="d">
        <x:v>2011-11-21T00:00:00.000Z</x:v>
      </x:c>
      <x:c r="E2110" s="1" t="str">
        <x:v>naive</x:v>
      </x:c>
      <x:c r="F2110" s="10" t="n">
        <x:v>116</x:v>
      </x:c>
      <x:c r="G2110" s="10" t="n">
        <x:v>20</x:v>
      </x:c>
      <x:c r="H2110" s="10" t="n">
        <x:f>ABS(G2110-F2110)</x:f>
        <x:v>96</x:v>
      </x:c>
      <x:c r="I2110" s="10" t="n">
        <x:f>G2110-F2110</x:f>
        <x:v>-96</x:v>
      </x:c>
    </x:row>
    <x:row r="2111" ht="20" customHeight="1">
      <x:c r="A2111" s="1" t="str">
        <x:v>84378</x:v>
      </x:c>
      <x:c r="B2111" s="10" t="n">
        <x:v>3</x:v>
      </x:c>
      <x:c r="C2111" s="9" t="d">
        <x:v>2011-11-16T00:00:00.000Z</x:v>
      </x:c>
      <x:c r="D2111" s="9" t="d">
        <x:v>2011-11-22T00:00:00.000Z</x:v>
      </x:c>
      <x:c r="E2111" s="1" t="str">
        <x:v>naive</x:v>
      </x:c>
      <x:c r="F2111" s="10" t="n">
        <x:v>88</x:v>
      </x:c>
      <x:c r="G2111" s="10" t="n">
        <x:v>20</x:v>
      </x:c>
      <x:c r="H2111" s="10" t="n">
        <x:f>ABS(G2111-F2111)</x:f>
        <x:v>68</x:v>
      </x:c>
      <x:c r="I2111" s="10" t="n">
        <x:f>G2111-F2111</x:f>
        <x:v>-68</x:v>
      </x:c>
    </x:row>
    <x:row r="2112" ht="20" customHeight="1">
      <x:c r="A2112" s="1" t="str">
        <x:v>84378</x:v>
      </x:c>
      <x:c r="B2112" s="10" t="n">
        <x:v>3</x:v>
      </x:c>
      <x:c r="C2112" s="9" t="d">
        <x:v>2011-11-16T00:00:00.000Z</x:v>
      </x:c>
      <x:c r="D2112" s="9" t="d">
        <x:v>2011-11-23T00:00:00.000Z</x:v>
      </x:c>
      <x:c r="E2112" s="1" t="str">
        <x:v>naive</x:v>
      </x:c>
      <x:c r="F2112" s="10" t="n">
        <x:v>15</x:v>
      </x:c>
      <x:c r="G2112" s="10" t="n">
        <x:v>20</x:v>
      </x:c>
      <x:c r="H2112" s="10" t="n">
        <x:f>ABS(G2112-F2112)</x:f>
        <x:v>5</x:v>
      </x:c>
      <x:c r="I2112" s="10" t="n">
        <x:f>G2112-F2112</x:f>
        <x:v>5</x:v>
      </x:c>
    </x:row>
    <x:row r="2113" ht="20" customHeight="1">
      <x:c r="A2113" s="1" t="str">
        <x:v>84378</x:v>
      </x:c>
      <x:c r="B2113" s="10" t="n">
        <x:v>3</x:v>
      </x:c>
      <x:c r="C2113" s="9" t="d">
        <x:v>2011-11-16T00:00:00.000Z</x:v>
      </x:c>
      <x:c r="D2113" s="9" t="d">
        <x:v>2011-11-24T00:00:00.000Z</x:v>
      </x:c>
      <x:c r="E2113" s="1" t="str">
        <x:v>naive</x:v>
      </x:c>
      <x:c r="F2113" s="10" t="n">
        <x:v>18</x:v>
      </x:c>
      <x:c r="G2113" s="10" t="n">
        <x:v>20</x:v>
      </x:c>
      <x:c r="H2113" s="10" t="n">
        <x:f>ABS(G2113-F2113)</x:f>
        <x:v>2</x:v>
      </x:c>
      <x:c r="I2113" s="10" t="n">
        <x:f>G2113-F2113</x:f>
        <x:v>2</x:v>
      </x:c>
    </x:row>
    <x:row r="2114" ht="20" customHeight="1">
      <x:c r="A2114" s="1" t="str">
        <x:v>84378</x:v>
      </x:c>
      <x:c r="B2114" s="10" t="n">
        <x:v>3</x:v>
      </x:c>
      <x:c r="C2114" s="9" t="d">
        <x:v>2011-11-16T00:00:00.000Z</x:v>
      </x:c>
      <x:c r="D2114" s="9" t="d">
        <x:v>2011-11-25T00:00:00.000Z</x:v>
      </x:c>
      <x:c r="E2114" s="1" t="str">
        <x:v>naive</x:v>
      </x:c>
      <x:c r="F2114" s="10" t="n">
        <x:v>4</x:v>
      </x:c>
      <x:c r="G2114" s="10" t="n">
        <x:v>20</x:v>
      </x:c>
      <x:c r="H2114" s="10" t="n">
        <x:f>ABS(G2114-F2114)</x:f>
        <x:v>16</x:v>
      </x:c>
      <x:c r="I2114" s="10" t="n">
        <x:f>G2114-F2114</x:f>
        <x:v>16</x:v>
      </x:c>
    </x:row>
    <x:row r="2115" ht="20" customHeight="1">
      <x:c r="A2115" s="1" t="str">
        <x:v>84378</x:v>
      </x:c>
      <x:c r="B2115" s="10" t="n">
        <x:v>3</x:v>
      </x:c>
      <x:c r="C2115" s="9" t="d">
        <x:v>2011-11-16T00:00:00.000Z</x:v>
      </x:c>
      <x:c r="D2115" s="9" t="d">
        <x:v>2011-11-26T00:00:00.000Z</x:v>
      </x:c>
      <x:c r="E2115" s="1" t="str">
        <x:v>naive</x:v>
      </x:c>
      <x:c r="F2115" s="10" t="n">
        <x:v>0</x:v>
      </x:c>
      <x:c r="G2115" s="10" t="n">
        <x:v>20</x:v>
      </x:c>
      <x:c r="H2115" s="10" t="n">
        <x:f>ABS(G2115-F2115)</x:f>
        <x:v>20</x:v>
      </x:c>
      <x:c r="I2115" s="10" t="n">
        <x:f>G2115-F2115</x:f>
        <x:v>20</x:v>
      </x:c>
    </x:row>
    <x:row r="2116" ht="20" customHeight="1">
      <x:c r="A2116" s="1" t="str">
        <x:v>84378</x:v>
      </x:c>
      <x:c r="B2116" s="10" t="n">
        <x:v>3</x:v>
      </x:c>
      <x:c r="C2116" s="9" t="d">
        <x:v>2011-11-16T00:00:00.000Z</x:v>
      </x:c>
      <x:c r="D2116" s="9" t="d">
        <x:v>2011-11-27T00:00:00.000Z</x:v>
      </x:c>
      <x:c r="E2116" s="1" t="str">
        <x:v>naive</x:v>
      </x:c>
      <x:c r="F2116" s="10" t="n">
        <x:v>2</x:v>
      </x:c>
      <x:c r="G2116" s="10" t="n">
        <x:v>20</x:v>
      </x:c>
      <x:c r="H2116" s="10" t="n">
        <x:f>ABS(G2116-F2116)</x:f>
        <x:v>18</x:v>
      </x:c>
      <x:c r="I2116" s="10" t="n">
        <x:f>G2116-F2116</x:f>
        <x:v>18</x:v>
      </x:c>
    </x:row>
    <x:row r="2117" ht="20" customHeight="1">
      <x:c r="A2117" s="1" t="str">
        <x:v>84378</x:v>
      </x:c>
      <x:c r="B2117" s="10" t="n">
        <x:v>3</x:v>
      </x:c>
      <x:c r="C2117" s="9" t="d">
        <x:v>2011-11-16T00:00:00.000Z</x:v>
      </x:c>
      <x:c r="D2117" s="9" t="d">
        <x:v>2011-11-28T00:00:00.000Z</x:v>
      </x:c>
      <x:c r="E2117" s="1" t="str">
        <x:v>naive</x:v>
      </x:c>
      <x:c r="F2117" s="10" t="n">
        <x:v>37</x:v>
      </x:c>
      <x:c r="G2117" s="10" t="n">
        <x:v>20</x:v>
      </x:c>
      <x:c r="H2117" s="10" t="n">
        <x:f>ABS(G2117-F2117)</x:f>
        <x:v>17</x:v>
      </x:c>
      <x:c r="I2117" s="10" t="n">
        <x:f>G2117-F2117</x:f>
        <x:v>-17</x:v>
      </x:c>
    </x:row>
    <x:row r="2118" ht="20" customHeight="1">
      <x:c r="A2118" s="1" t="str">
        <x:v>84378</x:v>
      </x:c>
      <x:c r="B2118" s="10" t="n">
        <x:v>3</x:v>
      </x:c>
      <x:c r="C2118" s="9" t="d">
        <x:v>2011-11-16T00:00:00.000Z</x:v>
      </x:c>
      <x:c r="D2118" s="9" t="d">
        <x:v>2011-11-29T00:00:00.000Z</x:v>
      </x:c>
      <x:c r="E2118" s="1" t="str">
        <x:v>naive</x:v>
      </x:c>
      <x:c r="F2118" s="10" t="n">
        <x:v>784</x:v>
      </x:c>
      <x:c r="G2118" s="10" t="n">
        <x:v>20</x:v>
      </x:c>
      <x:c r="H2118" s="10" t="n">
        <x:f>ABS(G2118-F2118)</x:f>
        <x:v>764</x:v>
      </x:c>
      <x:c r="I2118" s="10" t="n">
        <x:f>G2118-F2118</x:f>
        <x:v>-764</x:v>
      </x:c>
    </x:row>
    <x:row r="2119" ht="20" customHeight="1">
      <x:c r="A2119" s="1" t="str">
        <x:v>84378</x:v>
      </x:c>
      <x:c r="B2119" s="10" t="n">
        <x:v>3</x:v>
      </x:c>
      <x:c r="C2119" s="9" t="d">
        <x:v>2011-11-16T00:00:00.000Z</x:v>
      </x:c>
      <x:c r="D2119" s="9" t="d">
        <x:v>2011-11-30T00:00:00.000Z</x:v>
      </x:c>
      <x:c r="E2119" s="1" t="str">
        <x:v>naive</x:v>
      </x:c>
      <x:c r="F2119" s="10" t="n">
        <x:v>17</x:v>
      </x:c>
      <x:c r="G2119" s="10" t="n">
        <x:v>20</x:v>
      </x:c>
      <x:c r="H2119" s="10" t="n">
        <x:f>ABS(G2119-F2119)</x:f>
        <x:v>3</x:v>
      </x:c>
      <x:c r="I2119" s="10" t="n">
        <x:f>G2119-F2119</x:f>
        <x:v>3</x:v>
      </x:c>
    </x:row>
    <x:row r="2120" ht="20" customHeight="1">
      <x:c r="A2120" s="1" t="str">
        <x:v>84378</x:v>
      </x:c>
      <x:c r="B2120" s="10" t="n">
        <x:v>3</x:v>
      </x:c>
      <x:c r="C2120" s="9" t="d">
        <x:v>2011-11-16T00:00:00.000Z</x:v>
      </x:c>
      <x:c r="D2120" s="9" t="d">
        <x:v>2011-11-17T00:00:00.000Z</x:v>
      </x:c>
      <x:c r="E2120" s="1" t="str">
        <x:v>seasonal_naive</x:v>
      </x:c>
      <x:c r="F2120" s="10" t="n">
        <x:v>28</x:v>
      </x:c>
      <x:c r="G2120" s="10" t="n">
        <x:v>13</x:v>
      </x:c>
      <x:c r="H2120" s="10" t="n">
        <x:f>ABS(G2120-F2120)</x:f>
        <x:v>15</x:v>
      </x:c>
      <x:c r="I2120" s="10" t="n">
        <x:f>G2120-F2120</x:f>
        <x:v>-15</x:v>
      </x:c>
    </x:row>
    <x:row r="2121" ht="20" customHeight="1">
      <x:c r="A2121" s="1" t="str">
        <x:v>84378</x:v>
      </x:c>
      <x:c r="B2121" s="10" t="n">
        <x:v>3</x:v>
      </x:c>
      <x:c r="C2121" s="9" t="d">
        <x:v>2011-11-16T00:00:00.000Z</x:v>
      </x:c>
      <x:c r="D2121" s="9" t="d">
        <x:v>2011-11-18T00:00:00.000Z</x:v>
      </x:c>
      <x:c r="E2121" s="1" t="str">
        <x:v>seasonal_naive</x:v>
      </x:c>
      <x:c r="F2121" s="10" t="n">
        <x:v>24</x:v>
      </x:c>
      <x:c r="G2121" s="10" t="n">
        <x:v>16</x:v>
      </x:c>
      <x:c r="H2121" s="10" t="n">
        <x:f>ABS(G2121-F2121)</x:f>
        <x:v>8</x:v>
      </x:c>
      <x:c r="I2121" s="10" t="n">
        <x:f>G2121-F2121</x:f>
        <x:v>-8</x:v>
      </x:c>
    </x:row>
    <x:row r="2122" ht="20" customHeight="1">
      <x:c r="A2122" s="1" t="str">
        <x:v>84378</x:v>
      </x:c>
      <x:c r="B2122" s="10" t="n">
        <x:v>3</x:v>
      </x:c>
      <x:c r="C2122" s="9" t="d">
        <x:v>2011-11-16T00:00:00.000Z</x:v>
      </x:c>
      <x:c r="D2122" s="9" t="d">
        <x:v>2011-11-19T00:00:00.000Z</x:v>
      </x:c>
      <x:c r="E2122" s="1" t="str">
        <x:v>seasonal_naive</x:v>
      </x:c>
      <x:c r="F2122" s="10" t="n">
        <x:v>0</x:v>
      </x:c>
      <x:c r="G2122" s="10" t="n">
        <x:v>0</x:v>
      </x:c>
      <x:c r="H2122" s="10" t="n">
        <x:f>ABS(G2122-F2122)</x:f>
        <x:v>0</x:v>
      </x:c>
      <x:c r="I2122" s="10" t="n">
        <x:f>G2122-F2122</x:f>
        <x:v>0</x:v>
      </x:c>
    </x:row>
    <x:row r="2123" ht="20" customHeight="1">
      <x:c r="A2123" s="1" t="str">
        <x:v>84378</x:v>
      </x:c>
      <x:c r="B2123" s="10" t="n">
        <x:v>3</x:v>
      </x:c>
      <x:c r="C2123" s="9" t="d">
        <x:v>2011-11-16T00:00:00.000Z</x:v>
      </x:c>
      <x:c r="D2123" s="9" t="d">
        <x:v>2011-11-20T00:00:00.000Z</x:v>
      </x:c>
      <x:c r="E2123" s="1" t="str">
        <x:v>seasonal_naive</x:v>
      </x:c>
      <x:c r="F2123" s="10" t="n">
        <x:v>9</x:v>
      </x:c>
      <x:c r="G2123" s="10" t="n">
        <x:v>26</x:v>
      </x:c>
      <x:c r="H2123" s="10" t="n">
        <x:f>ABS(G2123-F2123)</x:f>
        <x:v>17</x:v>
      </x:c>
      <x:c r="I2123" s="10" t="n">
        <x:f>G2123-F2123</x:f>
        <x:v>17</x:v>
      </x:c>
    </x:row>
    <x:row r="2124" ht="20" customHeight="1">
      <x:c r="A2124" s="1" t="str">
        <x:v>84378</x:v>
      </x:c>
      <x:c r="B2124" s="10" t="n">
        <x:v>3</x:v>
      </x:c>
      <x:c r="C2124" s="9" t="d">
        <x:v>2011-11-16T00:00:00.000Z</x:v>
      </x:c>
      <x:c r="D2124" s="9" t="d">
        <x:v>2011-11-21T00:00:00.000Z</x:v>
      </x:c>
      <x:c r="E2124" s="1" t="str">
        <x:v>seasonal_naive</x:v>
      </x:c>
      <x:c r="F2124" s="10" t="n">
        <x:v>116</x:v>
      </x:c>
      <x:c r="G2124" s="10" t="n">
        <x:v>7</x:v>
      </x:c>
      <x:c r="H2124" s="10" t="n">
        <x:f>ABS(G2124-F2124)</x:f>
        <x:v>109</x:v>
      </x:c>
      <x:c r="I2124" s="10" t="n">
        <x:f>G2124-F2124</x:f>
        <x:v>-109</x:v>
      </x:c>
    </x:row>
    <x:row r="2125" ht="20" customHeight="1">
      <x:c r="A2125" s="1" t="str">
        <x:v>84378</x:v>
      </x:c>
      <x:c r="B2125" s="10" t="n">
        <x:v>3</x:v>
      </x:c>
      <x:c r="C2125" s="9" t="d">
        <x:v>2011-11-16T00:00:00.000Z</x:v>
      </x:c>
      <x:c r="D2125" s="9" t="d">
        <x:v>2011-11-22T00:00:00.000Z</x:v>
      </x:c>
      <x:c r="E2125" s="1" t="str">
        <x:v>seasonal_naive</x:v>
      </x:c>
      <x:c r="F2125" s="10" t="n">
        <x:v>88</x:v>
      </x:c>
      <x:c r="G2125" s="10" t="n">
        <x:v>34</x:v>
      </x:c>
      <x:c r="H2125" s="10" t="n">
        <x:f>ABS(G2125-F2125)</x:f>
        <x:v>54</x:v>
      </x:c>
      <x:c r="I2125" s="10" t="n">
        <x:f>G2125-F2125</x:f>
        <x:v>-54</x:v>
      </x:c>
    </x:row>
    <x:row r="2126" ht="20" customHeight="1">
      <x:c r="A2126" s="1" t="str">
        <x:v>84378</x:v>
      </x:c>
      <x:c r="B2126" s="10" t="n">
        <x:v>3</x:v>
      </x:c>
      <x:c r="C2126" s="9" t="d">
        <x:v>2011-11-16T00:00:00.000Z</x:v>
      </x:c>
      <x:c r="D2126" s="9" t="d">
        <x:v>2011-11-23T00:00:00.000Z</x:v>
      </x:c>
      <x:c r="E2126" s="1" t="str">
        <x:v>seasonal_naive</x:v>
      </x:c>
      <x:c r="F2126" s="10" t="n">
        <x:v>15</x:v>
      </x:c>
      <x:c r="G2126" s="10" t="n">
        <x:v>20</x:v>
      </x:c>
      <x:c r="H2126" s="10" t="n">
        <x:f>ABS(G2126-F2126)</x:f>
        <x:v>5</x:v>
      </x:c>
      <x:c r="I2126" s="10" t="n">
        <x:f>G2126-F2126</x:f>
        <x:v>5</x:v>
      </x:c>
    </x:row>
    <x:row r="2127" ht="20" customHeight="1">
      <x:c r="A2127" s="1" t="str">
        <x:v>84378</x:v>
      </x:c>
      <x:c r="B2127" s="10" t="n">
        <x:v>3</x:v>
      </x:c>
      <x:c r="C2127" s="9" t="d">
        <x:v>2011-11-16T00:00:00.000Z</x:v>
      </x:c>
      <x:c r="D2127" s="9" t="d">
        <x:v>2011-11-24T00:00:00.000Z</x:v>
      </x:c>
      <x:c r="E2127" s="1" t="str">
        <x:v>seasonal_naive</x:v>
      </x:c>
      <x:c r="F2127" s="10" t="n">
        <x:v>18</x:v>
      </x:c>
      <x:c r="G2127" s="10" t="n">
        <x:v>13</x:v>
      </x:c>
      <x:c r="H2127" s="10" t="n">
        <x:f>ABS(G2127-F2127)</x:f>
        <x:v>5</x:v>
      </x:c>
      <x:c r="I2127" s="10" t="n">
        <x:f>G2127-F2127</x:f>
        <x:v>-5</x:v>
      </x:c>
    </x:row>
    <x:row r="2128" ht="20" customHeight="1">
      <x:c r="A2128" s="1" t="str">
        <x:v>84378</x:v>
      </x:c>
      <x:c r="B2128" s="10" t="n">
        <x:v>3</x:v>
      </x:c>
      <x:c r="C2128" s="9" t="d">
        <x:v>2011-11-16T00:00:00.000Z</x:v>
      </x:c>
      <x:c r="D2128" s="9" t="d">
        <x:v>2011-11-25T00:00:00.000Z</x:v>
      </x:c>
      <x:c r="E2128" s="1" t="str">
        <x:v>seasonal_naive</x:v>
      </x:c>
      <x:c r="F2128" s="10" t="n">
        <x:v>4</x:v>
      </x:c>
      <x:c r="G2128" s="10" t="n">
        <x:v>16</x:v>
      </x:c>
      <x:c r="H2128" s="10" t="n">
        <x:f>ABS(G2128-F2128)</x:f>
        <x:v>12</x:v>
      </x:c>
      <x:c r="I2128" s="10" t="n">
        <x:f>G2128-F2128</x:f>
        <x:v>12</x:v>
      </x:c>
    </x:row>
    <x:row r="2129" ht="20" customHeight="1">
      <x:c r="A2129" s="1" t="str">
        <x:v>84378</x:v>
      </x:c>
      <x:c r="B2129" s="10" t="n">
        <x:v>3</x:v>
      </x:c>
      <x:c r="C2129" s="9" t="d">
        <x:v>2011-11-16T00:00:00.000Z</x:v>
      </x:c>
      <x:c r="D2129" s="9" t="d">
        <x:v>2011-11-26T00:00:00.000Z</x:v>
      </x:c>
      <x:c r="E2129" s="1" t="str">
        <x:v>seasonal_naive</x:v>
      </x:c>
      <x:c r="F2129" s="10" t="n">
        <x:v>0</x:v>
      </x:c>
      <x:c r="G2129" s="10" t="n">
        <x:v>0</x:v>
      </x:c>
      <x:c r="H2129" s="10" t="n">
        <x:f>ABS(G2129-F2129)</x:f>
        <x:v>0</x:v>
      </x:c>
      <x:c r="I2129" s="10" t="n">
        <x:f>G2129-F2129</x:f>
        <x:v>0</x:v>
      </x:c>
    </x:row>
    <x:row r="2130" ht="20" customHeight="1">
      <x:c r="A2130" s="1" t="str">
        <x:v>84378</x:v>
      </x:c>
      <x:c r="B2130" s="10" t="n">
        <x:v>3</x:v>
      </x:c>
      <x:c r="C2130" s="9" t="d">
        <x:v>2011-11-16T00:00:00.000Z</x:v>
      </x:c>
      <x:c r="D2130" s="9" t="d">
        <x:v>2011-11-27T00:00:00.000Z</x:v>
      </x:c>
      <x:c r="E2130" s="1" t="str">
        <x:v>seasonal_naive</x:v>
      </x:c>
      <x:c r="F2130" s="10" t="n">
        <x:v>2</x:v>
      </x:c>
      <x:c r="G2130" s="10" t="n">
        <x:v>26</x:v>
      </x:c>
      <x:c r="H2130" s="10" t="n">
        <x:f>ABS(G2130-F2130)</x:f>
        <x:v>24</x:v>
      </x:c>
      <x:c r="I2130" s="10" t="n">
        <x:f>G2130-F2130</x:f>
        <x:v>24</x:v>
      </x:c>
    </x:row>
    <x:row r="2131" ht="20" customHeight="1">
      <x:c r="A2131" s="1" t="str">
        <x:v>84378</x:v>
      </x:c>
      <x:c r="B2131" s="10" t="n">
        <x:v>3</x:v>
      </x:c>
      <x:c r="C2131" s="9" t="d">
        <x:v>2011-11-16T00:00:00.000Z</x:v>
      </x:c>
      <x:c r="D2131" s="9" t="d">
        <x:v>2011-11-28T00:00:00.000Z</x:v>
      </x:c>
      <x:c r="E2131" s="1" t="str">
        <x:v>seasonal_naive</x:v>
      </x:c>
      <x:c r="F2131" s="10" t="n">
        <x:v>37</x:v>
      </x:c>
      <x:c r="G2131" s="10" t="n">
        <x:v>7</x:v>
      </x:c>
      <x:c r="H2131" s="10" t="n">
        <x:f>ABS(G2131-F2131)</x:f>
        <x:v>30</x:v>
      </x:c>
      <x:c r="I2131" s="10" t="n">
        <x:f>G2131-F2131</x:f>
        <x:v>-30</x:v>
      </x:c>
    </x:row>
    <x:row r="2132" ht="20" customHeight="1">
      <x:c r="A2132" s="1" t="str">
        <x:v>84378</x:v>
      </x:c>
      <x:c r="B2132" s="10" t="n">
        <x:v>3</x:v>
      </x:c>
      <x:c r="C2132" s="9" t="d">
        <x:v>2011-11-16T00:00:00.000Z</x:v>
      </x:c>
      <x:c r="D2132" s="9" t="d">
        <x:v>2011-11-29T00:00:00.000Z</x:v>
      </x:c>
      <x:c r="E2132" s="1" t="str">
        <x:v>seasonal_naive</x:v>
      </x:c>
      <x:c r="F2132" s="10" t="n">
        <x:v>784</x:v>
      </x:c>
      <x:c r="G2132" s="10" t="n">
        <x:v>34</x:v>
      </x:c>
      <x:c r="H2132" s="10" t="n">
        <x:f>ABS(G2132-F2132)</x:f>
        <x:v>750</x:v>
      </x:c>
      <x:c r="I2132" s="10" t="n">
        <x:f>G2132-F2132</x:f>
        <x:v>-750</x:v>
      </x:c>
    </x:row>
    <x:row r="2133" ht="20" customHeight="1">
      <x:c r="A2133" s="1" t="str">
        <x:v>84378</x:v>
      </x:c>
      <x:c r="B2133" s="10" t="n">
        <x:v>3</x:v>
      </x:c>
      <x:c r="C2133" s="9" t="d">
        <x:v>2011-11-16T00:00:00.000Z</x:v>
      </x:c>
      <x:c r="D2133" s="9" t="d">
        <x:v>2011-11-30T00:00:00.000Z</x:v>
      </x:c>
      <x:c r="E2133" s="1" t="str">
        <x:v>seasonal_naive</x:v>
      </x:c>
      <x:c r="F2133" s="10" t="n">
        <x:v>17</x:v>
      </x:c>
      <x:c r="G2133" s="10" t="n">
        <x:v>20</x:v>
      </x:c>
      <x:c r="H2133" s="10" t="n">
        <x:f>ABS(G2133-F2133)</x:f>
        <x:v>3</x:v>
      </x:c>
      <x:c r="I2133" s="10" t="n">
        <x:f>G2133-F2133</x:f>
        <x:v>3</x:v>
      </x:c>
    </x:row>
    <x:row r="2134" ht="20" customHeight="1">
      <x:c r="A2134" s="1" t="str">
        <x:v>84378</x:v>
      </x:c>
      <x:c r="B2134" s="10" t="n">
        <x:v>3</x:v>
      </x:c>
      <x:c r="C2134" s="9" t="d">
        <x:v>2011-11-16T00:00:00.000Z</x:v>
      </x:c>
      <x:c r="D2134" s="9" t="d">
        <x:v>2011-11-17T00:00:00.000Z</x:v>
      </x:c>
      <x:c r="E2134" s="1" t="str">
        <x:v>ridge</x:v>
      </x:c>
      <x:c r="F2134" s="10" t="n">
        <x:v>28</x:v>
      </x:c>
      <x:c r="G2134" s="10" t="n">
        <x:v>18.0160515848</x:v>
      </x:c>
      <x:c r="H2134" s="10" t="n">
        <x:f>ABS(G2134-F2134)</x:f>
        <x:v>9.9839484152</x:v>
      </x:c>
      <x:c r="I2134" s="10" t="n">
        <x:f>G2134-F2134</x:f>
        <x:v>-9.9839484152</x:v>
      </x:c>
    </x:row>
    <x:row r="2135" ht="20" customHeight="1">
      <x:c r="A2135" s="1" t="str">
        <x:v>84378</x:v>
      </x:c>
      <x:c r="B2135" s="10" t="n">
        <x:v>3</x:v>
      </x:c>
      <x:c r="C2135" s="9" t="d">
        <x:v>2011-11-16T00:00:00.000Z</x:v>
      </x:c>
      <x:c r="D2135" s="9" t="d">
        <x:v>2011-11-18T00:00:00.000Z</x:v>
      </x:c>
      <x:c r="E2135" s="1" t="str">
        <x:v>ridge</x:v>
      </x:c>
      <x:c r="F2135" s="10" t="n">
        <x:v>24</x:v>
      </x:c>
      <x:c r="G2135" s="10" t="n">
        <x:v>14.6050836275</x:v>
      </x:c>
      <x:c r="H2135" s="10" t="n">
        <x:f>ABS(G2135-F2135)</x:f>
        <x:v>9.3949163725</x:v>
      </x:c>
      <x:c r="I2135" s="10" t="n">
        <x:f>G2135-F2135</x:f>
        <x:v>-9.3949163725</x:v>
      </x:c>
    </x:row>
    <x:row r="2136" ht="20" customHeight="1">
      <x:c r="A2136" s="1" t="str">
        <x:v>84378</x:v>
      </x:c>
      <x:c r="B2136" s="10" t="n">
        <x:v>3</x:v>
      </x:c>
      <x:c r="C2136" s="9" t="d">
        <x:v>2011-11-16T00:00:00.000Z</x:v>
      </x:c>
      <x:c r="D2136" s="9" t="d">
        <x:v>2011-11-19T00:00:00.000Z</x:v>
      </x:c>
      <x:c r="E2136" s="1" t="str">
        <x:v>ridge</x:v>
      </x:c>
      <x:c r="F2136" s="10" t="n">
        <x:v>0</x:v>
      </x:c>
      <x:c r="G2136" s="10" t="n">
        <x:v>9.358484059</x:v>
      </x:c>
      <x:c r="H2136" s="10" t="n">
        <x:f>ABS(G2136-F2136)</x:f>
        <x:v>9.358484059</x:v>
      </x:c>
      <x:c r="I2136" s="10" t="n">
        <x:f>G2136-F2136</x:f>
        <x:v>9.358484059</x:v>
      </x:c>
    </x:row>
    <x:row r="2137" ht="20" customHeight="1">
      <x:c r="A2137" s="1" t="str">
        <x:v>84378</x:v>
      </x:c>
      <x:c r="B2137" s="10" t="n">
        <x:v>3</x:v>
      </x:c>
      <x:c r="C2137" s="9" t="d">
        <x:v>2011-11-16T00:00:00.000Z</x:v>
      </x:c>
      <x:c r="D2137" s="9" t="d">
        <x:v>2011-11-20T00:00:00.000Z</x:v>
      </x:c>
      <x:c r="E2137" s="1" t="str">
        <x:v>ridge</x:v>
      </x:c>
      <x:c r="F2137" s="10" t="n">
        <x:v>9</x:v>
      </x:c>
      <x:c r="G2137" s="10" t="n">
        <x:v>13.6620714629</x:v>
      </x:c>
      <x:c r="H2137" s="10" t="n">
        <x:f>ABS(G2137-F2137)</x:f>
        <x:v>4.6620714629</x:v>
      </x:c>
      <x:c r="I2137" s="10" t="n">
        <x:f>G2137-F2137</x:f>
        <x:v>4.6620714629</x:v>
      </x:c>
    </x:row>
    <x:row r="2138" ht="20" customHeight="1">
      <x:c r="A2138" s="1" t="str">
        <x:v>84378</x:v>
      </x:c>
      <x:c r="B2138" s="10" t="n">
        <x:v>3</x:v>
      </x:c>
      <x:c r="C2138" s="9" t="d">
        <x:v>2011-11-16T00:00:00.000Z</x:v>
      </x:c>
      <x:c r="D2138" s="9" t="d">
        <x:v>2011-11-21T00:00:00.000Z</x:v>
      </x:c>
      <x:c r="E2138" s="1" t="str">
        <x:v>ridge</x:v>
      </x:c>
      <x:c r="F2138" s="10" t="n">
        <x:v>116</x:v>
      </x:c>
      <x:c r="G2138" s="10" t="n">
        <x:v>12.9059283196</x:v>
      </x:c>
      <x:c r="H2138" s="10" t="n">
        <x:f>ABS(G2138-F2138)</x:f>
        <x:v>103.0940716804</x:v>
      </x:c>
      <x:c r="I2138" s="10" t="n">
        <x:f>G2138-F2138</x:f>
        <x:v>-103.0940716804</x:v>
      </x:c>
    </x:row>
    <x:row r="2139" ht="20" customHeight="1">
      <x:c r="A2139" s="1" t="str">
        <x:v>84378</x:v>
      </x:c>
      <x:c r="B2139" s="10" t="n">
        <x:v>3</x:v>
      </x:c>
      <x:c r="C2139" s="9" t="d">
        <x:v>2011-11-16T00:00:00.000Z</x:v>
      </x:c>
      <x:c r="D2139" s="9" t="d">
        <x:v>2011-11-22T00:00:00.000Z</x:v>
      </x:c>
      <x:c r="E2139" s="1" t="str">
        <x:v>ridge</x:v>
      </x:c>
      <x:c r="F2139" s="10" t="n">
        <x:v>88</x:v>
      </x:c>
      <x:c r="G2139" s="10" t="n">
        <x:v>20.1576463648</x:v>
      </x:c>
      <x:c r="H2139" s="10" t="n">
        <x:f>ABS(G2139-F2139)</x:f>
        <x:v>67.8423536352</x:v>
      </x:c>
      <x:c r="I2139" s="10" t="n">
        <x:f>G2139-F2139</x:f>
        <x:v>-67.8423536352</x:v>
      </x:c>
    </x:row>
    <x:row r="2140" ht="20" customHeight="1">
      <x:c r="A2140" s="1" t="str">
        <x:v>84378</x:v>
      </x:c>
      <x:c r="B2140" s="10" t="n">
        <x:v>3</x:v>
      </x:c>
      <x:c r="C2140" s="9" t="d">
        <x:v>2011-11-16T00:00:00.000Z</x:v>
      </x:c>
      <x:c r="D2140" s="9" t="d">
        <x:v>2011-11-23T00:00:00.000Z</x:v>
      </x:c>
      <x:c r="E2140" s="1" t="str">
        <x:v>ridge</x:v>
      </x:c>
      <x:c r="F2140" s="10" t="n">
        <x:v>15</x:v>
      </x:c>
      <x:c r="G2140" s="10" t="n">
        <x:v>21.5580588291</x:v>
      </x:c>
      <x:c r="H2140" s="10" t="n">
        <x:f>ABS(G2140-F2140)</x:f>
        <x:v>6.558058829099998</x:v>
      </x:c>
      <x:c r="I2140" s="10" t="n">
        <x:f>G2140-F2140</x:f>
        <x:v>6.558058829099998</x:v>
      </x:c>
    </x:row>
    <x:row r="2141" ht="20" customHeight="1">
      <x:c r="A2141" s="1" t="str">
        <x:v>84378</x:v>
      </x:c>
      <x:c r="B2141" s="10" t="n">
        <x:v>3</x:v>
      </x:c>
      <x:c r="C2141" s="9" t="d">
        <x:v>2011-11-16T00:00:00.000Z</x:v>
      </x:c>
      <x:c r="D2141" s="9" t="d">
        <x:v>2011-11-24T00:00:00.000Z</x:v>
      </x:c>
      <x:c r="E2141" s="1" t="str">
        <x:v>ridge</x:v>
      </x:c>
      <x:c r="F2141" s="10" t="n">
        <x:v>18</x:v>
      </x:c>
      <x:c r="G2141" s="10" t="n">
        <x:v>18.0536783144</x:v>
      </x:c>
      <x:c r="H2141" s="10" t="n">
        <x:f>ABS(G2141-F2141)</x:f>
        <x:v>0.05367831439999904</x:v>
      </x:c>
      <x:c r="I2141" s="10" t="n">
        <x:f>G2141-F2141</x:f>
        <x:v>0.05367831439999904</x:v>
      </x:c>
    </x:row>
    <x:row r="2142" ht="20" customHeight="1">
      <x:c r="A2142" s="1" t="str">
        <x:v>84378</x:v>
      </x:c>
      <x:c r="B2142" s="10" t="n">
        <x:v>3</x:v>
      </x:c>
      <x:c r="C2142" s="9" t="d">
        <x:v>2011-11-16T00:00:00.000Z</x:v>
      </x:c>
      <x:c r="D2142" s="9" t="d">
        <x:v>2011-11-25T00:00:00.000Z</x:v>
      </x:c>
      <x:c r="E2142" s="1" t="str">
        <x:v>ridge</x:v>
      </x:c>
      <x:c r="F2142" s="10" t="n">
        <x:v>4</x:v>
      </x:c>
      <x:c r="G2142" s="10" t="n">
        <x:v>14.1825602716</x:v>
      </x:c>
      <x:c r="H2142" s="10" t="n">
        <x:f>ABS(G2142-F2142)</x:f>
        <x:v>10.1825602716</x:v>
      </x:c>
      <x:c r="I2142" s="10" t="n">
        <x:f>G2142-F2142</x:f>
        <x:v>10.1825602716</x:v>
      </x:c>
    </x:row>
    <x:row r="2143" ht="20" customHeight="1">
      <x:c r="A2143" s="1" t="str">
        <x:v>84378</x:v>
      </x:c>
      <x:c r="B2143" s="10" t="n">
        <x:v>3</x:v>
      </x:c>
      <x:c r="C2143" s="9" t="d">
        <x:v>2011-11-16T00:00:00.000Z</x:v>
      </x:c>
      <x:c r="D2143" s="9" t="d">
        <x:v>2011-11-26T00:00:00.000Z</x:v>
      </x:c>
      <x:c r="E2143" s="1" t="str">
        <x:v>ridge</x:v>
      </x:c>
      <x:c r="F2143" s="10" t="n">
        <x:v>0</x:v>
      </x:c>
      <x:c r="G2143" s="10" t="n">
        <x:v>9.8418694039</x:v>
      </x:c>
      <x:c r="H2143" s="10" t="n">
        <x:f>ABS(G2143-F2143)</x:f>
        <x:v>9.8418694039</x:v>
      </x:c>
      <x:c r="I2143" s="10" t="n">
        <x:f>G2143-F2143</x:f>
        <x:v>9.8418694039</x:v>
      </x:c>
    </x:row>
    <x:row r="2144" ht="20" customHeight="1">
      <x:c r="A2144" s="1" t="str">
        <x:v>84378</x:v>
      </x:c>
      <x:c r="B2144" s="10" t="n">
        <x:v>3</x:v>
      </x:c>
      <x:c r="C2144" s="9" t="d">
        <x:v>2011-11-16T00:00:00.000Z</x:v>
      </x:c>
      <x:c r="D2144" s="9" t="d">
        <x:v>2011-11-27T00:00:00.000Z</x:v>
      </x:c>
      <x:c r="E2144" s="1" t="str">
        <x:v>ridge</x:v>
      </x:c>
      <x:c r="F2144" s="10" t="n">
        <x:v>2</x:v>
      </x:c>
      <x:c r="G2144" s="10" t="n">
        <x:v>11.7787869152</x:v>
      </x:c>
      <x:c r="H2144" s="10" t="n">
        <x:f>ABS(G2144-F2144)</x:f>
        <x:v>9.7787869152</x:v>
      </x:c>
      <x:c r="I2144" s="10" t="n">
        <x:f>G2144-F2144</x:f>
        <x:v>9.7787869152</x:v>
      </x:c>
    </x:row>
    <x:row r="2145" ht="20" customHeight="1">
      <x:c r="A2145" s="1" t="str">
        <x:v>84378</x:v>
      </x:c>
      <x:c r="B2145" s="10" t="n">
        <x:v>3</x:v>
      </x:c>
      <x:c r="C2145" s="9" t="d">
        <x:v>2011-11-16T00:00:00.000Z</x:v>
      </x:c>
      <x:c r="D2145" s="9" t="d">
        <x:v>2011-11-28T00:00:00.000Z</x:v>
      </x:c>
      <x:c r="E2145" s="1" t="str">
        <x:v>ridge</x:v>
      </x:c>
      <x:c r="F2145" s="10" t="n">
        <x:v>37</x:v>
      </x:c>
      <x:c r="G2145" s="10" t="n">
        <x:v>13.3778643397</x:v>
      </x:c>
      <x:c r="H2145" s="10" t="n">
        <x:f>ABS(G2145-F2145)</x:f>
        <x:v>23.6221356603</x:v>
      </x:c>
      <x:c r="I2145" s="10" t="n">
        <x:f>G2145-F2145</x:f>
        <x:v>-23.6221356603</x:v>
      </x:c>
    </x:row>
    <x:row r="2146" ht="20" customHeight="1">
      <x:c r="A2146" s="1" t="str">
        <x:v>84378</x:v>
      </x:c>
      <x:c r="B2146" s="10" t="n">
        <x:v>3</x:v>
      </x:c>
      <x:c r="C2146" s="9" t="d">
        <x:v>2011-11-16T00:00:00.000Z</x:v>
      </x:c>
      <x:c r="D2146" s="9" t="d">
        <x:v>2011-11-29T00:00:00.000Z</x:v>
      </x:c>
      <x:c r="E2146" s="1" t="str">
        <x:v>ridge</x:v>
      </x:c>
      <x:c r="F2146" s="10" t="n">
        <x:v>784</x:v>
      </x:c>
      <x:c r="G2146" s="10" t="n">
        <x:v>19.3956877671</x:v>
      </x:c>
      <x:c r="H2146" s="10" t="n">
        <x:f>ABS(G2146-F2146)</x:f>
        <x:v>764.6043122329</x:v>
      </x:c>
      <x:c r="I2146" s="10" t="n">
        <x:f>G2146-F2146</x:f>
        <x:v>-764.6043122329</x:v>
      </x:c>
    </x:row>
    <x:row r="2147" ht="20" customHeight="1">
      <x:c r="A2147" s="1" t="str">
        <x:v>84378</x:v>
      </x:c>
      <x:c r="B2147" s="10" t="n">
        <x:v>3</x:v>
      </x:c>
      <x:c r="C2147" s="9" t="d">
        <x:v>2011-11-16T00:00:00.000Z</x:v>
      </x:c>
      <x:c r="D2147" s="9" t="d">
        <x:v>2011-11-30T00:00:00.000Z</x:v>
      </x:c>
      <x:c r="E2147" s="1" t="str">
        <x:v>ridge</x:v>
      </x:c>
      <x:c r="F2147" s="10" t="n">
        <x:v>17</x:v>
      </x:c>
      <x:c r="G2147" s="10" t="n">
        <x:v>20.3087239976</x:v>
      </x:c>
      <x:c r="H2147" s="10" t="n">
        <x:f>ABS(G2147-F2147)</x:f>
        <x:v>3.3087239976000014</x:v>
      </x:c>
      <x:c r="I2147" s="10" t="n">
        <x:f>G2147-F2147</x:f>
        <x:v>3.3087239976000014</x:v>
      </x:c>
    </x:row>
    <x:row r="2148" ht="20" customHeight="1">
      <x:c r="A2148" s="1" t="str">
        <x:v>84879</x:v>
      </x:c>
      <x:c r="B2148" s="10" t="n">
        <x:v>1</x:v>
      </x:c>
      <x:c r="C2148" s="9" t="d">
        <x:v>2011-10-19T00:00:00.000Z</x:v>
      </x:c>
      <x:c r="D2148" s="9" t="d">
        <x:v>2011-10-20T00:00:00.000Z</x:v>
      </x:c>
      <x:c r="E2148" s="1" t="str">
        <x:v>naive</x:v>
      </x:c>
      <x:c r="F2148" s="10" t="n">
        <x:v>148</x:v>
      </x:c>
      <x:c r="G2148" s="10" t="n">
        <x:v>158</x:v>
      </x:c>
      <x:c r="H2148" s="10" t="n">
        <x:f>ABS(G2148-F2148)</x:f>
        <x:v>10</x:v>
      </x:c>
      <x:c r="I2148" s="10" t="n">
        <x:f>G2148-F2148</x:f>
        <x:v>10</x:v>
      </x:c>
    </x:row>
    <x:row r="2149" ht="20" customHeight="1">
      <x:c r="A2149" s="1" t="str">
        <x:v>84879</x:v>
      </x:c>
      <x:c r="B2149" s="10" t="n">
        <x:v>1</x:v>
      </x:c>
      <x:c r="C2149" s="9" t="d">
        <x:v>2011-10-19T00:00:00.000Z</x:v>
      </x:c>
      <x:c r="D2149" s="9" t="d">
        <x:v>2011-10-21T00:00:00.000Z</x:v>
      </x:c>
      <x:c r="E2149" s="1" t="str">
        <x:v>naive</x:v>
      </x:c>
      <x:c r="F2149" s="10" t="n">
        <x:v>16</x:v>
      </x:c>
      <x:c r="G2149" s="10" t="n">
        <x:v>158</x:v>
      </x:c>
      <x:c r="H2149" s="10" t="n">
        <x:f>ABS(G2149-F2149)</x:f>
        <x:v>142</x:v>
      </x:c>
      <x:c r="I2149" s="10" t="n">
        <x:f>G2149-F2149</x:f>
        <x:v>142</x:v>
      </x:c>
    </x:row>
    <x:row r="2150" ht="20" customHeight="1">
      <x:c r="A2150" s="1" t="str">
        <x:v>84879</x:v>
      </x:c>
      <x:c r="B2150" s="10" t="n">
        <x:v>1</x:v>
      </x:c>
      <x:c r="C2150" s="9" t="d">
        <x:v>2011-10-19T00:00:00.000Z</x:v>
      </x:c>
      <x:c r="D2150" s="9" t="d">
        <x:v>2011-10-22T00:00:00.000Z</x:v>
      </x:c>
      <x:c r="E2150" s="1" t="str">
        <x:v>naive</x:v>
      </x:c>
      <x:c r="F2150" s="10" t="n">
        <x:v>0</x:v>
      </x:c>
      <x:c r="G2150" s="10" t="n">
        <x:v>158</x:v>
      </x:c>
      <x:c r="H2150" s="10" t="n">
        <x:f>ABS(G2150-F2150)</x:f>
        <x:v>158</x:v>
      </x:c>
      <x:c r="I2150" s="10" t="n">
        <x:f>G2150-F2150</x:f>
        <x:v>158</x:v>
      </x:c>
    </x:row>
    <x:row r="2151" ht="20" customHeight="1">
      <x:c r="A2151" s="1" t="str">
        <x:v>84879</x:v>
      </x:c>
      <x:c r="B2151" s="10" t="n">
        <x:v>1</x:v>
      </x:c>
      <x:c r="C2151" s="9" t="d">
        <x:v>2011-10-19T00:00:00.000Z</x:v>
      </x:c>
      <x:c r="D2151" s="9" t="d">
        <x:v>2011-10-23T00:00:00.000Z</x:v>
      </x:c>
      <x:c r="E2151" s="1" t="str">
        <x:v>naive</x:v>
      </x:c>
      <x:c r="F2151" s="10" t="n">
        <x:v>59</x:v>
      </x:c>
      <x:c r="G2151" s="10" t="n">
        <x:v>158</x:v>
      </x:c>
      <x:c r="H2151" s="10" t="n">
        <x:f>ABS(G2151-F2151)</x:f>
        <x:v>99</x:v>
      </x:c>
      <x:c r="I2151" s="10" t="n">
        <x:f>G2151-F2151</x:f>
        <x:v>99</x:v>
      </x:c>
    </x:row>
    <x:row r="2152" ht="20" customHeight="1">
      <x:c r="A2152" s="1" t="str">
        <x:v>84879</x:v>
      </x:c>
      <x:c r="B2152" s="10" t="n">
        <x:v>1</x:v>
      </x:c>
      <x:c r="C2152" s="9" t="d">
        <x:v>2011-10-19T00:00:00.000Z</x:v>
      </x:c>
      <x:c r="D2152" s="9" t="d">
        <x:v>2011-10-24T00:00:00.000Z</x:v>
      </x:c>
      <x:c r="E2152" s="1" t="str">
        <x:v>naive</x:v>
      </x:c>
      <x:c r="F2152" s="10" t="n">
        <x:v>128</x:v>
      </x:c>
      <x:c r="G2152" s="10" t="n">
        <x:v>158</x:v>
      </x:c>
      <x:c r="H2152" s="10" t="n">
        <x:f>ABS(G2152-F2152)</x:f>
        <x:v>30</x:v>
      </x:c>
      <x:c r="I2152" s="10" t="n">
        <x:f>G2152-F2152</x:f>
        <x:v>30</x:v>
      </x:c>
    </x:row>
    <x:row r="2153" ht="20" customHeight="1">
      <x:c r="A2153" s="1" t="str">
        <x:v>84879</x:v>
      </x:c>
      <x:c r="B2153" s="10" t="n">
        <x:v>1</x:v>
      </x:c>
      <x:c r="C2153" s="9" t="d">
        <x:v>2011-10-19T00:00:00.000Z</x:v>
      </x:c>
      <x:c r="D2153" s="9" t="d">
        <x:v>2011-10-25T00:00:00.000Z</x:v>
      </x:c>
      <x:c r="E2153" s="1" t="str">
        <x:v>naive</x:v>
      </x:c>
      <x:c r="F2153" s="10" t="n">
        <x:v>80</x:v>
      </x:c>
      <x:c r="G2153" s="10" t="n">
        <x:v>158</x:v>
      </x:c>
      <x:c r="H2153" s="10" t="n">
        <x:f>ABS(G2153-F2153)</x:f>
        <x:v>78</x:v>
      </x:c>
      <x:c r="I2153" s="10" t="n">
        <x:f>G2153-F2153</x:f>
        <x:v>78</x:v>
      </x:c>
    </x:row>
    <x:row r="2154" ht="20" customHeight="1">
      <x:c r="A2154" s="1" t="str">
        <x:v>84879</x:v>
      </x:c>
      <x:c r="B2154" s="10" t="n">
        <x:v>1</x:v>
      </x:c>
      <x:c r="C2154" s="9" t="d">
        <x:v>2011-10-19T00:00:00.000Z</x:v>
      </x:c>
      <x:c r="D2154" s="9" t="d">
        <x:v>2011-10-26T00:00:00.000Z</x:v>
      </x:c>
      <x:c r="E2154" s="1" t="str">
        <x:v>naive</x:v>
      </x:c>
      <x:c r="F2154" s="10" t="n">
        <x:v>217</x:v>
      </x:c>
      <x:c r="G2154" s="10" t="n">
        <x:v>158</x:v>
      </x:c>
      <x:c r="H2154" s="10" t="n">
        <x:f>ABS(G2154-F2154)</x:f>
        <x:v>59</x:v>
      </x:c>
      <x:c r="I2154" s="10" t="n">
        <x:f>G2154-F2154</x:f>
        <x:v>-59</x:v>
      </x:c>
    </x:row>
    <x:row r="2155" ht="20" customHeight="1">
      <x:c r="A2155" s="1" t="str">
        <x:v>84879</x:v>
      </x:c>
      <x:c r="B2155" s="10" t="n">
        <x:v>1</x:v>
      </x:c>
      <x:c r="C2155" s="9" t="d">
        <x:v>2011-10-19T00:00:00.000Z</x:v>
      </x:c>
      <x:c r="D2155" s="9" t="d">
        <x:v>2011-10-27T00:00:00.000Z</x:v>
      </x:c>
      <x:c r="E2155" s="1" t="str">
        <x:v>naive</x:v>
      </x:c>
      <x:c r="F2155" s="10" t="n">
        <x:v>40</x:v>
      </x:c>
      <x:c r="G2155" s="10" t="n">
        <x:v>158</x:v>
      </x:c>
      <x:c r="H2155" s="10" t="n">
        <x:f>ABS(G2155-F2155)</x:f>
        <x:v>118</x:v>
      </x:c>
      <x:c r="I2155" s="10" t="n">
        <x:f>G2155-F2155</x:f>
        <x:v>118</x:v>
      </x:c>
    </x:row>
    <x:row r="2156" ht="20" customHeight="1">
      <x:c r="A2156" s="1" t="str">
        <x:v>84879</x:v>
      </x:c>
      <x:c r="B2156" s="10" t="n">
        <x:v>1</x:v>
      </x:c>
      <x:c r="C2156" s="9" t="d">
        <x:v>2011-10-19T00:00:00.000Z</x:v>
      </x:c>
      <x:c r="D2156" s="9" t="d">
        <x:v>2011-10-28T00:00:00.000Z</x:v>
      </x:c>
      <x:c r="E2156" s="1" t="str">
        <x:v>naive</x:v>
      </x:c>
      <x:c r="F2156" s="10" t="n">
        <x:v>49</x:v>
      </x:c>
      <x:c r="G2156" s="10" t="n">
        <x:v>158</x:v>
      </x:c>
      <x:c r="H2156" s="10" t="n">
        <x:f>ABS(G2156-F2156)</x:f>
        <x:v>109</x:v>
      </x:c>
      <x:c r="I2156" s="10" t="n">
        <x:f>G2156-F2156</x:f>
        <x:v>109</x:v>
      </x:c>
    </x:row>
    <x:row r="2157" ht="20" customHeight="1">
      <x:c r="A2157" s="1" t="str">
        <x:v>84879</x:v>
      </x:c>
      <x:c r="B2157" s="10" t="n">
        <x:v>1</x:v>
      </x:c>
      <x:c r="C2157" s="9" t="d">
        <x:v>2011-10-19T00:00:00.000Z</x:v>
      </x:c>
      <x:c r="D2157" s="9" t="d">
        <x:v>2011-10-29T00:00:00.000Z</x:v>
      </x:c>
      <x:c r="E2157" s="1" t="str">
        <x:v>naive</x:v>
      </x:c>
      <x:c r="F2157" s="10" t="n">
        <x:v>0</x:v>
      </x:c>
      <x:c r="G2157" s="10" t="n">
        <x:v>158</x:v>
      </x:c>
      <x:c r="H2157" s="10" t="n">
        <x:f>ABS(G2157-F2157)</x:f>
        <x:v>158</x:v>
      </x:c>
      <x:c r="I2157" s="10" t="n">
        <x:f>G2157-F2157</x:f>
        <x:v>158</x:v>
      </x:c>
    </x:row>
    <x:row r="2158" ht="20" customHeight="1">
      <x:c r="A2158" s="1" t="str">
        <x:v>84879</x:v>
      </x:c>
      <x:c r="B2158" s="10" t="n">
        <x:v>1</x:v>
      </x:c>
      <x:c r="C2158" s="9" t="d">
        <x:v>2011-10-19T00:00:00.000Z</x:v>
      </x:c>
      <x:c r="D2158" s="9" t="d">
        <x:v>2011-10-30T00:00:00.000Z</x:v>
      </x:c>
      <x:c r="E2158" s="1" t="str">
        <x:v>naive</x:v>
      </x:c>
      <x:c r="F2158" s="10" t="n">
        <x:v>264</x:v>
      </x:c>
      <x:c r="G2158" s="10" t="n">
        <x:v>158</x:v>
      </x:c>
      <x:c r="H2158" s="10" t="n">
        <x:f>ABS(G2158-F2158)</x:f>
        <x:v>106</x:v>
      </x:c>
      <x:c r="I2158" s="10" t="n">
        <x:f>G2158-F2158</x:f>
        <x:v>-106</x:v>
      </x:c>
    </x:row>
    <x:row r="2159" ht="20" customHeight="1">
      <x:c r="A2159" s="1" t="str">
        <x:v>84879</x:v>
      </x:c>
      <x:c r="B2159" s="10" t="n">
        <x:v>1</x:v>
      </x:c>
      <x:c r="C2159" s="9" t="d">
        <x:v>2011-10-19T00:00:00.000Z</x:v>
      </x:c>
      <x:c r="D2159" s="9" t="d">
        <x:v>2011-10-31T00:00:00.000Z</x:v>
      </x:c>
      <x:c r="E2159" s="1" t="str">
        <x:v>naive</x:v>
      </x:c>
      <x:c r="F2159" s="10" t="n">
        <x:v>120</x:v>
      </x:c>
      <x:c r="G2159" s="10" t="n">
        <x:v>158</x:v>
      </x:c>
      <x:c r="H2159" s="10" t="n">
        <x:f>ABS(G2159-F2159)</x:f>
        <x:v>38</x:v>
      </x:c>
      <x:c r="I2159" s="10" t="n">
        <x:f>G2159-F2159</x:f>
        <x:v>38</x:v>
      </x:c>
    </x:row>
    <x:row r="2160" ht="20" customHeight="1">
      <x:c r="A2160" s="1" t="str">
        <x:v>84879</x:v>
      </x:c>
      <x:c r="B2160" s="10" t="n">
        <x:v>1</x:v>
      </x:c>
      <x:c r="C2160" s="9" t="d">
        <x:v>2011-10-19T00:00:00.000Z</x:v>
      </x:c>
      <x:c r="D2160" s="9" t="d">
        <x:v>2011-11-01T00:00:00.000Z</x:v>
      </x:c>
      <x:c r="E2160" s="1" t="str">
        <x:v>naive</x:v>
      </x:c>
      <x:c r="F2160" s="10" t="n">
        <x:v>294</x:v>
      </x:c>
      <x:c r="G2160" s="10" t="n">
        <x:v>158</x:v>
      </x:c>
      <x:c r="H2160" s="10" t="n">
        <x:f>ABS(G2160-F2160)</x:f>
        <x:v>136</x:v>
      </x:c>
      <x:c r="I2160" s="10" t="n">
        <x:f>G2160-F2160</x:f>
        <x:v>-136</x:v>
      </x:c>
    </x:row>
    <x:row r="2161" ht="20" customHeight="1">
      <x:c r="A2161" s="1" t="str">
        <x:v>84879</x:v>
      </x:c>
      <x:c r="B2161" s="10" t="n">
        <x:v>1</x:v>
      </x:c>
      <x:c r="C2161" s="9" t="d">
        <x:v>2011-10-19T00:00:00.000Z</x:v>
      </x:c>
      <x:c r="D2161" s="9" t="d">
        <x:v>2011-11-02T00:00:00.000Z</x:v>
      </x:c>
      <x:c r="E2161" s="1" t="str">
        <x:v>naive</x:v>
      </x:c>
      <x:c r="F2161" s="10" t="n">
        <x:v>128</x:v>
      </x:c>
      <x:c r="G2161" s="10" t="n">
        <x:v>158</x:v>
      </x:c>
      <x:c r="H2161" s="10" t="n">
        <x:f>ABS(G2161-F2161)</x:f>
        <x:v>30</x:v>
      </x:c>
      <x:c r="I2161" s="10" t="n">
        <x:f>G2161-F2161</x:f>
        <x:v>30</x:v>
      </x:c>
    </x:row>
    <x:row r="2162" ht="20" customHeight="1">
      <x:c r="A2162" s="1" t="str">
        <x:v>84879</x:v>
      </x:c>
      <x:c r="B2162" s="10" t="n">
        <x:v>1</x:v>
      </x:c>
      <x:c r="C2162" s="9" t="d">
        <x:v>2011-10-19T00:00:00.000Z</x:v>
      </x:c>
      <x:c r="D2162" s="9" t="d">
        <x:v>2011-10-20T00:00:00.000Z</x:v>
      </x:c>
      <x:c r="E2162" s="1" t="str">
        <x:v>seasonal_naive</x:v>
      </x:c>
      <x:c r="F2162" s="10" t="n">
        <x:v>148</x:v>
      </x:c>
      <x:c r="G2162" s="10" t="n">
        <x:v>116</x:v>
      </x:c>
      <x:c r="H2162" s="10" t="n">
        <x:f>ABS(G2162-F2162)</x:f>
        <x:v>32</x:v>
      </x:c>
      <x:c r="I2162" s="10" t="n">
        <x:f>G2162-F2162</x:f>
        <x:v>-32</x:v>
      </x:c>
    </x:row>
    <x:row r="2163" ht="20" customHeight="1">
      <x:c r="A2163" s="1" t="str">
        <x:v>84879</x:v>
      </x:c>
      <x:c r="B2163" s="10" t="n">
        <x:v>1</x:v>
      </x:c>
      <x:c r="C2163" s="9" t="d">
        <x:v>2011-10-19T00:00:00.000Z</x:v>
      </x:c>
      <x:c r="D2163" s="9" t="d">
        <x:v>2011-10-21T00:00:00.000Z</x:v>
      </x:c>
      <x:c r="E2163" s="1" t="str">
        <x:v>seasonal_naive</x:v>
      </x:c>
      <x:c r="F2163" s="10" t="n">
        <x:v>16</x:v>
      </x:c>
      <x:c r="G2163" s="10" t="n">
        <x:v>72</x:v>
      </x:c>
      <x:c r="H2163" s="10" t="n">
        <x:f>ABS(G2163-F2163)</x:f>
        <x:v>56</x:v>
      </x:c>
      <x:c r="I2163" s="10" t="n">
        <x:f>G2163-F2163</x:f>
        <x:v>56</x:v>
      </x:c>
    </x:row>
    <x:row r="2164" ht="20" customHeight="1">
      <x:c r="A2164" s="1" t="str">
        <x:v>84879</x:v>
      </x:c>
      <x:c r="B2164" s="10" t="n">
        <x:v>1</x:v>
      </x:c>
      <x:c r="C2164" s="9" t="d">
        <x:v>2011-10-19T00:00:00.000Z</x:v>
      </x:c>
      <x:c r="D2164" s="9" t="d">
        <x:v>2011-10-22T00:00:00.000Z</x:v>
      </x:c>
      <x:c r="E2164" s="1" t="str">
        <x:v>seasonal_naive</x:v>
      </x:c>
      <x:c r="F2164" s="10" t="n">
        <x:v>0</x:v>
      </x:c>
      <x:c r="G2164" s="10" t="n">
        <x:v>0</x:v>
      </x:c>
      <x:c r="H2164" s="10" t="n">
        <x:f>ABS(G2164-F2164)</x:f>
        <x:v>0</x:v>
      </x:c>
      <x:c r="I2164" s="10" t="n">
        <x:f>G2164-F2164</x:f>
        <x:v>0</x:v>
      </x:c>
    </x:row>
    <x:row r="2165" ht="20" customHeight="1">
      <x:c r="A2165" s="1" t="str">
        <x:v>84879</x:v>
      </x:c>
      <x:c r="B2165" s="10" t="n">
        <x:v>1</x:v>
      </x:c>
      <x:c r="C2165" s="9" t="d">
        <x:v>2011-10-19T00:00:00.000Z</x:v>
      </x:c>
      <x:c r="D2165" s="9" t="d">
        <x:v>2011-10-23T00:00:00.000Z</x:v>
      </x:c>
      <x:c r="E2165" s="1" t="str">
        <x:v>seasonal_naive</x:v>
      </x:c>
      <x:c r="F2165" s="10" t="n">
        <x:v>59</x:v>
      </x:c>
      <x:c r="G2165" s="10" t="n">
        <x:v>60</x:v>
      </x:c>
      <x:c r="H2165" s="10" t="n">
        <x:f>ABS(G2165-F2165)</x:f>
        <x:v>1</x:v>
      </x:c>
      <x:c r="I2165" s="10" t="n">
        <x:f>G2165-F2165</x:f>
        <x:v>1</x:v>
      </x:c>
    </x:row>
    <x:row r="2166" ht="20" customHeight="1">
      <x:c r="A2166" s="1" t="str">
        <x:v>84879</x:v>
      </x:c>
      <x:c r="B2166" s="10" t="n">
        <x:v>1</x:v>
      </x:c>
      <x:c r="C2166" s="9" t="d">
        <x:v>2011-10-19T00:00:00.000Z</x:v>
      </x:c>
      <x:c r="D2166" s="9" t="d">
        <x:v>2011-10-24T00:00:00.000Z</x:v>
      </x:c>
      <x:c r="E2166" s="1" t="str">
        <x:v>seasonal_naive</x:v>
      </x:c>
      <x:c r="F2166" s="10" t="n">
        <x:v>128</x:v>
      </x:c>
      <x:c r="G2166" s="10" t="n">
        <x:v>392</x:v>
      </x:c>
      <x:c r="H2166" s="10" t="n">
        <x:f>ABS(G2166-F2166)</x:f>
        <x:v>264</x:v>
      </x:c>
      <x:c r="I2166" s="10" t="n">
        <x:f>G2166-F2166</x:f>
        <x:v>264</x:v>
      </x:c>
    </x:row>
    <x:row r="2167" ht="20" customHeight="1">
      <x:c r="A2167" s="1" t="str">
        <x:v>84879</x:v>
      </x:c>
      <x:c r="B2167" s="10" t="n">
        <x:v>1</x:v>
      </x:c>
      <x:c r="C2167" s="9" t="d">
        <x:v>2011-10-19T00:00:00.000Z</x:v>
      </x:c>
      <x:c r="D2167" s="9" t="d">
        <x:v>2011-10-25T00:00:00.000Z</x:v>
      </x:c>
      <x:c r="E2167" s="1" t="str">
        <x:v>seasonal_naive</x:v>
      </x:c>
      <x:c r="F2167" s="10" t="n">
        <x:v>80</x:v>
      </x:c>
      <x:c r="G2167" s="10" t="n">
        <x:v>48</x:v>
      </x:c>
      <x:c r="H2167" s="10" t="n">
        <x:f>ABS(G2167-F2167)</x:f>
        <x:v>32</x:v>
      </x:c>
      <x:c r="I2167" s="10" t="n">
        <x:f>G2167-F2167</x:f>
        <x:v>-32</x:v>
      </x:c>
    </x:row>
    <x:row r="2168" ht="20" customHeight="1">
      <x:c r="A2168" s="1" t="str">
        <x:v>84879</x:v>
      </x:c>
      <x:c r="B2168" s="10" t="n">
        <x:v>1</x:v>
      </x:c>
      <x:c r="C2168" s="9" t="d">
        <x:v>2011-10-19T00:00:00.000Z</x:v>
      </x:c>
      <x:c r="D2168" s="9" t="d">
        <x:v>2011-10-26T00:00:00.000Z</x:v>
      </x:c>
      <x:c r="E2168" s="1" t="str">
        <x:v>seasonal_naive</x:v>
      </x:c>
      <x:c r="F2168" s="10" t="n">
        <x:v>217</x:v>
      </x:c>
      <x:c r="G2168" s="10" t="n">
        <x:v>158</x:v>
      </x:c>
      <x:c r="H2168" s="10" t="n">
        <x:f>ABS(G2168-F2168)</x:f>
        <x:v>59</x:v>
      </x:c>
      <x:c r="I2168" s="10" t="n">
        <x:f>G2168-F2168</x:f>
        <x:v>-59</x:v>
      </x:c>
    </x:row>
    <x:row r="2169" ht="20" customHeight="1">
      <x:c r="A2169" s="1" t="str">
        <x:v>84879</x:v>
      </x:c>
      <x:c r="B2169" s="10" t="n">
        <x:v>1</x:v>
      </x:c>
      <x:c r="C2169" s="9" t="d">
        <x:v>2011-10-19T00:00:00.000Z</x:v>
      </x:c>
      <x:c r="D2169" s="9" t="d">
        <x:v>2011-10-27T00:00:00.000Z</x:v>
      </x:c>
      <x:c r="E2169" s="1" t="str">
        <x:v>seasonal_naive</x:v>
      </x:c>
      <x:c r="F2169" s="10" t="n">
        <x:v>40</x:v>
      </x:c>
      <x:c r="G2169" s="10" t="n">
        <x:v>116</x:v>
      </x:c>
      <x:c r="H2169" s="10" t="n">
        <x:f>ABS(G2169-F2169)</x:f>
        <x:v>76</x:v>
      </x:c>
      <x:c r="I2169" s="10" t="n">
        <x:f>G2169-F2169</x:f>
        <x:v>76</x:v>
      </x:c>
    </x:row>
    <x:row r="2170" ht="20" customHeight="1">
      <x:c r="A2170" s="1" t="str">
        <x:v>84879</x:v>
      </x:c>
      <x:c r="B2170" s="10" t="n">
        <x:v>1</x:v>
      </x:c>
      <x:c r="C2170" s="9" t="d">
        <x:v>2011-10-19T00:00:00.000Z</x:v>
      </x:c>
      <x:c r="D2170" s="9" t="d">
        <x:v>2011-10-28T00:00:00.000Z</x:v>
      </x:c>
      <x:c r="E2170" s="1" t="str">
        <x:v>seasonal_naive</x:v>
      </x:c>
      <x:c r="F2170" s="10" t="n">
        <x:v>49</x:v>
      </x:c>
      <x:c r="G2170" s="10" t="n">
        <x:v>72</x:v>
      </x:c>
      <x:c r="H2170" s="10" t="n">
        <x:f>ABS(G2170-F2170)</x:f>
        <x:v>23</x:v>
      </x:c>
      <x:c r="I2170" s="10" t="n">
        <x:f>G2170-F2170</x:f>
        <x:v>23</x:v>
      </x:c>
    </x:row>
    <x:row r="2171" ht="20" customHeight="1">
      <x:c r="A2171" s="1" t="str">
        <x:v>84879</x:v>
      </x:c>
      <x:c r="B2171" s="10" t="n">
        <x:v>1</x:v>
      </x:c>
      <x:c r="C2171" s="9" t="d">
        <x:v>2011-10-19T00:00:00.000Z</x:v>
      </x:c>
      <x:c r="D2171" s="9" t="d">
        <x:v>2011-10-29T00:00:00.000Z</x:v>
      </x:c>
      <x:c r="E2171" s="1" t="str">
        <x:v>seasonal_naive</x:v>
      </x:c>
      <x:c r="F2171" s="10" t="n">
        <x:v>0</x:v>
      </x:c>
      <x:c r="G2171" s="10" t="n">
        <x:v>0</x:v>
      </x:c>
      <x:c r="H2171" s="10" t="n">
        <x:f>ABS(G2171-F2171)</x:f>
        <x:v>0</x:v>
      </x:c>
      <x:c r="I2171" s="10" t="n">
        <x:f>G2171-F2171</x:f>
        <x:v>0</x:v>
      </x:c>
    </x:row>
    <x:row r="2172" ht="20" customHeight="1">
      <x:c r="A2172" s="1" t="str">
        <x:v>84879</x:v>
      </x:c>
      <x:c r="B2172" s="10" t="n">
        <x:v>1</x:v>
      </x:c>
      <x:c r="C2172" s="9" t="d">
        <x:v>2011-10-19T00:00:00.000Z</x:v>
      </x:c>
      <x:c r="D2172" s="9" t="d">
        <x:v>2011-10-30T00:00:00.000Z</x:v>
      </x:c>
      <x:c r="E2172" s="1" t="str">
        <x:v>seasonal_naive</x:v>
      </x:c>
      <x:c r="F2172" s="10" t="n">
        <x:v>264</x:v>
      </x:c>
      <x:c r="G2172" s="10" t="n">
        <x:v>60</x:v>
      </x:c>
      <x:c r="H2172" s="10" t="n">
        <x:f>ABS(G2172-F2172)</x:f>
        <x:v>204</x:v>
      </x:c>
      <x:c r="I2172" s="10" t="n">
        <x:f>G2172-F2172</x:f>
        <x:v>-204</x:v>
      </x:c>
    </x:row>
    <x:row r="2173" ht="20" customHeight="1">
      <x:c r="A2173" s="1" t="str">
        <x:v>84879</x:v>
      </x:c>
      <x:c r="B2173" s="10" t="n">
        <x:v>1</x:v>
      </x:c>
      <x:c r="C2173" s="9" t="d">
        <x:v>2011-10-19T00:00:00.000Z</x:v>
      </x:c>
      <x:c r="D2173" s="9" t="d">
        <x:v>2011-10-31T00:00:00.000Z</x:v>
      </x:c>
      <x:c r="E2173" s="1" t="str">
        <x:v>seasonal_naive</x:v>
      </x:c>
      <x:c r="F2173" s="10" t="n">
        <x:v>120</x:v>
      </x:c>
      <x:c r="G2173" s="10" t="n">
        <x:v>392</x:v>
      </x:c>
      <x:c r="H2173" s="10" t="n">
        <x:f>ABS(G2173-F2173)</x:f>
        <x:v>272</x:v>
      </x:c>
      <x:c r="I2173" s="10" t="n">
        <x:f>G2173-F2173</x:f>
        <x:v>272</x:v>
      </x:c>
    </x:row>
    <x:row r="2174" ht="20" customHeight="1">
      <x:c r="A2174" s="1" t="str">
        <x:v>84879</x:v>
      </x:c>
      <x:c r="B2174" s="10" t="n">
        <x:v>1</x:v>
      </x:c>
      <x:c r="C2174" s="9" t="d">
        <x:v>2011-10-19T00:00:00.000Z</x:v>
      </x:c>
      <x:c r="D2174" s="9" t="d">
        <x:v>2011-11-01T00:00:00.000Z</x:v>
      </x:c>
      <x:c r="E2174" s="1" t="str">
        <x:v>seasonal_naive</x:v>
      </x:c>
      <x:c r="F2174" s="10" t="n">
        <x:v>294</x:v>
      </x:c>
      <x:c r="G2174" s="10" t="n">
        <x:v>48</x:v>
      </x:c>
      <x:c r="H2174" s="10" t="n">
        <x:f>ABS(G2174-F2174)</x:f>
        <x:v>246</x:v>
      </x:c>
      <x:c r="I2174" s="10" t="n">
        <x:f>G2174-F2174</x:f>
        <x:v>-246</x:v>
      </x:c>
    </x:row>
    <x:row r="2175" ht="20" customHeight="1">
      <x:c r="A2175" s="1" t="str">
        <x:v>84879</x:v>
      </x:c>
      <x:c r="B2175" s="10" t="n">
        <x:v>1</x:v>
      </x:c>
      <x:c r="C2175" s="9" t="d">
        <x:v>2011-10-19T00:00:00.000Z</x:v>
      </x:c>
      <x:c r="D2175" s="9" t="d">
        <x:v>2011-11-02T00:00:00.000Z</x:v>
      </x:c>
      <x:c r="E2175" s="1" t="str">
        <x:v>seasonal_naive</x:v>
      </x:c>
      <x:c r="F2175" s="10" t="n">
        <x:v>128</x:v>
      </x:c>
      <x:c r="G2175" s="10" t="n">
        <x:v>158</x:v>
      </x:c>
      <x:c r="H2175" s="10" t="n">
        <x:f>ABS(G2175-F2175)</x:f>
        <x:v>30</x:v>
      </x:c>
      <x:c r="I2175" s="10" t="n">
        <x:f>G2175-F2175</x:f>
        <x:v>30</x:v>
      </x:c>
    </x:row>
    <x:row r="2176" ht="20" customHeight="1">
      <x:c r="A2176" s="1" t="str">
        <x:v>84879</x:v>
      </x:c>
      <x:c r="B2176" s="10" t="n">
        <x:v>1</x:v>
      </x:c>
      <x:c r="C2176" s="9" t="d">
        <x:v>2011-10-19T00:00:00.000Z</x:v>
      </x:c>
      <x:c r="D2176" s="9" t="d">
        <x:v>2011-10-20T00:00:00.000Z</x:v>
      </x:c>
      <x:c r="E2176" s="1" t="str">
        <x:v>ridge</x:v>
      </x:c>
      <x:c r="F2176" s="10" t="n">
        <x:v>148</x:v>
      </x:c>
      <x:c r="G2176" s="10" t="n">
        <x:v>130.671195128</x:v>
      </x:c>
      <x:c r="H2176" s="10" t="n">
        <x:f>ABS(G2176-F2176)</x:f>
        <x:v>17.328804872000006</x:v>
      </x:c>
      <x:c r="I2176" s="10" t="n">
        <x:f>G2176-F2176</x:f>
        <x:v>-17.328804872000006</x:v>
      </x:c>
    </x:row>
    <x:row r="2177" ht="20" customHeight="1">
      <x:c r="A2177" s="1" t="str">
        <x:v>84879</x:v>
      </x:c>
      <x:c r="B2177" s="10" t="n">
        <x:v>1</x:v>
      </x:c>
      <x:c r="C2177" s="9" t="d">
        <x:v>2011-10-19T00:00:00.000Z</x:v>
      </x:c>
      <x:c r="D2177" s="9" t="d">
        <x:v>2011-10-21T00:00:00.000Z</x:v>
      </x:c>
      <x:c r="E2177" s="1" t="str">
        <x:v>ridge</x:v>
      </x:c>
      <x:c r="F2177" s="10" t="n">
        <x:v>16</x:v>
      </x:c>
      <x:c r="G2177" s="10" t="n">
        <x:v>87.1155360973</x:v>
      </x:c>
      <x:c r="H2177" s="10" t="n">
        <x:f>ABS(G2177-F2177)</x:f>
        <x:v>71.1155360973</x:v>
      </x:c>
      <x:c r="I2177" s="10" t="n">
        <x:f>G2177-F2177</x:f>
        <x:v>71.1155360973</x:v>
      </x:c>
    </x:row>
    <x:row r="2178" ht="20" customHeight="1">
      <x:c r="A2178" s="1" t="str">
        <x:v>84879</x:v>
      </x:c>
      <x:c r="B2178" s="10" t="n">
        <x:v>1</x:v>
      </x:c>
      <x:c r="C2178" s="9" t="d">
        <x:v>2011-10-19T00:00:00.000Z</x:v>
      </x:c>
      <x:c r="D2178" s="9" t="d">
        <x:v>2011-10-22T00:00:00.000Z</x:v>
      </x:c>
      <x:c r="E2178" s="1" t="str">
        <x:v>ridge</x:v>
      </x:c>
      <x:c r="F2178" s="10" t="n">
        <x:v>0</x:v>
      </x:c>
      <x:c r="G2178" s="10" t="n">
        <x:v>35.1353490915</x:v>
      </x:c>
      <x:c r="H2178" s="10" t="n">
        <x:f>ABS(G2178-F2178)</x:f>
        <x:v>35.1353490915</x:v>
      </x:c>
      <x:c r="I2178" s="10" t="n">
        <x:f>G2178-F2178</x:f>
        <x:v>35.1353490915</x:v>
      </x:c>
    </x:row>
    <x:row r="2179" ht="20" customHeight="1">
      <x:c r="A2179" s="1" t="str">
        <x:v>84879</x:v>
      </x:c>
      <x:c r="B2179" s="10" t="n">
        <x:v>1</x:v>
      </x:c>
      <x:c r="C2179" s="9" t="d">
        <x:v>2011-10-19T00:00:00.000Z</x:v>
      </x:c>
      <x:c r="D2179" s="9" t="d">
        <x:v>2011-10-23T00:00:00.000Z</x:v>
      </x:c>
      <x:c r="E2179" s="1" t="str">
        <x:v>ridge</x:v>
      </x:c>
      <x:c r="F2179" s="10" t="n">
        <x:v>59</x:v>
      </x:c>
      <x:c r="G2179" s="10" t="n">
        <x:v>39.8928076756</x:v>
      </x:c>
      <x:c r="H2179" s="10" t="n">
        <x:f>ABS(G2179-F2179)</x:f>
        <x:v>19.107192324400003</x:v>
      </x:c>
      <x:c r="I2179" s="10" t="n">
        <x:f>G2179-F2179</x:f>
        <x:v>-19.107192324400003</x:v>
      </x:c>
    </x:row>
    <x:row r="2180" ht="20" customHeight="1">
      <x:c r="A2180" s="1" t="str">
        <x:v>84879</x:v>
      </x:c>
      <x:c r="B2180" s="10" t="n">
        <x:v>1</x:v>
      </x:c>
      <x:c r="C2180" s="9" t="d">
        <x:v>2011-10-19T00:00:00.000Z</x:v>
      </x:c>
      <x:c r="D2180" s="9" t="d">
        <x:v>2011-10-24T00:00:00.000Z</x:v>
      </x:c>
      <x:c r="E2180" s="1" t="str">
        <x:v>ridge</x:v>
      </x:c>
      <x:c r="F2180" s="10" t="n">
        <x:v>128</x:v>
      </x:c>
      <x:c r="G2180" s="10" t="n">
        <x:v>137.9925499654</x:v>
      </x:c>
      <x:c r="H2180" s="10" t="n">
        <x:f>ABS(G2180-F2180)</x:f>
        <x:v>9.992549965400002</x:v>
      </x:c>
      <x:c r="I2180" s="10" t="n">
        <x:f>G2180-F2180</x:f>
        <x:v>9.992549965400002</x:v>
      </x:c>
    </x:row>
    <x:row r="2181" ht="20" customHeight="1">
      <x:c r="A2181" s="1" t="str">
        <x:v>84879</x:v>
      </x:c>
      <x:c r="B2181" s="10" t="n">
        <x:v>1</x:v>
      </x:c>
      <x:c r="C2181" s="9" t="d">
        <x:v>2011-10-19T00:00:00.000Z</x:v>
      </x:c>
      <x:c r="D2181" s="9" t="d">
        <x:v>2011-10-25T00:00:00.000Z</x:v>
      </x:c>
      <x:c r="E2181" s="1" t="str">
        <x:v>ridge</x:v>
      </x:c>
      <x:c r="F2181" s="10" t="n">
        <x:v>80</x:v>
      </x:c>
      <x:c r="G2181" s="10" t="n">
        <x:v>100.5910064585</x:v>
      </x:c>
      <x:c r="H2181" s="10" t="n">
        <x:f>ABS(G2181-F2181)</x:f>
        <x:v>20.591006458500004</x:v>
      </x:c>
      <x:c r="I2181" s="10" t="n">
        <x:f>G2181-F2181</x:f>
        <x:v>20.591006458500004</x:v>
      </x:c>
    </x:row>
    <x:row r="2182" ht="20" customHeight="1">
      <x:c r="A2182" s="1" t="str">
        <x:v>84879</x:v>
      </x:c>
      <x:c r="B2182" s="10" t="n">
        <x:v>1</x:v>
      </x:c>
      <x:c r="C2182" s="9" t="d">
        <x:v>2011-10-19T00:00:00.000Z</x:v>
      </x:c>
      <x:c r="D2182" s="9" t="d">
        <x:v>2011-10-26T00:00:00.000Z</x:v>
      </x:c>
      <x:c r="E2182" s="1" t="str">
        <x:v>ridge</x:v>
      </x:c>
      <x:c r="F2182" s="10" t="n">
        <x:v>217</x:v>
      </x:c>
      <x:c r="G2182" s="10" t="n">
        <x:v>150.3339398114</x:v>
      </x:c>
      <x:c r="H2182" s="10" t="n">
        <x:f>ABS(G2182-F2182)</x:f>
        <x:v>66.6660601886</x:v>
      </x:c>
      <x:c r="I2182" s="10" t="n">
        <x:f>G2182-F2182</x:f>
        <x:v>-66.6660601886</x:v>
      </x:c>
    </x:row>
    <x:row r="2183" ht="20" customHeight="1">
      <x:c r="A2183" s="1" t="str">
        <x:v>84879</x:v>
      </x:c>
      <x:c r="B2183" s="10" t="n">
        <x:v>1</x:v>
      </x:c>
      <x:c r="C2183" s="9" t="d">
        <x:v>2011-10-19T00:00:00.000Z</x:v>
      </x:c>
      <x:c r="D2183" s="9" t="d">
        <x:v>2011-10-27T00:00:00.000Z</x:v>
      </x:c>
      <x:c r="E2183" s="1" t="str">
        <x:v>ridge</x:v>
      </x:c>
      <x:c r="F2183" s="10" t="n">
        <x:v>40</x:v>
      </x:c>
      <x:c r="G2183" s="10" t="n">
        <x:v>134.9011530003</x:v>
      </x:c>
      <x:c r="H2183" s="10" t="n">
        <x:f>ABS(G2183-F2183)</x:f>
        <x:v>94.90115300030001</x:v>
      </x:c>
      <x:c r="I2183" s="10" t="n">
        <x:f>G2183-F2183</x:f>
        <x:v>94.90115300030001</x:v>
      </x:c>
    </x:row>
    <x:row r="2184" ht="20" customHeight="1">
      <x:c r="A2184" s="1" t="str">
        <x:v>84879</x:v>
      </x:c>
      <x:c r="B2184" s="10" t="n">
        <x:v>1</x:v>
      </x:c>
      <x:c r="C2184" s="9" t="d">
        <x:v>2011-10-19T00:00:00.000Z</x:v>
      </x:c>
      <x:c r="D2184" s="9" t="d">
        <x:v>2011-10-28T00:00:00.000Z</x:v>
      </x:c>
      <x:c r="E2184" s="1" t="str">
        <x:v>ridge</x:v>
      </x:c>
      <x:c r="F2184" s="10" t="n">
        <x:v>49</x:v>
      </x:c>
      <x:c r="G2184" s="10" t="n">
        <x:v>89.2459854277</x:v>
      </x:c>
      <x:c r="H2184" s="10" t="n">
        <x:f>ABS(G2184-F2184)</x:f>
        <x:v>40.245985427700006</x:v>
      </x:c>
      <x:c r="I2184" s="10" t="n">
        <x:f>G2184-F2184</x:f>
        <x:v>40.245985427700006</x:v>
      </x:c>
    </x:row>
    <x:row r="2185" ht="20" customHeight="1">
      <x:c r="A2185" s="1" t="str">
        <x:v>84879</x:v>
      </x:c>
      <x:c r="B2185" s="10" t="n">
        <x:v>1</x:v>
      </x:c>
      <x:c r="C2185" s="9" t="d">
        <x:v>2011-10-19T00:00:00.000Z</x:v>
      </x:c>
      <x:c r="D2185" s="9" t="d">
        <x:v>2011-10-29T00:00:00.000Z</x:v>
      </x:c>
      <x:c r="E2185" s="1" t="str">
        <x:v>ridge</x:v>
      </x:c>
      <x:c r="F2185" s="10" t="n">
        <x:v>0</x:v>
      </x:c>
      <x:c r="G2185" s="10" t="n">
        <x:v>41.6885247128</x:v>
      </x:c>
      <x:c r="H2185" s="10" t="n">
        <x:f>ABS(G2185-F2185)</x:f>
        <x:v>41.6885247128</x:v>
      </x:c>
      <x:c r="I2185" s="10" t="n">
        <x:f>G2185-F2185</x:f>
        <x:v>41.6885247128</x:v>
      </x:c>
    </x:row>
    <x:row r="2186" ht="20" customHeight="1">
      <x:c r="A2186" s="1" t="str">
        <x:v>84879</x:v>
      </x:c>
      <x:c r="B2186" s="10" t="n">
        <x:v>1</x:v>
      </x:c>
      <x:c r="C2186" s="9" t="d">
        <x:v>2011-10-19T00:00:00.000Z</x:v>
      </x:c>
      <x:c r="D2186" s="9" t="d">
        <x:v>2011-10-30T00:00:00.000Z</x:v>
      </x:c>
      <x:c r="E2186" s="1" t="str">
        <x:v>ridge</x:v>
      </x:c>
      <x:c r="F2186" s="10" t="n">
        <x:v>264</x:v>
      </x:c>
      <x:c r="G2186" s="10" t="n">
        <x:v>33.7289961511</x:v>
      </x:c>
      <x:c r="H2186" s="10" t="n">
        <x:f>ABS(G2186-F2186)</x:f>
        <x:v>230.2710038489</x:v>
      </x:c>
      <x:c r="I2186" s="10" t="n">
        <x:f>G2186-F2186</x:f>
        <x:v>-230.2710038489</x:v>
      </x:c>
    </x:row>
    <x:row r="2187" ht="20" customHeight="1">
      <x:c r="A2187" s="1" t="str">
        <x:v>84879</x:v>
      </x:c>
      <x:c r="B2187" s="10" t="n">
        <x:v>1</x:v>
      </x:c>
      <x:c r="C2187" s="9" t="d">
        <x:v>2011-10-19T00:00:00.000Z</x:v>
      </x:c>
      <x:c r="D2187" s="9" t="d">
        <x:v>2011-10-31T00:00:00.000Z</x:v>
      </x:c>
      <x:c r="E2187" s="1" t="str">
        <x:v>ridge</x:v>
      </x:c>
      <x:c r="F2187" s="10" t="n">
        <x:v>120</x:v>
      </x:c>
      <x:c r="G2187" s="10" t="n">
        <x:v>79.0414745197</x:v>
      </x:c>
      <x:c r="H2187" s="10" t="n">
        <x:f>ABS(G2187-F2187)</x:f>
        <x:v>40.9585254803</x:v>
      </x:c>
      <x:c r="I2187" s="10" t="n">
        <x:f>G2187-F2187</x:f>
        <x:v>-40.9585254803</x:v>
      </x:c>
    </x:row>
    <x:row r="2188" ht="20" customHeight="1">
      <x:c r="A2188" s="1" t="str">
        <x:v>84879</x:v>
      </x:c>
      <x:c r="B2188" s="10" t="n">
        <x:v>1</x:v>
      </x:c>
      <x:c r="C2188" s="9" t="d">
        <x:v>2011-10-19T00:00:00.000Z</x:v>
      </x:c>
      <x:c r="D2188" s="9" t="d">
        <x:v>2011-11-01T00:00:00.000Z</x:v>
      </x:c>
      <x:c r="E2188" s="1" t="str">
        <x:v>ridge</x:v>
      </x:c>
      <x:c r="F2188" s="10" t="n">
        <x:v>294</x:v>
      </x:c>
      <x:c r="G2188" s="10" t="n">
        <x:v>112.2247640064</x:v>
      </x:c>
      <x:c r="H2188" s="10" t="n">
        <x:f>ABS(G2188-F2188)</x:f>
        <x:v>181.7752359936</x:v>
      </x:c>
      <x:c r="I2188" s="10" t="n">
        <x:f>G2188-F2188</x:f>
        <x:v>-181.7752359936</x:v>
      </x:c>
    </x:row>
    <x:row r="2189" ht="20" customHeight="1">
      <x:c r="A2189" s="1" t="str">
        <x:v>84879</x:v>
      </x:c>
      <x:c r="B2189" s="10" t="n">
        <x:v>1</x:v>
      </x:c>
      <x:c r="C2189" s="9" t="d">
        <x:v>2011-10-19T00:00:00.000Z</x:v>
      </x:c>
      <x:c r="D2189" s="9" t="d">
        <x:v>2011-11-02T00:00:00.000Z</x:v>
      </x:c>
      <x:c r="E2189" s="1" t="str">
        <x:v>ridge</x:v>
      </x:c>
      <x:c r="F2189" s="10" t="n">
        <x:v>128</x:v>
      </x:c>
      <x:c r="G2189" s="10" t="n">
        <x:v>147.4535571096</x:v>
      </x:c>
      <x:c r="H2189" s="10" t="n">
        <x:f>ABS(G2189-F2189)</x:f>
        <x:v>19.453557109600013</x:v>
      </x:c>
      <x:c r="I2189" s="10" t="n">
        <x:f>G2189-F2189</x:f>
        <x:v>19.453557109600013</x:v>
      </x:c>
    </x:row>
    <x:row r="2190" ht="20" customHeight="1">
      <x:c r="A2190" s="1" t="str">
        <x:v>84879</x:v>
      </x:c>
      <x:c r="B2190" s="10" t="n">
        <x:v>2</x:v>
      </x:c>
      <x:c r="C2190" s="9" t="d">
        <x:v>2011-11-02T00:00:00.000Z</x:v>
      </x:c>
      <x:c r="D2190" s="9" t="d">
        <x:v>2011-11-03T00:00:00.000Z</x:v>
      </x:c>
      <x:c r="E2190" s="1" t="str">
        <x:v>naive</x:v>
      </x:c>
      <x:c r="F2190" s="10" t="n">
        <x:v>210</x:v>
      </x:c>
      <x:c r="G2190" s="10" t="n">
        <x:v>128</x:v>
      </x:c>
      <x:c r="H2190" s="10" t="n">
        <x:f>ABS(G2190-F2190)</x:f>
        <x:v>82</x:v>
      </x:c>
      <x:c r="I2190" s="10" t="n">
        <x:f>G2190-F2190</x:f>
        <x:v>-82</x:v>
      </x:c>
    </x:row>
    <x:row r="2191" ht="20" customHeight="1">
      <x:c r="A2191" s="1" t="str">
        <x:v>84879</x:v>
      </x:c>
      <x:c r="B2191" s="10" t="n">
        <x:v>2</x:v>
      </x:c>
      <x:c r="C2191" s="9" t="d">
        <x:v>2011-11-02T00:00:00.000Z</x:v>
      </x:c>
      <x:c r="D2191" s="9" t="d">
        <x:v>2011-11-04T00:00:00.000Z</x:v>
      </x:c>
      <x:c r="E2191" s="1" t="str">
        <x:v>naive</x:v>
      </x:c>
      <x:c r="F2191" s="10" t="n">
        <x:v>80</x:v>
      </x:c>
      <x:c r="G2191" s="10" t="n">
        <x:v>128</x:v>
      </x:c>
      <x:c r="H2191" s="10" t="n">
        <x:f>ABS(G2191-F2191)</x:f>
        <x:v>48</x:v>
      </x:c>
      <x:c r="I2191" s="10" t="n">
        <x:f>G2191-F2191</x:f>
        <x:v>48</x:v>
      </x:c>
    </x:row>
    <x:row r="2192" ht="20" customHeight="1">
      <x:c r="A2192" s="1" t="str">
        <x:v>84879</x:v>
      </x:c>
      <x:c r="B2192" s="10" t="n">
        <x:v>2</x:v>
      </x:c>
      <x:c r="C2192" s="9" t="d">
        <x:v>2011-11-02T00:00:00.000Z</x:v>
      </x:c>
      <x:c r="D2192" s="9" t="d">
        <x:v>2011-11-05T00:00:00.000Z</x:v>
      </x:c>
      <x:c r="E2192" s="1" t="str">
        <x:v>naive</x:v>
      </x:c>
      <x:c r="F2192" s="10" t="n">
        <x:v>0</x:v>
      </x:c>
      <x:c r="G2192" s="10" t="n">
        <x:v>128</x:v>
      </x:c>
      <x:c r="H2192" s="10" t="n">
        <x:f>ABS(G2192-F2192)</x:f>
        <x:v>128</x:v>
      </x:c>
      <x:c r="I2192" s="10" t="n">
        <x:f>G2192-F2192</x:f>
        <x:v>128</x:v>
      </x:c>
    </x:row>
    <x:row r="2193" ht="20" customHeight="1">
      <x:c r="A2193" s="1" t="str">
        <x:v>84879</x:v>
      </x:c>
      <x:c r="B2193" s="10" t="n">
        <x:v>2</x:v>
      </x:c>
      <x:c r="C2193" s="9" t="d">
        <x:v>2011-11-02T00:00:00.000Z</x:v>
      </x:c>
      <x:c r="D2193" s="9" t="d">
        <x:v>2011-11-06T00:00:00.000Z</x:v>
      </x:c>
      <x:c r="E2193" s="1" t="str">
        <x:v>naive</x:v>
      </x:c>
      <x:c r="F2193" s="10" t="n">
        <x:v>136</x:v>
      </x:c>
      <x:c r="G2193" s="10" t="n">
        <x:v>128</x:v>
      </x:c>
      <x:c r="H2193" s="10" t="n">
        <x:f>ABS(G2193-F2193)</x:f>
        <x:v>8</x:v>
      </x:c>
      <x:c r="I2193" s="10" t="n">
        <x:f>G2193-F2193</x:f>
        <x:v>-8</x:v>
      </x:c>
    </x:row>
    <x:row r="2194" ht="20" customHeight="1">
      <x:c r="A2194" s="1" t="str">
        <x:v>84879</x:v>
      </x:c>
      <x:c r="B2194" s="10" t="n">
        <x:v>2</x:v>
      </x:c>
      <x:c r="C2194" s="9" t="d">
        <x:v>2011-11-02T00:00:00.000Z</x:v>
      </x:c>
      <x:c r="D2194" s="9" t="d">
        <x:v>2011-11-07T00:00:00.000Z</x:v>
      </x:c>
      <x:c r="E2194" s="1" t="str">
        <x:v>naive</x:v>
      </x:c>
      <x:c r="F2194" s="10" t="n">
        <x:v>24</x:v>
      </x:c>
      <x:c r="G2194" s="10" t="n">
        <x:v>128</x:v>
      </x:c>
      <x:c r="H2194" s="10" t="n">
        <x:f>ABS(G2194-F2194)</x:f>
        <x:v>104</x:v>
      </x:c>
      <x:c r="I2194" s="10" t="n">
        <x:f>G2194-F2194</x:f>
        <x:v>104</x:v>
      </x:c>
    </x:row>
    <x:row r="2195" ht="20" customHeight="1">
      <x:c r="A2195" s="1" t="str">
        <x:v>84879</x:v>
      </x:c>
      <x:c r="B2195" s="10" t="n">
        <x:v>2</x:v>
      </x:c>
      <x:c r="C2195" s="9" t="d">
        <x:v>2011-11-02T00:00:00.000Z</x:v>
      </x:c>
      <x:c r="D2195" s="9" t="d">
        <x:v>2011-11-08T00:00:00.000Z</x:v>
      </x:c>
      <x:c r="E2195" s="1" t="str">
        <x:v>naive</x:v>
      </x:c>
      <x:c r="F2195" s="10" t="n">
        <x:v>56</x:v>
      </x:c>
      <x:c r="G2195" s="10" t="n">
        <x:v>128</x:v>
      </x:c>
      <x:c r="H2195" s="10" t="n">
        <x:f>ABS(G2195-F2195)</x:f>
        <x:v>72</x:v>
      </x:c>
      <x:c r="I2195" s="10" t="n">
        <x:f>G2195-F2195</x:f>
        <x:v>72</x:v>
      </x:c>
    </x:row>
    <x:row r="2196" ht="20" customHeight="1">
      <x:c r="A2196" s="1" t="str">
        <x:v>84879</x:v>
      </x:c>
      <x:c r="B2196" s="10" t="n">
        <x:v>2</x:v>
      </x:c>
      <x:c r="C2196" s="9" t="d">
        <x:v>2011-11-02T00:00:00.000Z</x:v>
      </x:c>
      <x:c r="D2196" s="9" t="d">
        <x:v>2011-11-09T00:00:00.000Z</x:v>
      </x:c>
      <x:c r="E2196" s="1" t="str">
        <x:v>naive</x:v>
      </x:c>
      <x:c r="F2196" s="10" t="n">
        <x:v>1312</x:v>
      </x:c>
      <x:c r="G2196" s="10" t="n">
        <x:v>128</x:v>
      </x:c>
      <x:c r="H2196" s="10" t="n">
        <x:f>ABS(G2196-F2196)</x:f>
        <x:v>1184</x:v>
      </x:c>
      <x:c r="I2196" s="10" t="n">
        <x:f>G2196-F2196</x:f>
        <x:v>-1184</x:v>
      </x:c>
    </x:row>
    <x:row r="2197" ht="20" customHeight="1">
      <x:c r="A2197" s="1" t="str">
        <x:v>84879</x:v>
      </x:c>
      <x:c r="B2197" s="10" t="n">
        <x:v>2</x:v>
      </x:c>
      <x:c r="C2197" s="9" t="d">
        <x:v>2011-11-02T00:00:00.000Z</x:v>
      </x:c>
      <x:c r="D2197" s="9" t="d">
        <x:v>2011-11-10T00:00:00.000Z</x:v>
      </x:c>
      <x:c r="E2197" s="1" t="str">
        <x:v>naive</x:v>
      </x:c>
      <x:c r="F2197" s="10" t="n">
        <x:v>200</x:v>
      </x:c>
      <x:c r="G2197" s="10" t="n">
        <x:v>128</x:v>
      </x:c>
      <x:c r="H2197" s="10" t="n">
        <x:f>ABS(G2197-F2197)</x:f>
        <x:v>72</x:v>
      </x:c>
      <x:c r="I2197" s="10" t="n">
        <x:f>G2197-F2197</x:f>
        <x:v>-72</x:v>
      </x:c>
    </x:row>
    <x:row r="2198" ht="20" customHeight="1">
      <x:c r="A2198" s="1" t="str">
        <x:v>84879</x:v>
      </x:c>
      <x:c r="B2198" s="10" t="n">
        <x:v>2</x:v>
      </x:c>
      <x:c r="C2198" s="9" t="d">
        <x:v>2011-11-02T00:00:00.000Z</x:v>
      </x:c>
      <x:c r="D2198" s="9" t="d">
        <x:v>2011-11-11T00:00:00.000Z</x:v>
      </x:c>
      <x:c r="E2198" s="1" t="str">
        <x:v>naive</x:v>
      </x:c>
      <x:c r="F2198" s="10" t="n">
        <x:v>92</x:v>
      </x:c>
      <x:c r="G2198" s="10" t="n">
        <x:v>128</x:v>
      </x:c>
      <x:c r="H2198" s="10" t="n">
        <x:f>ABS(G2198-F2198)</x:f>
        <x:v>36</x:v>
      </x:c>
      <x:c r="I2198" s="10" t="n">
        <x:f>G2198-F2198</x:f>
        <x:v>36</x:v>
      </x:c>
    </x:row>
    <x:row r="2199" ht="20" customHeight="1">
      <x:c r="A2199" s="1" t="str">
        <x:v>84879</x:v>
      </x:c>
      <x:c r="B2199" s="10" t="n">
        <x:v>2</x:v>
      </x:c>
      <x:c r="C2199" s="9" t="d">
        <x:v>2011-11-02T00:00:00.000Z</x:v>
      </x:c>
      <x:c r="D2199" s="9" t="d">
        <x:v>2011-11-12T00:00:00.000Z</x:v>
      </x:c>
      <x:c r="E2199" s="1" t="str">
        <x:v>naive</x:v>
      </x:c>
      <x:c r="F2199" s="10" t="n">
        <x:v>0</x:v>
      </x:c>
      <x:c r="G2199" s="10" t="n">
        <x:v>128</x:v>
      </x:c>
      <x:c r="H2199" s="10" t="n">
        <x:f>ABS(G2199-F2199)</x:f>
        <x:v>128</x:v>
      </x:c>
      <x:c r="I2199" s="10" t="n">
        <x:f>G2199-F2199</x:f>
        <x:v>128</x:v>
      </x:c>
    </x:row>
    <x:row r="2200" ht="20" customHeight="1">
      <x:c r="A2200" s="1" t="str">
        <x:v>84879</x:v>
      </x:c>
      <x:c r="B2200" s="10" t="n">
        <x:v>2</x:v>
      </x:c>
      <x:c r="C2200" s="9" t="d">
        <x:v>2011-11-02T00:00:00.000Z</x:v>
      </x:c>
      <x:c r="D2200" s="9" t="d">
        <x:v>2011-11-13T00:00:00.000Z</x:v>
      </x:c>
      <x:c r="E2200" s="1" t="str">
        <x:v>naive</x:v>
      </x:c>
      <x:c r="F2200" s="10" t="n">
        <x:v>56</x:v>
      </x:c>
      <x:c r="G2200" s="10" t="n">
        <x:v>128</x:v>
      </x:c>
      <x:c r="H2200" s="10" t="n">
        <x:f>ABS(G2200-F2200)</x:f>
        <x:v>72</x:v>
      </x:c>
      <x:c r="I2200" s="10" t="n">
        <x:f>G2200-F2200</x:f>
        <x:v>72</x:v>
      </x:c>
    </x:row>
    <x:row r="2201" ht="20" customHeight="1">
      <x:c r="A2201" s="1" t="str">
        <x:v>84879</x:v>
      </x:c>
      <x:c r="B2201" s="10" t="n">
        <x:v>2</x:v>
      </x:c>
      <x:c r="C2201" s="9" t="d">
        <x:v>2011-11-02T00:00:00.000Z</x:v>
      </x:c>
      <x:c r="D2201" s="9" t="d">
        <x:v>2011-11-14T00:00:00.000Z</x:v>
      </x:c>
      <x:c r="E2201" s="1" t="str">
        <x:v>naive</x:v>
      </x:c>
      <x:c r="F2201" s="10" t="n">
        <x:v>303</x:v>
      </x:c>
      <x:c r="G2201" s="10" t="n">
        <x:v>128</x:v>
      </x:c>
      <x:c r="H2201" s="10" t="n">
        <x:f>ABS(G2201-F2201)</x:f>
        <x:v>175</x:v>
      </x:c>
      <x:c r="I2201" s="10" t="n">
        <x:f>G2201-F2201</x:f>
        <x:v>-175</x:v>
      </x:c>
    </x:row>
    <x:row r="2202" ht="20" customHeight="1">
      <x:c r="A2202" s="1" t="str">
        <x:v>84879</x:v>
      </x:c>
      <x:c r="B2202" s="10" t="n">
        <x:v>2</x:v>
      </x:c>
      <x:c r="C2202" s="9" t="d">
        <x:v>2011-11-02T00:00:00.000Z</x:v>
      </x:c>
      <x:c r="D2202" s="9" t="d">
        <x:v>2011-11-15T00:00:00.000Z</x:v>
      </x:c>
      <x:c r="E2202" s="1" t="str">
        <x:v>naive</x:v>
      </x:c>
      <x:c r="F2202" s="10" t="n">
        <x:v>107</x:v>
      </x:c>
      <x:c r="G2202" s="10" t="n">
        <x:v>128</x:v>
      </x:c>
      <x:c r="H2202" s="10" t="n">
        <x:f>ABS(G2202-F2202)</x:f>
        <x:v>21</x:v>
      </x:c>
      <x:c r="I2202" s="10" t="n">
        <x:f>G2202-F2202</x:f>
        <x:v>21</x:v>
      </x:c>
    </x:row>
    <x:row r="2203" ht="20" customHeight="1">
      <x:c r="A2203" s="1" t="str">
        <x:v>84879</x:v>
      </x:c>
      <x:c r="B2203" s="10" t="n">
        <x:v>2</x:v>
      </x:c>
      <x:c r="C2203" s="9" t="d">
        <x:v>2011-11-02T00:00:00.000Z</x:v>
      </x:c>
      <x:c r="D2203" s="9" t="d">
        <x:v>2011-11-16T00:00:00.000Z</x:v>
      </x:c>
      <x:c r="E2203" s="1" t="str">
        <x:v>naive</x:v>
      </x:c>
      <x:c r="F2203" s="10" t="n">
        <x:v>289</x:v>
      </x:c>
      <x:c r="G2203" s="10" t="n">
        <x:v>128</x:v>
      </x:c>
      <x:c r="H2203" s="10" t="n">
        <x:f>ABS(G2203-F2203)</x:f>
        <x:v>161</x:v>
      </x:c>
      <x:c r="I2203" s="10" t="n">
        <x:f>G2203-F2203</x:f>
        <x:v>-161</x:v>
      </x:c>
    </x:row>
    <x:row r="2204" ht="20" customHeight="1">
      <x:c r="A2204" s="1" t="str">
        <x:v>84879</x:v>
      </x:c>
      <x:c r="B2204" s="10" t="n">
        <x:v>2</x:v>
      </x:c>
      <x:c r="C2204" s="9" t="d">
        <x:v>2011-11-02T00:00:00.000Z</x:v>
      </x:c>
      <x:c r="D2204" s="9" t="d">
        <x:v>2011-11-03T00:00:00.000Z</x:v>
      </x:c>
      <x:c r="E2204" s="1" t="str">
        <x:v>seasonal_naive</x:v>
      </x:c>
      <x:c r="F2204" s="10" t="n">
        <x:v>210</x:v>
      </x:c>
      <x:c r="G2204" s="10" t="n">
        <x:v>40</x:v>
      </x:c>
      <x:c r="H2204" s="10" t="n">
        <x:f>ABS(G2204-F2204)</x:f>
        <x:v>170</x:v>
      </x:c>
      <x:c r="I2204" s="10" t="n">
        <x:f>G2204-F2204</x:f>
        <x:v>-170</x:v>
      </x:c>
    </x:row>
    <x:row r="2205" ht="20" customHeight="1">
      <x:c r="A2205" s="1" t="str">
        <x:v>84879</x:v>
      </x:c>
      <x:c r="B2205" s="10" t="n">
        <x:v>2</x:v>
      </x:c>
      <x:c r="C2205" s="9" t="d">
        <x:v>2011-11-02T00:00:00.000Z</x:v>
      </x:c>
      <x:c r="D2205" s="9" t="d">
        <x:v>2011-11-04T00:00:00.000Z</x:v>
      </x:c>
      <x:c r="E2205" s="1" t="str">
        <x:v>seasonal_naive</x:v>
      </x:c>
      <x:c r="F2205" s="10" t="n">
        <x:v>80</x:v>
      </x:c>
      <x:c r="G2205" s="10" t="n">
        <x:v>49</x:v>
      </x:c>
      <x:c r="H2205" s="10" t="n">
        <x:f>ABS(G2205-F2205)</x:f>
        <x:v>31</x:v>
      </x:c>
      <x:c r="I2205" s="10" t="n">
        <x:f>G2205-F2205</x:f>
        <x:v>-31</x:v>
      </x:c>
    </x:row>
    <x:row r="2206" ht="20" customHeight="1">
      <x:c r="A2206" s="1" t="str">
        <x:v>84879</x:v>
      </x:c>
      <x:c r="B2206" s="10" t="n">
        <x:v>2</x:v>
      </x:c>
      <x:c r="C2206" s="9" t="d">
        <x:v>2011-11-02T00:00:00.000Z</x:v>
      </x:c>
      <x:c r="D2206" s="9" t="d">
        <x:v>2011-11-05T00:00:00.000Z</x:v>
      </x:c>
      <x:c r="E2206" s="1" t="str">
        <x:v>seasonal_naive</x:v>
      </x:c>
      <x:c r="F2206" s="10" t="n">
        <x:v>0</x:v>
      </x:c>
      <x:c r="G2206" s="10" t="n">
        <x:v>0</x:v>
      </x:c>
      <x:c r="H2206" s="10" t="n">
        <x:f>ABS(G2206-F2206)</x:f>
        <x:v>0</x:v>
      </x:c>
      <x:c r="I2206" s="10" t="n">
        <x:f>G2206-F2206</x:f>
        <x:v>0</x:v>
      </x:c>
    </x:row>
    <x:row r="2207" ht="20" customHeight="1">
      <x:c r="A2207" s="1" t="str">
        <x:v>84879</x:v>
      </x:c>
      <x:c r="B2207" s="10" t="n">
        <x:v>2</x:v>
      </x:c>
      <x:c r="C2207" s="9" t="d">
        <x:v>2011-11-02T00:00:00.000Z</x:v>
      </x:c>
      <x:c r="D2207" s="9" t="d">
        <x:v>2011-11-06T00:00:00.000Z</x:v>
      </x:c>
      <x:c r="E2207" s="1" t="str">
        <x:v>seasonal_naive</x:v>
      </x:c>
      <x:c r="F2207" s="10" t="n">
        <x:v>136</x:v>
      </x:c>
      <x:c r="G2207" s="10" t="n">
        <x:v>264</x:v>
      </x:c>
      <x:c r="H2207" s="10" t="n">
        <x:f>ABS(G2207-F2207)</x:f>
        <x:v>128</x:v>
      </x:c>
      <x:c r="I2207" s="10" t="n">
        <x:f>G2207-F2207</x:f>
        <x:v>128</x:v>
      </x:c>
    </x:row>
    <x:row r="2208" ht="20" customHeight="1">
      <x:c r="A2208" s="1" t="str">
        <x:v>84879</x:v>
      </x:c>
      <x:c r="B2208" s="10" t="n">
        <x:v>2</x:v>
      </x:c>
      <x:c r="C2208" s="9" t="d">
        <x:v>2011-11-02T00:00:00.000Z</x:v>
      </x:c>
      <x:c r="D2208" s="9" t="d">
        <x:v>2011-11-07T00:00:00.000Z</x:v>
      </x:c>
      <x:c r="E2208" s="1" t="str">
        <x:v>seasonal_naive</x:v>
      </x:c>
      <x:c r="F2208" s="10" t="n">
        <x:v>24</x:v>
      </x:c>
      <x:c r="G2208" s="10" t="n">
        <x:v>120</x:v>
      </x:c>
      <x:c r="H2208" s="10" t="n">
        <x:f>ABS(G2208-F2208)</x:f>
        <x:v>96</x:v>
      </x:c>
      <x:c r="I2208" s="10" t="n">
        <x:f>G2208-F2208</x:f>
        <x:v>96</x:v>
      </x:c>
    </x:row>
    <x:row r="2209" ht="20" customHeight="1">
      <x:c r="A2209" s="1" t="str">
        <x:v>84879</x:v>
      </x:c>
      <x:c r="B2209" s="10" t="n">
        <x:v>2</x:v>
      </x:c>
      <x:c r="C2209" s="9" t="d">
        <x:v>2011-11-02T00:00:00.000Z</x:v>
      </x:c>
      <x:c r="D2209" s="9" t="d">
        <x:v>2011-11-08T00:00:00.000Z</x:v>
      </x:c>
      <x:c r="E2209" s="1" t="str">
        <x:v>seasonal_naive</x:v>
      </x:c>
      <x:c r="F2209" s="10" t="n">
        <x:v>56</x:v>
      </x:c>
      <x:c r="G2209" s="10" t="n">
        <x:v>294</x:v>
      </x:c>
      <x:c r="H2209" s="10" t="n">
        <x:f>ABS(G2209-F2209)</x:f>
        <x:v>238</x:v>
      </x:c>
      <x:c r="I2209" s="10" t="n">
        <x:f>G2209-F2209</x:f>
        <x:v>238</x:v>
      </x:c>
    </x:row>
    <x:row r="2210" ht="20" customHeight="1">
      <x:c r="A2210" s="1" t="str">
        <x:v>84879</x:v>
      </x:c>
      <x:c r="B2210" s="10" t="n">
        <x:v>2</x:v>
      </x:c>
      <x:c r="C2210" s="9" t="d">
        <x:v>2011-11-02T00:00:00.000Z</x:v>
      </x:c>
      <x:c r="D2210" s="9" t="d">
        <x:v>2011-11-09T00:00:00.000Z</x:v>
      </x:c>
      <x:c r="E2210" s="1" t="str">
        <x:v>seasonal_naive</x:v>
      </x:c>
      <x:c r="F2210" s="10" t="n">
        <x:v>1312</x:v>
      </x:c>
      <x:c r="G2210" s="10" t="n">
        <x:v>128</x:v>
      </x:c>
      <x:c r="H2210" s="10" t="n">
        <x:f>ABS(G2210-F2210)</x:f>
        <x:v>1184</x:v>
      </x:c>
      <x:c r="I2210" s="10" t="n">
        <x:f>G2210-F2210</x:f>
        <x:v>-1184</x:v>
      </x:c>
    </x:row>
    <x:row r="2211" ht="20" customHeight="1">
      <x:c r="A2211" s="1" t="str">
        <x:v>84879</x:v>
      </x:c>
      <x:c r="B2211" s="10" t="n">
        <x:v>2</x:v>
      </x:c>
      <x:c r="C2211" s="9" t="d">
        <x:v>2011-11-02T00:00:00.000Z</x:v>
      </x:c>
      <x:c r="D2211" s="9" t="d">
        <x:v>2011-11-10T00:00:00.000Z</x:v>
      </x:c>
      <x:c r="E2211" s="1" t="str">
        <x:v>seasonal_naive</x:v>
      </x:c>
      <x:c r="F2211" s="10" t="n">
        <x:v>200</x:v>
      </x:c>
      <x:c r="G2211" s="10" t="n">
        <x:v>40</x:v>
      </x:c>
      <x:c r="H2211" s="10" t="n">
        <x:f>ABS(G2211-F2211)</x:f>
        <x:v>160</x:v>
      </x:c>
      <x:c r="I2211" s="10" t="n">
        <x:f>G2211-F2211</x:f>
        <x:v>-160</x:v>
      </x:c>
    </x:row>
    <x:row r="2212" ht="20" customHeight="1">
      <x:c r="A2212" s="1" t="str">
        <x:v>84879</x:v>
      </x:c>
      <x:c r="B2212" s="10" t="n">
        <x:v>2</x:v>
      </x:c>
      <x:c r="C2212" s="9" t="d">
        <x:v>2011-11-02T00:00:00.000Z</x:v>
      </x:c>
      <x:c r="D2212" s="9" t="d">
        <x:v>2011-11-11T00:00:00.000Z</x:v>
      </x:c>
      <x:c r="E2212" s="1" t="str">
        <x:v>seasonal_naive</x:v>
      </x:c>
      <x:c r="F2212" s="10" t="n">
        <x:v>92</x:v>
      </x:c>
      <x:c r="G2212" s="10" t="n">
        <x:v>49</x:v>
      </x:c>
      <x:c r="H2212" s="10" t="n">
        <x:f>ABS(G2212-F2212)</x:f>
        <x:v>43</x:v>
      </x:c>
      <x:c r="I2212" s="10" t="n">
        <x:f>G2212-F2212</x:f>
        <x:v>-43</x:v>
      </x:c>
    </x:row>
    <x:row r="2213" ht="20" customHeight="1">
      <x:c r="A2213" s="1" t="str">
        <x:v>84879</x:v>
      </x:c>
      <x:c r="B2213" s="10" t="n">
        <x:v>2</x:v>
      </x:c>
      <x:c r="C2213" s="9" t="d">
        <x:v>2011-11-02T00:00:00.000Z</x:v>
      </x:c>
      <x:c r="D2213" s="9" t="d">
        <x:v>2011-11-12T00:00:00.000Z</x:v>
      </x:c>
      <x:c r="E2213" s="1" t="str">
        <x:v>seasonal_naive</x:v>
      </x:c>
      <x:c r="F2213" s="10" t="n">
        <x:v>0</x:v>
      </x:c>
      <x:c r="G2213" s="10" t="n">
        <x:v>0</x:v>
      </x:c>
      <x:c r="H2213" s="10" t="n">
        <x:f>ABS(G2213-F2213)</x:f>
        <x:v>0</x:v>
      </x:c>
      <x:c r="I2213" s="10" t="n">
        <x:f>G2213-F2213</x:f>
        <x:v>0</x:v>
      </x:c>
    </x:row>
    <x:row r="2214" ht="20" customHeight="1">
      <x:c r="A2214" s="1" t="str">
        <x:v>84879</x:v>
      </x:c>
      <x:c r="B2214" s="10" t="n">
        <x:v>2</x:v>
      </x:c>
      <x:c r="C2214" s="9" t="d">
        <x:v>2011-11-02T00:00:00.000Z</x:v>
      </x:c>
      <x:c r="D2214" s="9" t="d">
        <x:v>2011-11-13T00:00:00.000Z</x:v>
      </x:c>
      <x:c r="E2214" s="1" t="str">
        <x:v>seasonal_naive</x:v>
      </x:c>
      <x:c r="F2214" s="10" t="n">
        <x:v>56</x:v>
      </x:c>
      <x:c r="G2214" s="10" t="n">
        <x:v>264</x:v>
      </x:c>
      <x:c r="H2214" s="10" t="n">
        <x:f>ABS(G2214-F2214)</x:f>
        <x:v>208</x:v>
      </x:c>
      <x:c r="I2214" s="10" t="n">
        <x:f>G2214-F2214</x:f>
        <x:v>208</x:v>
      </x:c>
    </x:row>
    <x:row r="2215" ht="20" customHeight="1">
      <x:c r="A2215" s="1" t="str">
        <x:v>84879</x:v>
      </x:c>
      <x:c r="B2215" s="10" t="n">
        <x:v>2</x:v>
      </x:c>
      <x:c r="C2215" s="9" t="d">
        <x:v>2011-11-02T00:00:00.000Z</x:v>
      </x:c>
      <x:c r="D2215" s="9" t="d">
        <x:v>2011-11-14T00:00:00.000Z</x:v>
      </x:c>
      <x:c r="E2215" s="1" t="str">
        <x:v>seasonal_naive</x:v>
      </x:c>
      <x:c r="F2215" s="10" t="n">
        <x:v>303</x:v>
      </x:c>
      <x:c r="G2215" s="10" t="n">
        <x:v>120</x:v>
      </x:c>
      <x:c r="H2215" s="10" t="n">
        <x:f>ABS(G2215-F2215)</x:f>
        <x:v>183</x:v>
      </x:c>
      <x:c r="I2215" s="10" t="n">
        <x:f>G2215-F2215</x:f>
        <x:v>-183</x:v>
      </x:c>
    </x:row>
    <x:row r="2216" ht="20" customHeight="1">
      <x:c r="A2216" s="1" t="str">
        <x:v>84879</x:v>
      </x:c>
      <x:c r="B2216" s="10" t="n">
        <x:v>2</x:v>
      </x:c>
      <x:c r="C2216" s="9" t="d">
        <x:v>2011-11-02T00:00:00.000Z</x:v>
      </x:c>
      <x:c r="D2216" s="9" t="d">
        <x:v>2011-11-15T00:00:00.000Z</x:v>
      </x:c>
      <x:c r="E2216" s="1" t="str">
        <x:v>seasonal_naive</x:v>
      </x:c>
      <x:c r="F2216" s="10" t="n">
        <x:v>107</x:v>
      </x:c>
      <x:c r="G2216" s="10" t="n">
        <x:v>294</x:v>
      </x:c>
      <x:c r="H2216" s="10" t="n">
        <x:f>ABS(G2216-F2216)</x:f>
        <x:v>187</x:v>
      </x:c>
      <x:c r="I2216" s="10" t="n">
        <x:f>G2216-F2216</x:f>
        <x:v>187</x:v>
      </x:c>
    </x:row>
    <x:row r="2217" ht="20" customHeight="1">
      <x:c r="A2217" s="1" t="str">
        <x:v>84879</x:v>
      </x:c>
      <x:c r="B2217" s="10" t="n">
        <x:v>2</x:v>
      </x:c>
      <x:c r="C2217" s="9" t="d">
        <x:v>2011-11-02T00:00:00.000Z</x:v>
      </x:c>
      <x:c r="D2217" s="9" t="d">
        <x:v>2011-11-16T00:00:00.000Z</x:v>
      </x:c>
      <x:c r="E2217" s="1" t="str">
        <x:v>seasonal_naive</x:v>
      </x:c>
      <x:c r="F2217" s="10" t="n">
        <x:v>289</x:v>
      </x:c>
      <x:c r="G2217" s="10" t="n">
        <x:v>128</x:v>
      </x:c>
      <x:c r="H2217" s="10" t="n">
        <x:f>ABS(G2217-F2217)</x:f>
        <x:v>161</x:v>
      </x:c>
      <x:c r="I2217" s="10" t="n">
        <x:f>G2217-F2217</x:f>
        <x:v>-161</x:v>
      </x:c>
    </x:row>
    <x:row r="2218" ht="20" customHeight="1">
      <x:c r="A2218" s="1" t="str">
        <x:v>84879</x:v>
      </x:c>
      <x:c r="B2218" s="10" t="n">
        <x:v>2</x:v>
      </x:c>
      <x:c r="C2218" s="9" t="d">
        <x:v>2011-11-02T00:00:00.000Z</x:v>
      </x:c>
      <x:c r="D2218" s="9" t="d">
        <x:v>2011-11-03T00:00:00.000Z</x:v>
      </x:c>
      <x:c r="E2218" s="1" t="str">
        <x:v>ridge</x:v>
      </x:c>
      <x:c r="F2218" s="10" t="n">
        <x:v>210</x:v>
      </x:c>
      <x:c r="G2218" s="10" t="n">
        <x:v>113.4319804051</x:v>
      </x:c>
      <x:c r="H2218" s="10" t="n">
        <x:f>ABS(G2218-F2218)</x:f>
        <x:v>96.5680195949</x:v>
      </x:c>
      <x:c r="I2218" s="10" t="n">
        <x:f>G2218-F2218</x:f>
        <x:v>-96.5680195949</x:v>
      </x:c>
    </x:row>
    <x:row r="2219" ht="20" customHeight="1">
      <x:c r="A2219" s="1" t="str">
        <x:v>84879</x:v>
      </x:c>
      <x:c r="B2219" s="10" t="n">
        <x:v>2</x:v>
      </x:c>
      <x:c r="C2219" s="9" t="d">
        <x:v>2011-11-02T00:00:00.000Z</x:v>
      </x:c>
      <x:c r="D2219" s="9" t="d">
        <x:v>2011-11-04T00:00:00.000Z</x:v>
      </x:c>
      <x:c r="E2219" s="1" t="str">
        <x:v>ridge</x:v>
      </x:c>
      <x:c r="F2219" s="10" t="n">
        <x:v>80</x:v>
      </x:c>
      <x:c r="G2219" s="10" t="n">
        <x:v>81.0591903322</x:v>
      </x:c>
      <x:c r="H2219" s="10" t="n">
        <x:f>ABS(G2219-F2219)</x:f>
        <x:v>1.0591903322000036</x:v>
      </x:c>
      <x:c r="I2219" s="10" t="n">
        <x:f>G2219-F2219</x:f>
        <x:v>1.0591903322000036</x:v>
      </x:c>
    </x:row>
    <x:row r="2220" ht="20" customHeight="1">
      <x:c r="A2220" s="1" t="str">
        <x:v>84879</x:v>
      </x:c>
      <x:c r="B2220" s="10" t="n">
        <x:v>2</x:v>
      </x:c>
      <x:c r="C2220" s="9" t="d">
        <x:v>2011-11-02T00:00:00.000Z</x:v>
      </x:c>
      <x:c r="D2220" s="9" t="d">
        <x:v>2011-11-05T00:00:00.000Z</x:v>
      </x:c>
      <x:c r="E2220" s="1" t="str">
        <x:v>ridge</x:v>
      </x:c>
      <x:c r="F2220" s="10" t="n">
        <x:v>0</x:v>
      </x:c>
      <x:c r="G2220" s="10" t="n">
        <x:v>36.1023829887</x:v>
      </x:c>
      <x:c r="H2220" s="10" t="n">
        <x:f>ABS(G2220-F2220)</x:f>
        <x:v>36.1023829887</x:v>
      </x:c>
      <x:c r="I2220" s="10" t="n">
        <x:f>G2220-F2220</x:f>
        <x:v>36.1023829887</x:v>
      </x:c>
    </x:row>
    <x:row r="2221" ht="20" customHeight="1">
      <x:c r="A2221" s="1" t="str">
        <x:v>84879</x:v>
      </x:c>
      <x:c r="B2221" s="10" t="n">
        <x:v>2</x:v>
      </x:c>
      <x:c r="C2221" s="9" t="d">
        <x:v>2011-11-02T00:00:00.000Z</x:v>
      </x:c>
      <x:c r="D2221" s="9" t="d">
        <x:v>2011-11-06T00:00:00.000Z</x:v>
      </x:c>
      <x:c r="E2221" s="1" t="str">
        <x:v>ridge</x:v>
      </x:c>
      <x:c r="F2221" s="10" t="n">
        <x:v>136</x:v>
      </x:c>
      <x:c r="G2221" s="10" t="n">
        <x:v>87.8254677259</x:v>
      </x:c>
      <x:c r="H2221" s="10" t="n">
        <x:f>ABS(G2221-F2221)</x:f>
        <x:v>48.1745322741</x:v>
      </x:c>
      <x:c r="I2221" s="10" t="n">
        <x:f>G2221-F2221</x:f>
        <x:v>-48.1745322741</x:v>
      </x:c>
    </x:row>
    <x:row r="2222" ht="20" customHeight="1">
      <x:c r="A2222" s="1" t="str">
        <x:v>84879</x:v>
      </x:c>
      <x:c r="B2222" s="10" t="n">
        <x:v>2</x:v>
      </x:c>
      <x:c r="C2222" s="9" t="d">
        <x:v>2011-11-02T00:00:00.000Z</x:v>
      </x:c>
      <x:c r="D2222" s="9" t="d">
        <x:v>2011-11-07T00:00:00.000Z</x:v>
      </x:c>
      <x:c r="E2222" s="1" t="str">
        <x:v>ridge</x:v>
      </x:c>
      <x:c r="F2222" s="10" t="n">
        <x:v>24</x:v>
      </x:c>
      <x:c r="G2222" s="10" t="n">
        <x:v>80.0679213185</x:v>
      </x:c>
      <x:c r="H2222" s="10" t="n">
        <x:f>ABS(G2222-F2222)</x:f>
        <x:v>56.0679213185</x:v>
      </x:c>
      <x:c r="I2222" s="10" t="n">
        <x:f>G2222-F2222</x:f>
        <x:v>56.0679213185</x:v>
      </x:c>
    </x:row>
    <x:row r="2223" ht="20" customHeight="1">
      <x:c r="A2223" s="1" t="str">
        <x:v>84879</x:v>
      </x:c>
      <x:c r="B2223" s="10" t="n">
        <x:v>2</x:v>
      </x:c>
      <x:c r="C2223" s="9" t="d">
        <x:v>2011-11-02T00:00:00.000Z</x:v>
      </x:c>
      <x:c r="D2223" s="9" t="d">
        <x:v>2011-11-08T00:00:00.000Z</x:v>
      </x:c>
      <x:c r="E2223" s="1" t="str">
        <x:v>ridge</x:v>
      </x:c>
      <x:c r="F2223" s="10" t="n">
        <x:v>56</x:v>
      </x:c>
      <x:c r="G2223" s="10" t="n">
        <x:v>157.2814118585</x:v>
      </x:c>
      <x:c r="H2223" s="10" t="n">
        <x:f>ABS(G2223-F2223)</x:f>
        <x:v>101.28141185850001</x:v>
      </x:c>
      <x:c r="I2223" s="10" t="n">
        <x:f>G2223-F2223</x:f>
        <x:v>101.28141185850001</x:v>
      </x:c>
    </x:row>
    <x:row r="2224" ht="20" customHeight="1">
      <x:c r="A2224" s="1" t="str">
        <x:v>84879</x:v>
      </x:c>
      <x:c r="B2224" s="10" t="n">
        <x:v>2</x:v>
      </x:c>
      <x:c r="C2224" s="9" t="d">
        <x:v>2011-11-02T00:00:00.000Z</x:v>
      </x:c>
      <x:c r="D2224" s="9" t="d">
        <x:v>2011-11-09T00:00:00.000Z</x:v>
      </x:c>
      <x:c r="E2224" s="1" t="str">
        <x:v>ridge</x:v>
      </x:c>
      <x:c r="F2224" s="10" t="n">
        <x:v>1312</x:v>
      </x:c>
      <x:c r="G2224" s="10" t="n">
        <x:v>140.5774832463</x:v>
      </x:c>
      <x:c r="H2224" s="10" t="n">
        <x:f>ABS(G2224-F2224)</x:f>
        <x:v>1171.4225167537</x:v>
      </x:c>
      <x:c r="I2224" s="10" t="n">
        <x:f>G2224-F2224</x:f>
        <x:v>-1171.4225167537</x:v>
      </x:c>
    </x:row>
    <x:row r="2225" ht="20" customHeight="1">
      <x:c r="A2225" s="1" t="str">
        <x:v>84879</x:v>
      </x:c>
      <x:c r="B2225" s="10" t="n">
        <x:v>2</x:v>
      </x:c>
      <x:c r="C2225" s="9" t="d">
        <x:v>2011-11-02T00:00:00.000Z</x:v>
      </x:c>
      <x:c r="D2225" s="9" t="d">
        <x:v>2011-11-10T00:00:00.000Z</x:v>
      </x:c>
      <x:c r="E2225" s="1" t="str">
        <x:v>ridge</x:v>
      </x:c>
      <x:c r="F2225" s="10" t="n">
        <x:v>200</x:v>
      </x:c>
      <x:c r="G2225" s="10" t="n">
        <x:v>126.2241181379</x:v>
      </x:c>
      <x:c r="H2225" s="10" t="n">
        <x:f>ABS(G2225-F2225)</x:f>
        <x:v>73.7758818621</x:v>
      </x:c>
      <x:c r="I2225" s="10" t="n">
        <x:f>G2225-F2225</x:f>
        <x:v>-73.7758818621</x:v>
      </x:c>
    </x:row>
    <x:row r="2226" ht="20" customHeight="1">
      <x:c r="A2226" s="1" t="str">
        <x:v>84879</x:v>
      </x:c>
      <x:c r="B2226" s="10" t="n">
        <x:v>2</x:v>
      </x:c>
      <x:c r="C2226" s="9" t="d">
        <x:v>2011-11-02T00:00:00.000Z</x:v>
      </x:c>
      <x:c r="D2226" s="9" t="d">
        <x:v>2011-11-11T00:00:00.000Z</x:v>
      </x:c>
      <x:c r="E2226" s="1" t="str">
        <x:v>ridge</x:v>
      </x:c>
      <x:c r="F2226" s="10" t="n">
        <x:v>92</x:v>
      </x:c>
      <x:c r="G2226" s="10" t="n">
        <x:v>82.3050155516</x:v>
      </x:c>
      <x:c r="H2226" s="10" t="n">
        <x:f>ABS(G2226-F2226)</x:f>
        <x:v>9.694984448400007</x:v>
      </x:c>
      <x:c r="I2226" s="10" t="n">
        <x:f>G2226-F2226</x:f>
        <x:v>-9.694984448400007</x:v>
      </x:c>
    </x:row>
    <x:row r="2227" ht="20" customHeight="1">
      <x:c r="A2227" s="1" t="str">
        <x:v>84879</x:v>
      </x:c>
      <x:c r="B2227" s="10" t="n">
        <x:v>2</x:v>
      </x:c>
      <x:c r="C2227" s="9" t="d">
        <x:v>2011-11-02T00:00:00.000Z</x:v>
      </x:c>
      <x:c r="D2227" s="9" t="d">
        <x:v>2011-11-12T00:00:00.000Z</x:v>
      </x:c>
      <x:c r="E2227" s="1" t="str">
        <x:v>ridge</x:v>
      </x:c>
      <x:c r="F2227" s="10" t="n">
        <x:v>0</x:v>
      </x:c>
      <x:c r="G2227" s="10" t="n">
        <x:v>38.1682236529</x:v>
      </x:c>
      <x:c r="H2227" s="10" t="n">
        <x:f>ABS(G2227-F2227)</x:f>
        <x:v>38.1682236529</x:v>
      </x:c>
      <x:c r="I2227" s="10" t="n">
        <x:f>G2227-F2227</x:f>
        <x:v>38.1682236529</x:v>
      </x:c>
    </x:row>
    <x:row r="2228" ht="20" customHeight="1">
      <x:c r="A2228" s="1" t="str">
        <x:v>84879</x:v>
      </x:c>
      <x:c r="B2228" s="10" t="n">
        <x:v>2</x:v>
      </x:c>
      <x:c r="C2228" s="9" t="d">
        <x:v>2011-11-02T00:00:00.000Z</x:v>
      </x:c>
      <x:c r="D2228" s="9" t="d">
        <x:v>2011-11-13T00:00:00.000Z</x:v>
      </x:c>
      <x:c r="E2228" s="1" t="str">
        <x:v>ridge</x:v>
      </x:c>
      <x:c r="F2228" s="10" t="n">
        <x:v>56</x:v>
      </x:c>
      <x:c r="G2228" s="10" t="n">
        <x:v>42.2167606854</x:v>
      </x:c>
      <x:c r="H2228" s="10" t="n">
        <x:f>ABS(G2228-F2228)</x:f>
        <x:v>13.783239314600003</x:v>
      </x:c>
      <x:c r="I2228" s="10" t="n">
        <x:f>G2228-F2228</x:f>
        <x:v>-13.783239314600003</x:v>
      </x:c>
    </x:row>
    <x:row r="2229" ht="20" customHeight="1">
      <x:c r="A2229" s="1" t="str">
        <x:v>84879</x:v>
      </x:c>
      <x:c r="B2229" s="10" t="n">
        <x:v>2</x:v>
      </x:c>
      <x:c r="C2229" s="9" t="d">
        <x:v>2011-11-02T00:00:00.000Z</x:v>
      </x:c>
      <x:c r="D2229" s="9" t="d">
        <x:v>2011-11-14T00:00:00.000Z</x:v>
      </x:c>
      <x:c r="E2229" s="1" t="str">
        <x:v>ridge</x:v>
      </x:c>
      <x:c r="F2229" s="10" t="n">
        <x:v>303</x:v>
      </x:c>
      <x:c r="G2229" s="10" t="n">
        <x:v>67.4853400465</x:v>
      </x:c>
      <x:c r="H2229" s="10" t="n">
        <x:f>ABS(G2229-F2229)</x:f>
        <x:v>235.5146599535</x:v>
      </x:c>
      <x:c r="I2229" s="10" t="n">
        <x:f>G2229-F2229</x:f>
        <x:v>-235.5146599535</x:v>
      </x:c>
    </x:row>
    <x:row r="2230" ht="20" customHeight="1">
      <x:c r="A2230" s="1" t="str">
        <x:v>84879</x:v>
      </x:c>
      <x:c r="B2230" s="10" t="n">
        <x:v>2</x:v>
      </x:c>
      <x:c r="C2230" s="9" t="d">
        <x:v>2011-11-02T00:00:00.000Z</x:v>
      </x:c>
      <x:c r="D2230" s="9" t="d">
        <x:v>2011-11-15T00:00:00.000Z</x:v>
      </x:c>
      <x:c r="E2230" s="1" t="str">
        <x:v>ridge</x:v>
      </x:c>
      <x:c r="F2230" s="10" t="n">
        <x:v>107</x:v>
      </x:c>
      <x:c r="G2230" s="10" t="n">
        <x:v>125.3234670996</x:v>
      </x:c>
      <x:c r="H2230" s="10" t="n">
        <x:f>ABS(G2230-F2230)</x:f>
        <x:v>18.323467099599995</x:v>
      </x:c>
      <x:c r="I2230" s="10" t="n">
        <x:f>G2230-F2230</x:f>
        <x:v>18.323467099599995</x:v>
      </x:c>
    </x:row>
    <x:row r="2231" ht="20" customHeight="1">
      <x:c r="A2231" s="1" t="str">
        <x:v>84879</x:v>
      </x:c>
      <x:c r="B2231" s="10" t="n">
        <x:v>2</x:v>
      </x:c>
      <x:c r="C2231" s="9" t="d">
        <x:v>2011-11-02T00:00:00.000Z</x:v>
      </x:c>
      <x:c r="D2231" s="9" t="d">
        <x:v>2011-11-16T00:00:00.000Z</x:v>
      </x:c>
      <x:c r="E2231" s="1" t="str">
        <x:v>ridge</x:v>
      </x:c>
      <x:c r="F2231" s="10" t="n">
        <x:v>289</x:v>
      </x:c>
      <x:c r="G2231" s="10" t="n">
        <x:v>143.8243797993</x:v>
      </x:c>
      <x:c r="H2231" s="10" t="n">
        <x:f>ABS(G2231-F2231)</x:f>
        <x:v>145.1756202007</x:v>
      </x:c>
      <x:c r="I2231" s="10" t="n">
        <x:f>G2231-F2231</x:f>
        <x:v>-145.1756202007</x:v>
      </x:c>
    </x:row>
    <x:row r="2232" ht="20" customHeight="1">
      <x:c r="A2232" s="1" t="str">
        <x:v>84879</x:v>
      </x:c>
      <x:c r="B2232" s="10" t="n">
        <x:v>3</x:v>
      </x:c>
      <x:c r="C2232" s="9" t="d">
        <x:v>2011-11-16T00:00:00.000Z</x:v>
      </x:c>
      <x:c r="D2232" s="9" t="d">
        <x:v>2011-11-17T00:00:00.000Z</x:v>
      </x:c>
      <x:c r="E2232" s="1" t="str">
        <x:v>naive</x:v>
      </x:c>
      <x:c r="F2232" s="10" t="n">
        <x:v>94</x:v>
      </x:c>
      <x:c r="G2232" s="10" t="n">
        <x:v>289</x:v>
      </x:c>
      <x:c r="H2232" s="10" t="n">
        <x:f>ABS(G2232-F2232)</x:f>
        <x:v>195</x:v>
      </x:c>
      <x:c r="I2232" s="10" t="n">
        <x:f>G2232-F2232</x:f>
        <x:v>195</x:v>
      </x:c>
    </x:row>
    <x:row r="2233" ht="20" customHeight="1">
      <x:c r="A2233" s="1" t="str">
        <x:v>84879</x:v>
      </x:c>
      <x:c r="B2233" s="10" t="n">
        <x:v>3</x:v>
      </x:c>
      <x:c r="C2233" s="9" t="d">
        <x:v>2011-11-16T00:00:00.000Z</x:v>
      </x:c>
      <x:c r="D2233" s="9" t="d">
        <x:v>2011-11-18T00:00:00.000Z</x:v>
      </x:c>
      <x:c r="E2233" s="1" t="str">
        <x:v>naive</x:v>
      </x:c>
      <x:c r="F2233" s="10" t="n">
        <x:v>368</x:v>
      </x:c>
      <x:c r="G2233" s="10" t="n">
        <x:v>289</x:v>
      </x:c>
      <x:c r="H2233" s="10" t="n">
        <x:f>ABS(G2233-F2233)</x:f>
        <x:v>79</x:v>
      </x:c>
      <x:c r="I2233" s="10" t="n">
        <x:f>G2233-F2233</x:f>
        <x:v>-79</x:v>
      </x:c>
    </x:row>
    <x:row r="2234" ht="20" customHeight="1">
      <x:c r="A2234" s="1" t="str">
        <x:v>84879</x:v>
      </x:c>
      <x:c r="B2234" s="10" t="n">
        <x:v>3</x:v>
      </x:c>
      <x:c r="C2234" s="9" t="d">
        <x:v>2011-11-16T00:00:00.000Z</x:v>
      </x:c>
      <x:c r="D2234" s="9" t="d">
        <x:v>2011-11-19T00:00:00.000Z</x:v>
      </x:c>
      <x:c r="E2234" s="1" t="str">
        <x:v>naive</x:v>
      </x:c>
      <x:c r="F2234" s="10" t="n">
        <x:v>0</x:v>
      </x:c>
      <x:c r="G2234" s="10" t="n">
        <x:v>289</x:v>
      </x:c>
      <x:c r="H2234" s="10" t="n">
        <x:f>ABS(G2234-F2234)</x:f>
        <x:v>289</x:v>
      </x:c>
      <x:c r="I2234" s="10" t="n">
        <x:f>G2234-F2234</x:f>
        <x:v>289</x:v>
      </x:c>
    </x:row>
    <x:row r="2235" ht="20" customHeight="1">
      <x:c r="A2235" s="1" t="str">
        <x:v>84879</x:v>
      </x:c>
      <x:c r="B2235" s="10" t="n">
        <x:v>3</x:v>
      </x:c>
      <x:c r="C2235" s="9" t="d">
        <x:v>2011-11-16T00:00:00.000Z</x:v>
      </x:c>
      <x:c r="D2235" s="9" t="d">
        <x:v>2011-11-20T00:00:00.000Z</x:v>
      </x:c>
      <x:c r="E2235" s="1" t="str">
        <x:v>naive</x:v>
      </x:c>
      <x:c r="F2235" s="10" t="n">
        <x:v>149</x:v>
      </x:c>
      <x:c r="G2235" s="10" t="n">
        <x:v>289</x:v>
      </x:c>
      <x:c r="H2235" s="10" t="n">
        <x:f>ABS(G2235-F2235)</x:f>
        <x:v>140</x:v>
      </x:c>
      <x:c r="I2235" s="10" t="n">
        <x:f>G2235-F2235</x:f>
        <x:v>140</x:v>
      </x:c>
    </x:row>
    <x:row r="2236" ht="20" customHeight="1">
      <x:c r="A2236" s="1" t="str">
        <x:v>84879</x:v>
      </x:c>
      <x:c r="B2236" s="10" t="n">
        <x:v>3</x:v>
      </x:c>
      <x:c r="C2236" s="9" t="d">
        <x:v>2011-11-16T00:00:00.000Z</x:v>
      </x:c>
      <x:c r="D2236" s="9" t="d">
        <x:v>2011-11-21T00:00:00.000Z</x:v>
      </x:c>
      <x:c r="E2236" s="1" t="str">
        <x:v>naive</x:v>
      </x:c>
      <x:c r="F2236" s="10" t="n">
        <x:v>179</x:v>
      </x:c>
      <x:c r="G2236" s="10" t="n">
        <x:v>289</x:v>
      </x:c>
      <x:c r="H2236" s="10" t="n">
        <x:f>ABS(G2236-F2236)</x:f>
        <x:v>110</x:v>
      </x:c>
      <x:c r="I2236" s="10" t="n">
        <x:f>G2236-F2236</x:f>
        <x:v>110</x:v>
      </x:c>
    </x:row>
    <x:row r="2237" ht="20" customHeight="1">
      <x:c r="A2237" s="1" t="str">
        <x:v>84879</x:v>
      </x:c>
      <x:c r="B2237" s="10" t="n">
        <x:v>3</x:v>
      </x:c>
      <x:c r="C2237" s="9" t="d">
        <x:v>2011-11-16T00:00:00.000Z</x:v>
      </x:c>
      <x:c r="D2237" s="9" t="d">
        <x:v>2011-11-22T00:00:00.000Z</x:v>
      </x:c>
      <x:c r="E2237" s="1" t="str">
        <x:v>naive</x:v>
      </x:c>
      <x:c r="F2237" s="10" t="n">
        <x:v>132</x:v>
      </x:c>
      <x:c r="G2237" s="10" t="n">
        <x:v>289</x:v>
      </x:c>
      <x:c r="H2237" s="10" t="n">
        <x:f>ABS(G2237-F2237)</x:f>
        <x:v>157</x:v>
      </x:c>
      <x:c r="I2237" s="10" t="n">
        <x:f>G2237-F2237</x:f>
        <x:v>157</x:v>
      </x:c>
    </x:row>
    <x:row r="2238" ht="20" customHeight="1">
      <x:c r="A2238" s="1" t="str">
        <x:v>84879</x:v>
      </x:c>
      <x:c r="B2238" s="10" t="n">
        <x:v>3</x:v>
      </x:c>
      <x:c r="C2238" s="9" t="d">
        <x:v>2011-11-16T00:00:00.000Z</x:v>
      </x:c>
      <x:c r="D2238" s="9" t="d">
        <x:v>2011-11-23T00:00:00.000Z</x:v>
      </x:c>
      <x:c r="E2238" s="1" t="str">
        <x:v>naive</x:v>
      </x:c>
      <x:c r="F2238" s="10" t="n">
        <x:v>80</x:v>
      </x:c>
      <x:c r="G2238" s="10" t="n">
        <x:v>289</x:v>
      </x:c>
      <x:c r="H2238" s="10" t="n">
        <x:f>ABS(G2238-F2238)</x:f>
        <x:v>209</x:v>
      </x:c>
      <x:c r="I2238" s="10" t="n">
        <x:f>G2238-F2238</x:f>
        <x:v>209</x:v>
      </x:c>
    </x:row>
    <x:row r="2239" ht="20" customHeight="1">
      <x:c r="A2239" s="1" t="str">
        <x:v>84879</x:v>
      </x:c>
      <x:c r="B2239" s="10" t="n">
        <x:v>3</x:v>
      </x:c>
      <x:c r="C2239" s="9" t="d">
        <x:v>2011-11-16T00:00:00.000Z</x:v>
      </x:c>
      <x:c r="D2239" s="9" t="d">
        <x:v>2011-11-24T00:00:00.000Z</x:v>
      </x:c>
      <x:c r="E2239" s="1" t="str">
        <x:v>naive</x:v>
      </x:c>
      <x:c r="F2239" s="10" t="n">
        <x:v>355</x:v>
      </x:c>
      <x:c r="G2239" s="10" t="n">
        <x:v>289</x:v>
      </x:c>
      <x:c r="H2239" s="10" t="n">
        <x:f>ABS(G2239-F2239)</x:f>
        <x:v>66</x:v>
      </x:c>
      <x:c r="I2239" s="10" t="n">
        <x:f>G2239-F2239</x:f>
        <x:v>-66</x:v>
      </x:c>
    </x:row>
    <x:row r="2240" ht="20" customHeight="1">
      <x:c r="A2240" s="1" t="str">
        <x:v>84879</x:v>
      </x:c>
      <x:c r="B2240" s="10" t="n">
        <x:v>3</x:v>
      </x:c>
      <x:c r="C2240" s="9" t="d">
        <x:v>2011-11-16T00:00:00.000Z</x:v>
      </x:c>
      <x:c r="D2240" s="9" t="d">
        <x:v>2011-11-25T00:00:00.000Z</x:v>
      </x:c>
      <x:c r="E2240" s="1" t="str">
        <x:v>naive</x:v>
      </x:c>
      <x:c r="F2240" s="10" t="n">
        <x:v>272</x:v>
      </x:c>
      <x:c r="G2240" s="10" t="n">
        <x:v>289</x:v>
      </x:c>
      <x:c r="H2240" s="10" t="n">
        <x:f>ABS(G2240-F2240)</x:f>
        <x:v>17</x:v>
      </x:c>
      <x:c r="I2240" s="10" t="n">
        <x:f>G2240-F2240</x:f>
        <x:v>17</x:v>
      </x:c>
    </x:row>
    <x:row r="2241" ht="20" customHeight="1">
      <x:c r="A2241" s="1" t="str">
        <x:v>84879</x:v>
      </x:c>
      <x:c r="B2241" s="10" t="n">
        <x:v>3</x:v>
      </x:c>
      <x:c r="C2241" s="9" t="d">
        <x:v>2011-11-16T00:00:00.000Z</x:v>
      </x:c>
      <x:c r="D2241" s="9" t="d">
        <x:v>2011-11-26T00:00:00.000Z</x:v>
      </x:c>
      <x:c r="E2241" s="1" t="str">
        <x:v>naive</x:v>
      </x:c>
      <x:c r="F2241" s="10" t="n">
        <x:v>0</x:v>
      </x:c>
      <x:c r="G2241" s="10" t="n">
        <x:v>289</x:v>
      </x:c>
      <x:c r="H2241" s="10" t="n">
        <x:f>ABS(G2241-F2241)</x:f>
        <x:v>289</x:v>
      </x:c>
      <x:c r="I2241" s="10" t="n">
        <x:f>G2241-F2241</x:f>
        <x:v>289</x:v>
      </x:c>
    </x:row>
    <x:row r="2242" ht="20" customHeight="1">
      <x:c r="A2242" s="1" t="str">
        <x:v>84879</x:v>
      </x:c>
      <x:c r="B2242" s="10" t="n">
        <x:v>3</x:v>
      </x:c>
      <x:c r="C2242" s="9" t="d">
        <x:v>2011-11-16T00:00:00.000Z</x:v>
      </x:c>
      <x:c r="D2242" s="9" t="d">
        <x:v>2011-11-27T00:00:00.000Z</x:v>
      </x:c>
      <x:c r="E2242" s="1" t="str">
        <x:v>naive</x:v>
      </x:c>
      <x:c r="F2242" s="10" t="n">
        <x:v>8</x:v>
      </x:c>
      <x:c r="G2242" s="10" t="n">
        <x:v>289</x:v>
      </x:c>
      <x:c r="H2242" s="10" t="n">
        <x:f>ABS(G2242-F2242)</x:f>
        <x:v>281</x:v>
      </x:c>
      <x:c r="I2242" s="10" t="n">
        <x:f>G2242-F2242</x:f>
        <x:v>281</x:v>
      </x:c>
    </x:row>
    <x:row r="2243" ht="20" customHeight="1">
      <x:c r="A2243" s="1" t="str">
        <x:v>84879</x:v>
      </x:c>
      <x:c r="B2243" s="10" t="n">
        <x:v>3</x:v>
      </x:c>
      <x:c r="C2243" s="9" t="d">
        <x:v>2011-11-16T00:00:00.000Z</x:v>
      </x:c>
      <x:c r="D2243" s="9" t="d">
        <x:v>2011-11-28T00:00:00.000Z</x:v>
      </x:c>
      <x:c r="E2243" s="1" t="str">
        <x:v>naive</x:v>
      </x:c>
      <x:c r="F2243" s="10" t="n">
        <x:v>56</x:v>
      </x:c>
      <x:c r="G2243" s="10" t="n">
        <x:v>289</x:v>
      </x:c>
      <x:c r="H2243" s="10" t="n">
        <x:f>ABS(G2243-F2243)</x:f>
        <x:v>233</x:v>
      </x:c>
      <x:c r="I2243" s="10" t="n">
        <x:f>G2243-F2243</x:f>
        <x:v>233</x:v>
      </x:c>
    </x:row>
    <x:row r="2244" ht="20" customHeight="1">
      <x:c r="A2244" s="1" t="str">
        <x:v>84879</x:v>
      </x:c>
      <x:c r="B2244" s="10" t="n">
        <x:v>3</x:v>
      </x:c>
      <x:c r="C2244" s="9" t="d">
        <x:v>2011-11-16T00:00:00.000Z</x:v>
      </x:c>
      <x:c r="D2244" s="9" t="d">
        <x:v>2011-11-29T00:00:00.000Z</x:v>
      </x:c>
      <x:c r="E2244" s="1" t="str">
        <x:v>naive</x:v>
      </x:c>
      <x:c r="F2244" s="10" t="n">
        <x:v>127</x:v>
      </x:c>
      <x:c r="G2244" s="10" t="n">
        <x:v>289</x:v>
      </x:c>
      <x:c r="H2244" s="10" t="n">
        <x:f>ABS(G2244-F2244)</x:f>
        <x:v>162</x:v>
      </x:c>
      <x:c r="I2244" s="10" t="n">
        <x:f>G2244-F2244</x:f>
        <x:v>162</x:v>
      </x:c>
    </x:row>
    <x:row r="2245" ht="20" customHeight="1">
      <x:c r="A2245" s="1" t="str">
        <x:v>84879</x:v>
      </x:c>
      <x:c r="B2245" s="10" t="n">
        <x:v>3</x:v>
      </x:c>
      <x:c r="C2245" s="9" t="d">
        <x:v>2011-11-16T00:00:00.000Z</x:v>
      </x:c>
      <x:c r="D2245" s="9" t="d">
        <x:v>2011-11-30T00:00:00.000Z</x:v>
      </x:c>
      <x:c r="E2245" s="1" t="str">
        <x:v>naive</x:v>
      </x:c>
      <x:c r="F2245" s="10" t="n">
        <x:v>112</x:v>
      </x:c>
      <x:c r="G2245" s="10" t="n">
        <x:v>289</x:v>
      </x:c>
      <x:c r="H2245" s="10" t="n">
        <x:f>ABS(G2245-F2245)</x:f>
        <x:v>177</x:v>
      </x:c>
      <x:c r="I2245" s="10" t="n">
        <x:f>G2245-F2245</x:f>
        <x:v>177</x:v>
      </x:c>
    </x:row>
    <x:row r="2246" ht="20" customHeight="1">
      <x:c r="A2246" s="1" t="str">
        <x:v>84879</x:v>
      </x:c>
      <x:c r="B2246" s="10" t="n">
        <x:v>3</x:v>
      </x:c>
      <x:c r="C2246" s="9" t="d">
        <x:v>2011-11-16T00:00:00.000Z</x:v>
      </x:c>
      <x:c r="D2246" s="9" t="d">
        <x:v>2011-11-17T00:00:00.000Z</x:v>
      </x:c>
      <x:c r="E2246" s="1" t="str">
        <x:v>seasonal_naive</x:v>
      </x:c>
      <x:c r="F2246" s="10" t="n">
        <x:v>94</x:v>
      </x:c>
      <x:c r="G2246" s="10" t="n">
        <x:v>200</x:v>
      </x:c>
      <x:c r="H2246" s="10" t="n">
        <x:f>ABS(G2246-F2246)</x:f>
        <x:v>106</x:v>
      </x:c>
      <x:c r="I2246" s="10" t="n">
        <x:f>G2246-F2246</x:f>
        <x:v>106</x:v>
      </x:c>
    </x:row>
    <x:row r="2247" ht="20" customHeight="1">
      <x:c r="A2247" s="1" t="str">
        <x:v>84879</x:v>
      </x:c>
      <x:c r="B2247" s="10" t="n">
        <x:v>3</x:v>
      </x:c>
      <x:c r="C2247" s="9" t="d">
        <x:v>2011-11-16T00:00:00.000Z</x:v>
      </x:c>
      <x:c r="D2247" s="9" t="d">
        <x:v>2011-11-18T00:00:00.000Z</x:v>
      </x:c>
      <x:c r="E2247" s="1" t="str">
        <x:v>seasonal_naive</x:v>
      </x:c>
      <x:c r="F2247" s="10" t="n">
        <x:v>368</x:v>
      </x:c>
      <x:c r="G2247" s="10" t="n">
        <x:v>92</x:v>
      </x:c>
      <x:c r="H2247" s="10" t="n">
        <x:f>ABS(G2247-F2247)</x:f>
        <x:v>276</x:v>
      </x:c>
      <x:c r="I2247" s="10" t="n">
        <x:f>G2247-F2247</x:f>
        <x:v>-276</x:v>
      </x:c>
    </x:row>
    <x:row r="2248" ht="20" customHeight="1">
      <x:c r="A2248" s="1" t="str">
        <x:v>84879</x:v>
      </x:c>
      <x:c r="B2248" s="10" t="n">
        <x:v>3</x:v>
      </x:c>
      <x:c r="C2248" s="9" t="d">
        <x:v>2011-11-16T00:00:00.000Z</x:v>
      </x:c>
      <x:c r="D2248" s="9" t="d">
        <x:v>2011-11-19T00:00:00.000Z</x:v>
      </x:c>
      <x:c r="E2248" s="1" t="str">
        <x:v>seasonal_naive</x:v>
      </x:c>
      <x:c r="F2248" s="10" t="n">
        <x:v>0</x:v>
      </x:c>
      <x:c r="G2248" s="10" t="n">
        <x:v>0</x:v>
      </x:c>
      <x:c r="H2248" s="10" t="n">
        <x:f>ABS(G2248-F2248)</x:f>
        <x:v>0</x:v>
      </x:c>
      <x:c r="I2248" s="10" t="n">
        <x:f>G2248-F2248</x:f>
        <x:v>0</x:v>
      </x:c>
    </x:row>
    <x:row r="2249" ht="20" customHeight="1">
      <x:c r="A2249" s="1" t="str">
        <x:v>84879</x:v>
      </x:c>
      <x:c r="B2249" s="10" t="n">
        <x:v>3</x:v>
      </x:c>
      <x:c r="C2249" s="9" t="d">
        <x:v>2011-11-16T00:00:00.000Z</x:v>
      </x:c>
      <x:c r="D2249" s="9" t="d">
        <x:v>2011-11-20T00:00:00.000Z</x:v>
      </x:c>
      <x:c r="E2249" s="1" t="str">
        <x:v>seasonal_naive</x:v>
      </x:c>
      <x:c r="F2249" s="10" t="n">
        <x:v>149</x:v>
      </x:c>
      <x:c r="G2249" s="10" t="n">
        <x:v>56</x:v>
      </x:c>
      <x:c r="H2249" s="10" t="n">
        <x:f>ABS(G2249-F2249)</x:f>
        <x:v>93</x:v>
      </x:c>
      <x:c r="I2249" s="10" t="n">
        <x:f>G2249-F2249</x:f>
        <x:v>-93</x:v>
      </x:c>
    </x:row>
    <x:row r="2250" ht="20" customHeight="1">
      <x:c r="A2250" s="1" t="str">
        <x:v>84879</x:v>
      </x:c>
      <x:c r="B2250" s="10" t="n">
        <x:v>3</x:v>
      </x:c>
      <x:c r="C2250" s="9" t="d">
        <x:v>2011-11-16T00:00:00.000Z</x:v>
      </x:c>
      <x:c r="D2250" s="9" t="d">
        <x:v>2011-11-21T00:00:00.000Z</x:v>
      </x:c>
      <x:c r="E2250" s="1" t="str">
        <x:v>seasonal_naive</x:v>
      </x:c>
      <x:c r="F2250" s="10" t="n">
        <x:v>179</x:v>
      </x:c>
      <x:c r="G2250" s="10" t="n">
        <x:v>303</x:v>
      </x:c>
      <x:c r="H2250" s="10" t="n">
        <x:f>ABS(G2250-F2250)</x:f>
        <x:v>124</x:v>
      </x:c>
      <x:c r="I2250" s="10" t="n">
        <x:f>G2250-F2250</x:f>
        <x:v>124</x:v>
      </x:c>
    </x:row>
    <x:row r="2251" ht="20" customHeight="1">
      <x:c r="A2251" s="1" t="str">
        <x:v>84879</x:v>
      </x:c>
      <x:c r="B2251" s="10" t="n">
        <x:v>3</x:v>
      </x:c>
      <x:c r="C2251" s="9" t="d">
        <x:v>2011-11-16T00:00:00.000Z</x:v>
      </x:c>
      <x:c r="D2251" s="9" t="d">
        <x:v>2011-11-22T00:00:00.000Z</x:v>
      </x:c>
      <x:c r="E2251" s="1" t="str">
        <x:v>seasonal_naive</x:v>
      </x:c>
      <x:c r="F2251" s="10" t="n">
        <x:v>132</x:v>
      </x:c>
      <x:c r="G2251" s="10" t="n">
        <x:v>107</x:v>
      </x:c>
      <x:c r="H2251" s="10" t="n">
        <x:f>ABS(G2251-F2251)</x:f>
        <x:v>25</x:v>
      </x:c>
      <x:c r="I2251" s="10" t="n">
        <x:f>G2251-F2251</x:f>
        <x:v>-25</x:v>
      </x:c>
    </x:row>
    <x:row r="2252" ht="20" customHeight="1">
      <x:c r="A2252" s="1" t="str">
        <x:v>84879</x:v>
      </x:c>
      <x:c r="B2252" s="10" t="n">
        <x:v>3</x:v>
      </x:c>
      <x:c r="C2252" s="9" t="d">
        <x:v>2011-11-16T00:00:00.000Z</x:v>
      </x:c>
      <x:c r="D2252" s="9" t="d">
        <x:v>2011-11-23T00:00:00.000Z</x:v>
      </x:c>
      <x:c r="E2252" s="1" t="str">
        <x:v>seasonal_naive</x:v>
      </x:c>
      <x:c r="F2252" s="10" t="n">
        <x:v>80</x:v>
      </x:c>
      <x:c r="G2252" s="10" t="n">
        <x:v>289</x:v>
      </x:c>
      <x:c r="H2252" s="10" t="n">
        <x:f>ABS(G2252-F2252)</x:f>
        <x:v>209</x:v>
      </x:c>
      <x:c r="I2252" s="10" t="n">
        <x:f>G2252-F2252</x:f>
        <x:v>209</x:v>
      </x:c>
    </x:row>
    <x:row r="2253" ht="20" customHeight="1">
      <x:c r="A2253" s="1" t="str">
        <x:v>84879</x:v>
      </x:c>
      <x:c r="B2253" s="10" t="n">
        <x:v>3</x:v>
      </x:c>
      <x:c r="C2253" s="9" t="d">
        <x:v>2011-11-16T00:00:00.000Z</x:v>
      </x:c>
      <x:c r="D2253" s="9" t="d">
        <x:v>2011-11-24T00:00:00.000Z</x:v>
      </x:c>
      <x:c r="E2253" s="1" t="str">
        <x:v>seasonal_naive</x:v>
      </x:c>
      <x:c r="F2253" s="10" t="n">
        <x:v>355</x:v>
      </x:c>
      <x:c r="G2253" s="10" t="n">
        <x:v>200</x:v>
      </x:c>
      <x:c r="H2253" s="10" t="n">
        <x:f>ABS(G2253-F2253)</x:f>
        <x:v>155</x:v>
      </x:c>
      <x:c r="I2253" s="10" t="n">
        <x:f>G2253-F2253</x:f>
        <x:v>-155</x:v>
      </x:c>
    </x:row>
    <x:row r="2254" ht="20" customHeight="1">
      <x:c r="A2254" s="1" t="str">
        <x:v>84879</x:v>
      </x:c>
      <x:c r="B2254" s="10" t="n">
        <x:v>3</x:v>
      </x:c>
      <x:c r="C2254" s="9" t="d">
        <x:v>2011-11-16T00:00:00.000Z</x:v>
      </x:c>
      <x:c r="D2254" s="9" t="d">
        <x:v>2011-11-25T00:00:00.000Z</x:v>
      </x:c>
      <x:c r="E2254" s="1" t="str">
        <x:v>seasonal_naive</x:v>
      </x:c>
      <x:c r="F2254" s="10" t="n">
        <x:v>272</x:v>
      </x:c>
      <x:c r="G2254" s="10" t="n">
        <x:v>92</x:v>
      </x:c>
      <x:c r="H2254" s="10" t="n">
        <x:f>ABS(G2254-F2254)</x:f>
        <x:v>180</x:v>
      </x:c>
      <x:c r="I2254" s="10" t="n">
        <x:f>G2254-F2254</x:f>
        <x:v>-180</x:v>
      </x:c>
    </x:row>
    <x:row r="2255" ht="20" customHeight="1">
      <x:c r="A2255" s="1" t="str">
        <x:v>84879</x:v>
      </x:c>
      <x:c r="B2255" s="10" t="n">
        <x:v>3</x:v>
      </x:c>
      <x:c r="C2255" s="9" t="d">
        <x:v>2011-11-16T00:00:00.000Z</x:v>
      </x:c>
      <x:c r="D2255" s="9" t="d">
        <x:v>2011-11-26T00:00:00.000Z</x:v>
      </x:c>
      <x:c r="E2255" s="1" t="str">
        <x:v>seasonal_naive</x:v>
      </x:c>
      <x:c r="F2255" s="10" t="n">
        <x:v>0</x:v>
      </x:c>
      <x:c r="G2255" s="10" t="n">
        <x:v>0</x:v>
      </x:c>
      <x:c r="H2255" s="10" t="n">
        <x:f>ABS(G2255-F2255)</x:f>
        <x:v>0</x:v>
      </x:c>
      <x:c r="I2255" s="10" t="n">
        <x:f>G2255-F2255</x:f>
        <x:v>0</x:v>
      </x:c>
    </x:row>
    <x:row r="2256" ht="20" customHeight="1">
      <x:c r="A2256" s="1" t="str">
        <x:v>84879</x:v>
      </x:c>
      <x:c r="B2256" s="10" t="n">
        <x:v>3</x:v>
      </x:c>
      <x:c r="C2256" s="9" t="d">
        <x:v>2011-11-16T00:00:00.000Z</x:v>
      </x:c>
      <x:c r="D2256" s="9" t="d">
        <x:v>2011-11-27T00:00:00.000Z</x:v>
      </x:c>
      <x:c r="E2256" s="1" t="str">
        <x:v>seasonal_naive</x:v>
      </x:c>
      <x:c r="F2256" s="10" t="n">
        <x:v>8</x:v>
      </x:c>
      <x:c r="G2256" s="10" t="n">
        <x:v>56</x:v>
      </x:c>
      <x:c r="H2256" s="10" t="n">
        <x:f>ABS(G2256-F2256)</x:f>
        <x:v>48</x:v>
      </x:c>
      <x:c r="I2256" s="10" t="n">
        <x:f>G2256-F2256</x:f>
        <x:v>48</x:v>
      </x:c>
    </x:row>
    <x:row r="2257" ht="20" customHeight="1">
      <x:c r="A2257" s="1" t="str">
        <x:v>84879</x:v>
      </x:c>
      <x:c r="B2257" s="10" t="n">
        <x:v>3</x:v>
      </x:c>
      <x:c r="C2257" s="9" t="d">
        <x:v>2011-11-16T00:00:00.000Z</x:v>
      </x:c>
      <x:c r="D2257" s="9" t="d">
        <x:v>2011-11-28T00:00:00.000Z</x:v>
      </x:c>
      <x:c r="E2257" s="1" t="str">
        <x:v>seasonal_naive</x:v>
      </x:c>
      <x:c r="F2257" s="10" t="n">
        <x:v>56</x:v>
      </x:c>
      <x:c r="G2257" s="10" t="n">
        <x:v>303</x:v>
      </x:c>
      <x:c r="H2257" s="10" t="n">
        <x:f>ABS(G2257-F2257)</x:f>
        <x:v>247</x:v>
      </x:c>
      <x:c r="I2257" s="10" t="n">
        <x:f>G2257-F2257</x:f>
        <x:v>247</x:v>
      </x:c>
    </x:row>
    <x:row r="2258" ht="20" customHeight="1">
      <x:c r="A2258" s="1" t="str">
        <x:v>84879</x:v>
      </x:c>
      <x:c r="B2258" s="10" t="n">
        <x:v>3</x:v>
      </x:c>
      <x:c r="C2258" s="9" t="d">
        <x:v>2011-11-16T00:00:00.000Z</x:v>
      </x:c>
      <x:c r="D2258" s="9" t="d">
        <x:v>2011-11-29T00:00:00.000Z</x:v>
      </x:c>
      <x:c r="E2258" s="1" t="str">
        <x:v>seasonal_naive</x:v>
      </x:c>
      <x:c r="F2258" s="10" t="n">
        <x:v>127</x:v>
      </x:c>
      <x:c r="G2258" s="10" t="n">
        <x:v>107</x:v>
      </x:c>
      <x:c r="H2258" s="10" t="n">
        <x:f>ABS(G2258-F2258)</x:f>
        <x:v>20</x:v>
      </x:c>
      <x:c r="I2258" s="10" t="n">
        <x:f>G2258-F2258</x:f>
        <x:v>-20</x:v>
      </x:c>
    </x:row>
    <x:row r="2259" ht="20" customHeight="1">
      <x:c r="A2259" s="1" t="str">
        <x:v>84879</x:v>
      </x:c>
      <x:c r="B2259" s="10" t="n">
        <x:v>3</x:v>
      </x:c>
      <x:c r="C2259" s="9" t="d">
        <x:v>2011-11-16T00:00:00.000Z</x:v>
      </x:c>
      <x:c r="D2259" s="9" t="d">
        <x:v>2011-11-30T00:00:00.000Z</x:v>
      </x:c>
      <x:c r="E2259" s="1" t="str">
        <x:v>seasonal_naive</x:v>
      </x:c>
      <x:c r="F2259" s="10" t="n">
        <x:v>112</x:v>
      </x:c>
      <x:c r="G2259" s="10" t="n">
        <x:v>289</x:v>
      </x:c>
      <x:c r="H2259" s="10" t="n">
        <x:f>ABS(G2259-F2259)</x:f>
        <x:v>177</x:v>
      </x:c>
      <x:c r="I2259" s="10" t="n">
        <x:f>G2259-F2259</x:f>
        <x:v>177</x:v>
      </x:c>
    </x:row>
    <x:row r="2260" ht="20" customHeight="1">
      <x:c r="A2260" s="1" t="str">
        <x:v>84879</x:v>
      </x:c>
      <x:c r="B2260" s="10" t="n">
        <x:v>3</x:v>
      </x:c>
      <x:c r="C2260" s="9" t="d">
        <x:v>2011-11-16T00:00:00.000Z</x:v>
      </x:c>
      <x:c r="D2260" s="9" t="d">
        <x:v>2011-11-17T00:00:00.000Z</x:v>
      </x:c>
      <x:c r="E2260" s="1" t="str">
        <x:v>ridge</x:v>
      </x:c>
      <x:c r="F2260" s="10" t="n">
        <x:v>94</x:v>
      </x:c>
      <x:c r="G2260" s="10" t="n">
        <x:v>149.7339375628</x:v>
      </x:c>
      <x:c r="H2260" s="10" t="n">
        <x:f>ABS(G2260-F2260)</x:f>
        <x:v>55.73393756280001</x:v>
      </x:c>
      <x:c r="I2260" s="10" t="n">
        <x:f>G2260-F2260</x:f>
        <x:v>55.73393756280001</x:v>
      </x:c>
    </x:row>
    <x:row r="2261" ht="20" customHeight="1">
      <x:c r="A2261" s="1" t="str">
        <x:v>84879</x:v>
      </x:c>
      <x:c r="B2261" s="10" t="n">
        <x:v>3</x:v>
      </x:c>
      <x:c r="C2261" s="9" t="d">
        <x:v>2011-11-16T00:00:00.000Z</x:v>
      </x:c>
      <x:c r="D2261" s="9" t="d">
        <x:v>2011-11-18T00:00:00.000Z</x:v>
      </x:c>
      <x:c r="E2261" s="1" t="str">
        <x:v>ridge</x:v>
      </x:c>
      <x:c r="F2261" s="10" t="n">
        <x:v>368</x:v>
      </x:c>
      <x:c r="G2261" s="10" t="n">
        <x:v>84.8954335473</x:v>
      </x:c>
      <x:c r="H2261" s="10" t="n">
        <x:f>ABS(G2261-F2261)</x:f>
        <x:v>283.1045664527</x:v>
      </x:c>
      <x:c r="I2261" s="10" t="n">
        <x:f>G2261-F2261</x:f>
        <x:v>-283.1045664527</x:v>
      </x:c>
    </x:row>
    <x:row r="2262" ht="20" customHeight="1">
      <x:c r="A2262" s="1" t="str">
        <x:v>84879</x:v>
      </x:c>
      <x:c r="B2262" s="10" t="n">
        <x:v>3</x:v>
      </x:c>
      <x:c r="C2262" s="9" t="d">
        <x:v>2011-11-16T00:00:00.000Z</x:v>
      </x:c>
      <x:c r="D2262" s="9" t="d">
        <x:v>2011-11-19T00:00:00.000Z</x:v>
      </x:c>
      <x:c r="E2262" s="1" t="str">
        <x:v>ridge</x:v>
      </x:c>
      <x:c r="F2262" s="10" t="n">
        <x:v>0</x:v>
      </x:c>
      <x:c r="G2262" s="10" t="n">
        <x:v>26.6108771044</x:v>
      </x:c>
      <x:c r="H2262" s="10" t="n">
        <x:f>ABS(G2262-F2262)</x:f>
        <x:v>26.6108771044</x:v>
      </x:c>
      <x:c r="I2262" s="10" t="n">
        <x:f>G2262-F2262</x:f>
        <x:v>26.6108771044</x:v>
      </x:c>
    </x:row>
    <x:row r="2263" ht="20" customHeight="1">
      <x:c r="A2263" s="1" t="str">
        <x:v>84879</x:v>
      </x:c>
      <x:c r="B2263" s="10" t="n">
        <x:v>3</x:v>
      </x:c>
      <x:c r="C2263" s="9" t="d">
        <x:v>2011-11-16T00:00:00.000Z</x:v>
      </x:c>
      <x:c r="D2263" s="9" t="d">
        <x:v>2011-11-20T00:00:00.000Z</x:v>
      </x:c>
      <x:c r="E2263" s="1" t="str">
        <x:v>ridge</x:v>
      </x:c>
      <x:c r="F2263" s="10" t="n">
        <x:v>149</x:v>
      </x:c>
      <x:c r="G2263" s="10" t="n">
        <x:v>32.9056937064</x:v>
      </x:c>
      <x:c r="H2263" s="10" t="n">
        <x:f>ABS(G2263-F2263)</x:f>
        <x:v>116.0943062936</x:v>
      </x:c>
      <x:c r="I2263" s="10" t="n">
        <x:f>G2263-F2263</x:f>
        <x:v>-116.0943062936</x:v>
      </x:c>
    </x:row>
    <x:row r="2264" ht="20" customHeight="1">
      <x:c r="A2264" s="1" t="str">
        <x:v>84879</x:v>
      </x:c>
      <x:c r="B2264" s="10" t="n">
        <x:v>3</x:v>
      </x:c>
      <x:c r="C2264" s="9" t="d">
        <x:v>2011-11-16T00:00:00.000Z</x:v>
      </x:c>
      <x:c r="D2264" s="9" t="d">
        <x:v>2011-11-21T00:00:00.000Z</x:v>
      </x:c>
      <x:c r="E2264" s="1" t="str">
        <x:v>ridge</x:v>
      </x:c>
      <x:c r="F2264" s="10" t="n">
        <x:v>179</x:v>
      </x:c>
      <x:c r="G2264" s="10" t="n">
        <x:v>113.0812254783</x:v>
      </x:c>
      <x:c r="H2264" s="10" t="n">
        <x:f>ABS(G2264-F2264)</x:f>
        <x:v>65.9187745217</x:v>
      </x:c>
      <x:c r="I2264" s="10" t="n">
        <x:f>G2264-F2264</x:f>
        <x:v>-65.9187745217</x:v>
      </x:c>
    </x:row>
    <x:row r="2265" ht="20" customHeight="1">
      <x:c r="A2265" s="1" t="str">
        <x:v>84879</x:v>
      </x:c>
      <x:c r="B2265" s="10" t="n">
        <x:v>3</x:v>
      </x:c>
      <x:c r="C2265" s="9" t="d">
        <x:v>2011-11-16T00:00:00.000Z</x:v>
      </x:c>
      <x:c r="D2265" s="9" t="d">
        <x:v>2011-11-22T00:00:00.000Z</x:v>
      </x:c>
      <x:c r="E2265" s="1" t="str">
        <x:v>ridge</x:v>
      </x:c>
      <x:c r="F2265" s="10" t="n">
        <x:v>132</x:v>
      </x:c>
      <x:c r="G2265" s="10" t="n">
        <x:v>116.5074967419</x:v>
      </x:c>
      <x:c r="H2265" s="10" t="n">
        <x:f>ABS(G2265-F2265)</x:f>
        <x:v>15.492503258100001</x:v>
      </x:c>
      <x:c r="I2265" s="10" t="n">
        <x:f>G2265-F2265</x:f>
        <x:v>-15.492503258100001</x:v>
      </x:c>
    </x:row>
    <x:row r="2266" ht="20" customHeight="1">
      <x:c r="A2266" s="1" t="str">
        <x:v>84879</x:v>
      </x:c>
      <x:c r="B2266" s="10" t="n">
        <x:v>3</x:v>
      </x:c>
      <x:c r="C2266" s="9" t="d">
        <x:v>2011-11-16T00:00:00.000Z</x:v>
      </x:c>
      <x:c r="D2266" s="9" t="d">
        <x:v>2011-11-23T00:00:00.000Z</x:v>
      </x:c>
      <x:c r="E2266" s="1" t="str">
        <x:v>ridge</x:v>
      </x:c>
      <x:c r="F2266" s="10" t="n">
        <x:v>80</x:v>
      </x:c>
      <x:c r="G2266" s="10" t="n">
        <x:v>184.8916445219</x:v>
      </x:c>
      <x:c r="H2266" s="10" t="n">
        <x:f>ABS(G2266-F2266)</x:f>
        <x:v>104.89164452189999</x:v>
      </x:c>
      <x:c r="I2266" s="10" t="n">
        <x:f>G2266-F2266</x:f>
        <x:v>104.89164452189999</x:v>
      </x:c>
    </x:row>
    <x:row r="2267" ht="20" customHeight="1">
      <x:c r="A2267" s="1" t="str">
        <x:v>84879</x:v>
      </x:c>
      <x:c r="B2267" s="10" t="n">
        <x:v>3</x:v>
      </x:c>
      <x:c r="C2267" s="9" t="d">
        <x:v>2011-11-16T00:00:00.000Z</x:v>
      </x:c>
      <x:c r="D2267" s="9" t="d">
        <x:v>2011-11-24T00:00:00.000Z</x:v>
      </x:c>
      <x:c r="E2267" s="1" t="str">
        <x:v>ridge</x:v>
      </x:c>
      <x:c r="F2267" s="10" t="n">
        <x:v>355</x:v>
      </x:c>
      <x:c r="G2267" s="10" t="n">
        <x:v>135.2568834824</x:v>
      </x:c>
      <x:c r="H2267" s="10" t="n">
        <x:f>ABS(G2267-F2267)</x:f>
        <x:v>219.7431165176</x:v>
      </x:c>
      <x:c r="I2267" s="10" t="n">
        <x:f>G2267-F2267</x:f>
        <x:v>-219.7431165176</x:v>
      </x:c>
    </x:row>
    <x:row r="2268" ht="20" customHeight="1">
      <x:c r="A2268" s="1" t="str">
        <x:v>84879</x:v>
      </x:c>
      <x:c r="B2268" s="10" t="n">
        <x:v>3</x:v>
      </x:c>
      <x:c r="C2268" s="9" t="d">
        <x:v>2011-11-16T00:00:00.000Z</x:v>
      </x:c>
      <x:c r="D2268" s="9" t="d">
        <x:v>2011-11-25T00:00:00.000Z</x:v>
      </x:c>
      <x:c r="E2268" s="1" t="str">
        <x:v>ridge</x:v>
      </x:c>
      <x:c r="F2268" s="10" t="n">
        <x:v>272</x:v>
      </x:c>
      <x:c r="G2268" s="10" t="n">
        <x:v>78.4639928998</x:v>
      </x:c>
      <x:c r="H2268" s="10" t="n">
        <x:f>ABS(G2268-F2268)</x:f>
        <x:v>193.53600710019998</x:v>
      </x:c>
      <x:c r="I2268" s="10" t="n">
        <x:f>G2268-F2268</x:f>
        <x:v>-193.53600710019998</x:v>
      </x:c>
    </x:row>
    <x:row r="2269" ht="20" customHeight="1">
      <x:c r="A2269" s="1" t="str">
        <x:v>84879</x:v>
      </x:c>
      <x:c r="B2269" s="10" t="n">
        <x:v>3</x:v>
      </x:c>
      <x:c r="C2269" s="9" t="d">
        <x:v>2011-11-16T00:00:00.000Z</x:v>
      </x:c>
      <x:c r="D2269" s="9" t="d">
        <x:v>2011-11-26T00:00:00.000Z</x:v>
      </x:c>
      <x:c r="E2269" s="1" t="str">
        <x:v>ridge</x:v>
      </x:c>
      <x:c r="F2269" s="10" t="n">
        <x:v>0</x:v>
      </x:c>
      <x:c r="G2269" s="10" t="n">
        <x:v>27.0085733314</x:v>
      </x:c>
      <x:c r="H2269" s="10" t="n">
        <x:f>ABS(G2269-F2269)</x:f>
        <x:v>27.0085733314</x:v>
      </x:c>
      <x:c r="I2269" s="10" t="n">
        <x:f>G2269-F2269</x:f>
        <x:v>27.0085733314</x:v>
      </x:c>
    </x:row>
    <x:row r="2270" ht="20" customHeight="1">
      <x:c r="A2270" s="1" t="str">
        <x:v>84879</x:v>
      </x:c>
      <x:c r="B2270" s="10" t="n">
        <x:v>3</x:v>
      </x:c>
      <x:c r="C2270" s="9" t="d">
        <x:v>2011-11-16T00:00:00.000Z</x:v>
      </x:c>
      <x:c r="D2270" s="9" t="d">
        <x:v>2011-11-27T00:00:00.000Z</x:v>
      </x:c>
      <x:c r="E2270" s="1" t="str">
        <x:v>ridge</x:v>
      </x:c>
      <x:c r="F2270" s="10" t="n">
        <x:v>8</x:v>
      </x:c>
      <x:c r="G2270" s="10" t="n">
        <x:v>22.5054867826</x:v>
      </x:c>
      <x:c r="H2270" s="10" t="n">
        <x:f>ABS(G2270-F2270)</x:f>
        <x:v>14.505486782599998</x:v>
      </x:c>
      <x:c r="I2270" s="10" t="n">
        <x:f>G2270-F2270</x:f>
        <x:v>14.505486782599998</x:v>
      </x:c>
    </x:row>
    <x:row r="2271" ht="20" customHeight="1">
      <x:c r="A2271" s="1" t="str">
        <x:v>84879</x:v>
      </x:c>
      <x:c r="B2271" s="10" t="n">
        <x:v>3</x:v>
      </x:c>
      <x:c r="C2271" s="9" t="d">
        <x:v>2011-11-16T00:00:00.000Z</x:v>
      </x:c>
      <x:c r="D2271" s="9" t="d">
        <x:v>2011-11-28T00:00:00.000Z</x:v>
      </x:c>
      <x:c r="E2271" s="1" t="str">
        <x:v>ridge</x:v>
      </x:c>
      <x:c r="F2271" s="10" t="n">
        <x:v>56</x:v>
      </x:c>
      <x:c r="G2271" s="10" t="n">
        <x:v>72.6139730325</x:v>
      </x:c>
      <x:c r="H2271" s="10" t="n">
        <x:f>ABS(G2271-F2271)</x:f>
        <x:v>16.6139730325</x:v>
      </x:c>
      <x:c r="I2271" s="10" t="n">
        <x:f>G2271-F2271</x:f>
        <x:v>16.6139730325</x:v>
      </x:c>
    </x:row>
    <x:row r="2272" ht="20" customHeight="1">
      <x:c r="A2272" s="1" t="str">
        <x:v>84879</x:v>
      </x:c>
      <x:c r="B2272" s="10" t="n">
        <x:v>3</x:v>
      </x:c>
      <x:c r="C2272" s="9" t="d">
        <x:v>2011-11-16T00:00:00.000Z</x:v>
      </x:c>
      <x:c r="D2272" s="9" t="d">
        <x:v>2011-11-29T00:00:00.000Z</x:v>
      </x:c>
      <x:c r="E2272" s="1" t="str">
        <x:v>ridge</x:v>
      </x:c>
      <x:c r="F2272" s="10" t="n">
        <x:v>127</x:v>
      </x:c>
      <x:c r="G2272" s="10" t="n">
        <x:v>117.2964829394</x:v>
      </x:c>
      <x:c r="H2272" s="10" t="n">
        <x:f>ABS(G2272-F2272)</x:f>
        <x:v>9.703517060600007</x:v>
      </x:c>
      <x:c r="I2272" s="10" t="n">
        <x:f>G2272-F2272</x:f>
        <x:v>-9.703517060600007</x:v>
      </x:c>
    </x:row>
    <x:row r="2273" ht="20" customHeight="1">
      <x:c r="A2273" s="1" t="str">
        <x:v>84879</x:v>
      </x:c>
      <x:c r="B2273" s="10" t="n">
        <x:v>3</x:v>
      </x:c>
      <x:c r="C2273" s="9" t="d">
        <x:v>2011-11-16T00:00:00.000Z</x:v>
      </x:c>
      <x:c r="D2273" s="9" t="d">
        <x:v>2011-11-30T00:00:00.000Z</x:v>
      </x:c>
      <x:c r="E2273" s="1" t="str">
        <x:v>ridge</x:v>
      </x:c>
      <x:c r="F2273" s="10" t="n">
        <x:v>112</x:v>
      </x:c>
      <x:c r="G2273" s="10" t="n">
        <x:v>157.958612789</x:v>
      </x:c>
      <x:c r="H2273" s="10" t="n">
        <x:f>ABS(G2273-F2273)</x:f>
        <x:v>45.958612789</x:v>
      </x:c>
      <x:c r="I2273" s="10" t="n">
        <x:f>G2273-F2273</x:f>
        <x:v>45.958612789</x:v>
      </x:c>
    </x:row>
    <x:row r="2274" ht="20" customHeight="1">
      <x:c r="A2274" s="1" t="str">
        <x:v>85099B</x:v>
      </x:c>
      <x:c r="B2274" s="10" t="n">
        <x:v>1</x:v>
      </x:c>
      <x:c r="C2274" s="9" t="d">
        <x:v>2011-10-19T00:00:00.000Z</x:v>
      </x:c>
      <x:c r="D2274" s="9" t="d">
        <x:v>2011-10-20T00:00:00.000Z</x:v>
      </x:c>
      <x:c r="E2274" s="1" t="str">
        <x:v>naive</x:v>
      </x:c>
      <x:c r="F2274" s="10" t="n">
        <x:v>341</x:v>
      </x:c>
      <x:c r="G2274" s="10" t="n">
        <x:v>54</x:v>
      </x:c>
      <x:c r="H2274" s="10" t="n">
        <x:f>ABS(G2274-F2274)</x:f>
        <x:v>287</x:v>
      </x:c>
      <x:c r="I2274" s="10" t="n">
        <x:f>G2274-F2274</x:f>
        <x:v>-287</x:v>
      </x:c>
    </x:row>
    <x:row r="2275" ht="20" customHeight="1">
      <x:c r="A2275" s="1" t="str">
        <x:v>85099B</x:v>
      </x:c>
      <x:c r="B2275" s="10" t="n">
        <x:v>1</x:v>
      </x:c>
      <x:c r="C2275" s="9" t="d">
        <x:v>2011-10-19T00:00:00.000Z</x:v>
      </x:c>
      <x:c r="D2275" s="9" t="d">
        <x:v>2011-10-21T00:00:00.000Z</x:v>
      </x:c>
      <x:c r="E2275" s="1" t="str">
        <x:v>naive</x:v>
      </x:c>
      <x:c r="F2275" s="10" t="n">
        <x:v>122</x:v>
      </x:c>
      <x:c r="G2275" s="10" t="n">
        <x:v>54</x:v>
      </x:c>
      <x:c r="H2275" s="10" t="n">
        <x:f>ABS(G2275-F2275)</x:f>
        <x:v>68</x:v>
      </x:c>
      <x:c r="I2275" s="10" t="n">
        <x:f>G2275-F2275</x:f>
        <x:v>-68</x:v>
      </x:c>
    </x:row>
    <x:row r="2276" ht="20" customHeight="1">
      <x:c r="A2276" s="1" t="str">
        <x:v>85099B</x:v>
      </x:c>
      <x:c r="B2276" s="10" t="n">
        <x:v>1</x:v>
      </x:c>
      <x:c r="C2276" s="9" t="d">
        <x:v>2011-10-19T00:00:00.000Z</x:v>
      </x:c>
      <x:c r="D2276" s="9" t="d">
        <x:v>2011-10-22T00:00:00.000Z</x:v>
      </x:c>
      <x:c r="E2276" s="1" t="str">
        <x:v>naive</x:v>
      </x:c>
      <x:c r="F2276" s="10" t="n">
        <x:v>0</x:v>
      </x:c>
      <x:c r="G2276" s="10" t="n">
        <x:v>54</x:v>
      </x:c>
      <x:c r="H2276" s="10" t="n">
        <x:f>ABS(G2276-F2276)</x:f>
        <x:v>54</x:v>
      </x:c>
      <x:c r="I2276" s="10" t="n">
        <x:f>G2276-F2276</x:f>
        <x:v>54</x:v>
      </x:c>
    </x:row>
    <x:row r="2277" ht="20" customHeight="1">
      <x:c r="A2277" s="1" t="str">
        <x:v>85099B</x:v>
      </x:c>
      <x:c r="B2277" s="10" t="n">
        <x:v>1</x:v>
      </x:c>
      <x:c r="C2277" s="9" t="d">
        <x:v>2011-10-19T00:00:00.000Z</x:v>
      </x:c>
      <x:c r="D2277" s="9" t="d">
        <x:v>2011-10-23T00:00:00.000Z</x:v>
      </x:c>
      <x:c r="E2277" s="1" t="str">
        <x:v>naive</x:v>
      </x:c>
      <x:c r="F2277" s="10" t="n">
        <x:v>7</x:v>
      </x:c>
      <x:c r="G2277" s="10" t="n">
        <x:v>54</x:v>
      </x:c>
      <x:c r="H2277" s="10" t="n">
        <x:f>ABS(G2277-F2277)</x:f>
        <x:v>47</x:v>
      </x:c>
      <x:c r="I2277" s="10" t="n">
        <x:f>G2277-F2277</x:f>
        <x:v>47</x:v>
      </x:c>
    </x:row>
    <x:row r="2278" ht="20" customHeight="1">
      <x:c r="A2278" s="1" t="str">
        <x:v>85099B</x:v>
      </x:c>
      <x:c r="B2278" s="10" t="n">
        <x:v>1</x:v>
      </x:c>
      <x:c r="C2278" s="9" t="d">
        <x:v>2011-10-19T00:00:00.000Z</x:v>
      </x:c>
      <x:c r="D2278" s="9" t="d">
        <x:v>2011-10-24T00:00:00.000Z</x:v>
      </x:c>
      <x:c r="E2278" s="1" t="str">
        <x:v>naive</x:v>
      </x:c>
      <x:c r="F2278" s="10" t="n">
        <x:v>287</x:v>
      </x:c>
      <x:c r="G2278" s="10" t="n">
        <x:v>54</x:v>
      </x:c>
      <x:c r="H2278" s="10" t="n">
        <x:f>ABS(G2278-F2278)</x:f>
        <x:v>233</x:v>
      </x:c>
      <x:c r="I2278" s="10" t="n">
        <x:f>G2278-F2278</x:f>
        <x:v>-233</x:v>
      </x:c>
    </x:row>
    <x:row r="2279" ht="20" customHeight="1">
      <x:c r="A2279" s="1" t="str">
        <x:v>85099B</x:v>
      </x:c>
      <x:c r="B2279" s="10" t="n">
        <x:v>1</x:v>
      </x:c>
      <x:c r="C2279" s="9" t="d">
        <x:v>2011-10-19T00:00:00.000Z</x:v>
      </x:c>
      <x:c r="D2279" s="9" t="d">
        <x:v>2011-10-25T00:00:00.000Z</x:v>
      </x:c>
      <x:c r="E2279" s="1" t="str">
        <x:v>naive</x:v>
      </x:c>
      <x:c r="F2279" s="10" t="n">
        <x:v>161</x:v>
      </x:c>
      <x:c r="G2279" s="10" t="n">
        <x:v>54</x:v>
      </x:c>
      <x:c r="H2279" s="10" t="n">
        <x:f>ABS(G2279-F2279)</x:f>
        <x:v>107</x:v>
      </x:c>
      <x:c r="I2279" s="10" t="n">
        <x:f>G2279-F2279</x:f>
        <x:v>-107</x:v>
      </x:c>
    </x:row>
    <x:row r="2280" ht="20" customHeight="1">
      <x:c r="A2280" s="1" t="str">
        <x:v>85099B</x:v>
      </x:c>
      <x:c r="B2280" s="10" t="n">
        <x:v>1</x:v>
      </x:c>
      <x:c r="C2280" s="9" t="d">
        <x:v>2011-10-19T00:00:00.000Z</x:v>
      </x:c>
      <x:c r="D2280" s="9" t="d">
        <x:v>2011-10-26T00:00:00.000Z</x:v>
      </x:c>
      <x:c r="E2280" s="1" t="str">
        <x:v>naive</x:v>
      </x:c>
      <x:c r="F2280" s="10" t="n">
        <x:v>48</x:v>
      </x:c>
      <x:c r="G2280" s="10" t="n">
        <x:v>54</x:v>
      </x:c>
      <x:c r="H2280" s="10" t="n">
        <x:f>ABS(G2280-F2280)</x:f>
        <x:v>6</x:v>
      </x:c>
      <x:c r="I2280" s="10" t="n">
        <x:f>G2280-F2280</x:f>
        <x:v>6</x:v>
      </x:c>
    </x:row>
    <x:row r="2281" ht="20" customHeight="1">
      <x:c r="A2281" s="1" t="str">
        <x:v>85099B</x:v>
      </x:c>
      <x:c r="B2281" s="10" t="n">
        <x:v>1</x:v>
      </x:c>
      <x:c r="C2281" s="9" t="d">
        <x:v>2011-10-19T00:00:00.000Z</x:v>
      </x:c>
      <x:c r="D2281" s="9" t="d">
        <x:v>2011-10-27T00:00:00.000Z</x:v>
      </x:c>
      <x:c r="E2281" s="1" t="str">
        <x:v>naive</x:v>
      </x:c>
      <x:c r="F2281" s="10" t="n">
        <x:v>41</x:v>
      </x:c>
      <x:c r="G2281" s="10" t="n">
        <x:v>54</x:v>
      </x:c>
      <x:c r="H2281" s="10" t="n">
        <x:f>ABS(G2281-F2281)</x:f>
        <x:v>13</x:v>
      </x:c>
      <x:c r="I2281" s="10" t="n">
        <x:f>G2281-F2281</x:f>
        <x:v>13</x:v>
      </x:c>
    </x:row>
    <x:row r="2282" ht="20" customHeight="1">
      <x:c r="A2282" s="1" t="str">
        <x:v>85099B</x:v>
      </x:c>
      <x:c r="B2282" s="10" t="n">
        <x:v>1</x:v>
      </x:c>
      <x:c r="C2282" s="9" t="d">
        <x:v>2011-10-19T00:00:00.000Z</x:v>
      </x:c>
      <x:c r="D2282" s="9" t="d">
        <x:v>2011-10-28T00:00:00.000Z</x:v>
      </x:c>
      <x:c r="E2282" s="1" t="str">
        <x:v>naive</x:v>
      </x:c>
      <x:c r="F2282" s="10" t="n">
        <x:v>12</x:v>
      </x:c>
      <x:c r="G2282" s="10" t="n">
        <x:v>54</x:v>
      </x:c>
      <x:c r="H2282" s="10" t="n">
        <x:f>ABS(G2282-F2282)</x:f>
        <x:v>42</x:v>
      </x:c>
      <x:c r="I2282" s="10" t="n">
        <x:f>G2282-F2282</x:f>
        <x:v>42</x:v>
      </x:c>
    </x:row>
    <x:row r="2283" ht="20" customHeight="1">
      <x:c r="A2283" s="1" t="str">
        <x:v>85099B</x:v>
      </x:c>
      <x:c r="B2283" s="10" t="n">
        <x:v>1</x:v>
      </x:c>
      <x:c r="C2283" s="9" t="d">
        <x:v>2011-10-19T00:00:00.000Z</x:v>
      </x:c>
      <x:c r="D2283" s="9" t="d">
        <x:v>2011-10-29T00:00:00.000Z</x:v>
      </x:c>
      <x:c r="E2283" s="1" t="str">
        <x:v>naive</x:v>
      </x:c>
      <x:c r="F2283" s="10" t="n">
        <x:v>0</x:v>
      </x:c>
      <x:c r="G2283" s="10" t="n">
        <x:v>54</x:v>
      </x:c>
      <x:c r="H2283" s="10" t="n">
        <x:f>ABS(G2283-F2283)</x:f>
        <x:v>54</x:v>
      </x:c>
      <x:c r="I2283" s="10" t="n">
        <x:f>G2283-F2283</x:f>
        <x:v>54</x:v>
      </x:c>
    </x:row>
    <x:row r="2284" ht="20" customHeight="1">
      <x:c r="A2284" s="1" t="str">
        <x:v>85099B</x:v>
      </x:c>
      <x:c r="B2284" s="10" t="n">
        <x:v>1</x:v>
      </x:c>
      <x:c r="C2284" s="9" t="d">
        <x:v>2011-10-19T00:00:00.000Z</x:v>
      </x:c>
      <x:c r="D2284" s="9" t="d">
        <x:v>2011-10-30T00:00:00.000Z</x:v>
      </x:c>
      <x:c r="E2284" s="1" t="str">
        <x:v>naive</x:v>
      </x:c>
      <x:c r="F2284" s="10" t="n">
        <x:v>51</x:v>
      </x:c>
      <x:c r="G2284" s="10" t="n">
        <x:v>54</x:v>
      </x:c>
      <x:c r="H2284" s="10" t="n">
        <x:f>ABS(G2284-F2284)</x:f>
        <x:v>3</x:v>
      </x:c>
      <x:c r="I2284" s="10" t="n">
        <x:f>G2284-F2284</x:f>
        <x:v>3</x:v>
      </x:c>
    </x:row>
    <x:row r="2285" ht="20" customHeight="1">
      <x:c r="A2285" s="1" t="str">
        <x:v>85099B</x:v>
      </x:c>
      <x:c r="B2285" s="10" t="n">
        <x:v>1</x:v>
      </x:c>
      <x:c r="C2285" s="9" t="d">
        <x:v>2011-10-19T00:00:00.000Z</x:v>
      </x:c>
      <x:c r="D2285" s="9" t="d">
        <x:v>2011-10-31T00:00:00.000Z</x:v>
      </x:c>
      <x:c r="E2285" s="1" t="str">
        <x:v>naive</x:v>
      </x:c>
      <x:c r="F2285" s="10" t="n">
        <x:v>105</x:v>
      </x:c>
      <x:c r="G2285" s="10" t="n">
        <x:v>54</x:v>
      </x:c>
      <x:c r="H2285" s="10" t="n">
        <x:f>ABS(G2285-F2285)</x:f>
        <x:v>51</x:v>
      </x:c>
      <x:c r="I2285" s="10" t="n">
        <x:f>G2285-F2285</x:f>
        <x:v>-51</x:v>
      </x:c>
    </x:row>
    <x:row r="2286" ht="20" customHeight="1">
      <x:c r="A2286" s="1" t="str">
        <x:v>85099B</x:v>
      </x:c>
      <x:c r="B2286" s="10" t="n">
        <x:v>1</x:v>
      </x:c>
      <x:c r="C2286" s="9" t="d">
        <x:v>2011-10-19T00:00:00.000Z</x:v>
      </x:c>
      <x:c r="D2286" s="9" t="d">
        <x:v>2011-11-01T00:00:00.000Z</x:v>
      </x:c>
      <x:c r="E2286" s="1" t="str">
        <x:v>naive</x:v>
      </x:c>
      <x:c r="F2286" s="10" t="n">
        <x:v>84</x:v>
      </x:c>
      <x:c r="G2286" s="10" t="n">
        <x:v>54</x:v>
      </x:c>
      <x:c r="H2286" s="10" t="n">
        <x:f>ABS(G2286-F2286)</x:f>
        <x:v>30</x:v>
      </x:c>
      <x:c r="I2286" s="10" t="n">
        <x:f>G2286-F2286</x:f>
        <x:v>-30</x:v>
      </x:c>
    </x:row>
    <x:row r="2287" ht="20" customHeight="1">
      <x:c r="A2287" s="1" t="str">
        <x:v>85099B</x:v>
      </x:c>
      <x:c r="B2287" s="10" t="n">
        <x:v>1</x:v>
      </x:c>
      <x:c r="C2287" s="9" t="d">
        <x:v>2011-10-19T00:00:00.000Z</x:v>
      </x:c>
      <x:c r="D2287" s="9" t="d">
        <x:v>2011-11-02T00:00:00.000Z</x:v>
      </x:c>
      <x:c r="E2287" s="1" t="str">
        <x:v>naive</x:v>
      </x:c>
      <x:c r="F2287" s="10" t="n">
        <x:v>244</x:v>
      </x:c>
      <x:c r="G2287" s="10" t="n">
        <x:v>54</x:v>
      </x:c>
      <x:c r="H2287" s="10" t="n">
        <x:f>ABS(G2287-F2287)</x:f>
        <x:v>190</x:v>
      </x:c>
      <x:c r="I2287" s="10" t="n">
        <x:f>G2287-F2287</x:f>
        <x:v>-190</x:v>
      </x:c>
    </x:row>
    <x:row r="2288" ht="20" customHeight="1">
      <x:c r="A2288" s="1" t="str">
        <x:v>85099B</x:v>
      </x:c>
      <x:c r="B2288" s="10" t="n">
        <x:v>1</x:v>
      </x:c>
      <x:c r="C2288" s="9" t="d">
        <x:v>2011-10-19T00:00:00.000Z</x:v>
      </x:c>
      <x:c r="D2288" s="9" t="d">
        <x:v>2011-10-20T00:00:00.000Z</x:v>
      </x:c>
      <x:c r="E2288" s="1" t="str">
        <x:v>seasonal_naive</x:v>
      </x:c>
      <x:c r="F2288" s="10" t="n">
        <x:v>341</x:v>
      </x:c>
      <x:c r="G2288" s="10" t="n">
        <x:v>274</x:v>
      </x:c>
      <x:c r="H2288" s="10" t="n">
        <x:f>ABS(G2288-F2288)</x:f>
        <x:v>67</x:v>
      </x:c>
      <x:c r="I2288" s="10" t="n">
        <x:f>G2288-F2288</x:f>
        <x:v>-67</x:v>
      </x:c>
    </x:row>
    <x:row r="2289" ht="20" customHeight="1">
      <x:c r="A2289" s="1" t="str">
        <x:v>85099B</x:v>
      </x:c>
      <x:c r="B2289" s="10" t="n">
        <x:v>1</x:v>
      </x:c>
      <x:c r="C2289" s="9" t="d">
        <x:v>2011-10-19T00:00:00.000Z</x:v>
      </x:c>
      <x:c r="D2289" s="9" t="d">
        <x:v>2011-10-21T00:00:00.000Z</x:v>
      </x:c>
      <x:c r="E2289" s="1" t="str">
        <x:v>seasonal_naive</x:v>
      </x:c>
      <x:c r="F2289" s="10" t="n">
        <x:v>122</x:v>
      </x:c>
      <x:c r="G2289" s="10" t="n">
        <x:v>147</x:v>
      </x:c>
      <x:c r="H2289" s="10" t="n">
        <x:f>ABS(G2289-F2289)</x:f>
        <x:v>25</x:v>
      </x:c>
      <x:c r="I2289" s="10" t="n">
        <x:f>G2289-F2289</x:f>
        <x:v>25</x:v>
      </x:c>
    </x:row>
    <x:row r="2290" ht="20" customHeight="1">
      <x:c r="A2290" s="1" t="str">
        <x:v>85099B</x:v>
      </x:c>
      <x:c r="B2290" s="10" t="n">
        <x:v>1</x:v>
      </x:c>
      <x:c r="C2290" s="9" t="d">
        <x:v>2011-10-19T00:00:00.000Z</x:v>
      </x:c>
      <x:c r="D2290" s="9" t="d">
        <x:v>2011-10-22T00:00:00.000Z</x:v>
      </x:c>
      <x:c r="E2290" s="1" t="str">
        <x:v>seasonal_naive</x:v>
      </x:c>
      <x:c r="F2290" s="10" t="n">
        <x:v>0</x:v>
      </x:c>
      <x:c r="G2290" s="10" t="n">
        <x:v>0</x:v>
      </x:c>
      <x:c r="H2290" s="10" t="n">
        <x:f>ABS(G2290-F2290)</x:f>
        <x:v>0</x:v>
      </x:c>
      <x:c r="I2290" s="10" t="n">
        <x:f>G2290-F2290</x:f>
        <x:v>0</x:v>
      </x:c>
    </x:row>
    <x:row r="2291" ht="20" customHeight="1">
      <x:c r="A2291" s="1" t="str">
        <x:v>85099B</x:v>
      </x:c>
      <x:c r="B2291" s="10" t="n">
        <x:v>1</x:v>
      </x:c>
      <x:c r="C2291" s="9" t="d">
        <x:v>2011-10-19T00:00:00.000Z</x:v>
      </x:c>
      <x:c r="D2291" s="9" t="d">
        <x:v>2011-10-23T00:00:00.000Z</x:v>
      </x:c>
      <x:c r="E2291" s="1" t="str">
        <x:v>seasonal_naive</x:v>
      </x:c>
      <x:c r="F2291" s="10" t="n">
        <x:v>7</x:v>
      </x:c>
      <x:c r="G2291" s="10" t="n">
        <x:v>18</x:v>
      </x:c>
      <x:c r="H2291" s="10" t="n">
        <x:f>ABS(G2291-F2291)</x:f>
        <x:v>11</x:v>
      </x:c>
      <x:c r="I2291" s="10" t="n">
        <x:f>G2291-F2291</x:f>
        <x:v>11</x:v>
      </x:c>
    </x:row>
    <x:row r="2292" ht="20" customHeight="1">
      <x:c r="A2292" s="1" t="str">
        <x:v>85099B</x:v>
      </x:c>
      <x:c r="B2292" s="10" t="n">
        <x:v>1</x:v>
      </x:c>
      <x:c r="C2292" s="9" t="d">
        <x:v>2011-10-19T00:00:00.000Z</x:v>
      </x:c>
      <x:c r="D2292" s="9" t="d">
        <x:v>2011-10-24T00:00:00.000Z</x:v>
      </x:c>
      <x:c r="E2292" s="1" t="str">
        <x:v>seasonal_naive</x:v>
      </x:c>
      <x:c r="F2292" s="10" t="n">
        <x:v>287</x:v>
      </x:c>
      <x:c r="G2292" s="10" t="n">
        <x:v>409</x:v>
      </x:c>
      <x:c r="H2292" s="10" t="n">
        <x:f>ABS(G2292-F2292)</x:f>
        <x:v>122</x:v>
      </x:c>
      <x:c r="I2292" s="10" t="n">
        <x:f>G2292-F2292</x:f>
        <x:v>122</x:v>
      </x:c>
    </x:row>
    <x:row r="2293" ht="20" customHeight="1">
      <x:c r="A2293" s="1" t="str">
        <x:v>85099B</x:v>
      </x:c>
      <x:c r="B2293" s="10" t="n">
        <x:v>1</x:v>
      </x:c>
      <x:c r="C2293" s="9" t="d">
        <x:v>2011-10-19T00:00:00.000Z</x:v>
      </x:c>
      <x:c r="D2293" s="9" t="d">
        <x:v>2011-10-25T00:00:00.000Z</x:v>
      </x:c>
      <x:c r="E2293" s="1" t="str">
        <x:v>seasonal_naive</x:v>
      </x:c>
      <x:c r="F2293" s="10" t="n">
        <x:v>161</x:v>
      </x:c>
      <x:c r="G2293" s="10" t="n">
        <x:v>112</x:v>
      </x:c>
      <x:c r="H2293" s="10" t="n">
        <x:f>ABS(G2293-F2293)</x:f>
        <x:v>49</x:v>
      </x:c>
      <x:c r="I2293" s="10" t="n">
        <x:f>G2293-F2293</x:f>
        <x:v>-49</x:v>
      </x:c>
    </x:row>
    <x:row r="2294" ht="20" customHeight="1">
      <x:c r="A2294" s="1" t="str">
        <x:v>85099B</x:v>
      </x:c>
      <x:c r="B2294" s="10" t="n">
        <x:v>1</x:v>
      </x:c>
      <x:c r="C2294" s="9" t="d">
        <x:v>2011-10-19T00:00:00.000Z</x:v>
      </x:c>
      <x:c r="D2294" s="9" t="d">
        <x:v>2011-10-26T00:00:00.000Z</x:v>
      </x:c>
      <x:c r="E2294" s="1" t="str">
        <x:v>seasonal_naive</x:v>
      </x:c>
      <x:c r="F2294" s="10" t="n">
        <x:v>48</x:v>
      </x:c>
      <x:c r="G2294" s="10" t="n">
        <x:v>54</x:v>
      </x:c>
      <x:c r="H2294" s="10" t="n">
        <x:f>ABS(G2294-F2294)</x:f>
        <x:v>6</x:v>
      </x:c>
      <x:c r="I2294" s="10" t="n">
        <x:f>G2294-F2294</x:f>
        <x:v>6</x:v>
      </x:c>
    </x:row>
    <x:row r="2295" ht="20" customHeight="1">
      <x:c r="A2295" s="1" t="str">
        <x:v>85099B</x:v>
      </x:c>
      <x:c r="B2295" s="10" t="n">
        <x:v>1</x:v>
      </x:c>
      <x:c r="C2295" s="9" t="d">
        <x:v>2011-10-19T00:00:00.000Z</x:v>
      </x:c>
      <x:c r="D2295" s="9" t="d">
        <x:v>2011-10-27T00:00:00.000Z</x:v>
      </x:c>
      <x:c r="E2295" s="1" t="str">
        <x:v>seasonal_naive</x:v>
      </x:c>
      <x:c r="F2295" s="10" t="n">
        <x:v>41</x:v>
      </x:c>
      <x:c r="G2295" s="10" t="n">
        <x:v>274</x:v>
      </x:c>
      <x:c r="H2295" s="10" t="n">
        <x:f>ABS(G2295-F2295)</x:f>
        <x:v>233</x:v>
      </x:c>
      <x:c r="I2295" s="10" t="n">
        <x:f>G2295-F2295</x:f>
        <x:v>233</x:v>
      </x:c>
    </x:row>
    <x:row r="2296" ht="20" customHeight="1">
      <x:c r="A2296" s="1" t="str">
        <x:v>85099B</x:v>
      </x:c>
      <x:c r="B2296" s="10" t="n">
        <x:v>1</x:v>
      </x:c>
      <x:c r="C2296" s="9" t="d">
        <x:v>2011-10-19T00:00:00.000Z</x:v>
      </x:c>
      <x:c r="D2296" s="9" t="d">
        <x:v>2011-10-28T00:00:00.000Z</x:v>
      </x:c>
      <x:c r="E2296" s="1" t="str">
        <x:v>seasonal_naive</x:v>
      </x:c>
      <x:c r="F2296" s="10" t="n">
        <x:v>12</x:v>
      </x:c>
      <x:c r="G2296" s="10" t="n">
        <x:v>147</x:v>
      </x:c>
      <x:c r="H2296" s="10" t="n">
        <x:f>ABS(G2296-F2296)</x:f>
        <x:v>135</x:v>
      </x:c>
      <x:c r="I2296" s="10" t="n">
        <x:f>G2296-F2296</x:f>
        <x:v>135</x:v>
      </x:c>
    </x:row>
    <x:row r="2297" ht="20" customHeight="1">
      <x:c r="A2297" s="1" t="str">
        <x:v>85099B</x:v>
      </x:c>
      <x:c r="B2297" s="10" t="n">
        <x:v>1</x:v>
      </x:c>
      <x:c r="C2297" s="9" t="d">
        <x:v>2011-10-19T00:00:00.000Z</x:v>
      </x:c>
      <x:c r="D2297" s="9" t="d">
        <x:v>2011-10-29T00:00:00.000Z</x:v>
      </x:c>
      <x:c r="E2297" s="1" t="str">
        <x:v>seasonal_naive</x:v>
      </x:c>
      <x:c r="F2297" s="10" t="n">
        <x:v>0</x:v>
      </x:c>
      <x:c r="G2297" s="10" t="n">
        <x:v>0</x:v>
      </x:c>
      <x:c r="H2297" s="10" t="n">
        <x:f>ABS(G2297-F2297)</x:f>
        <x:v>0</x:v>
      </x:c>
      <x:c r="I2297" s="10" t="n">
        <x:f>G2297-F2297</x:f>
        <x:v>0</x:v>
      </x:c>
    </x:row>
    <x:row r="2298" ht="20" customHeight="1">
      <x:c r="A2298" s="1" t="str">
        <x:v>85099B</x:v>
      </x:c>
      <x:c r="B2298" s="10" t="n">
        <x:v>1</x:v>
      </x:c>
      <x:c r="C2298" s="9" t="d">
        <x:v>2011-10-19T00:00:00.000Z</x:v>
      </x:c>
      <x:c r="D2298" s="9" t="d">
        <x:v>2011-10-30T00:00:00.000Z</x:v>
      </x:c>
      <x:c r="E2298" s="1" t="str">
        <x:v>seasonal_naive</x:v>
      </x:c>
      <x:c r="F2298" s="10" t="n">
        <x:v>51</x:v>
      </x:c>
      <x:c r="G2298" s="10" t="n">
        <x:v>18</x:v>
      </x:c>
      <x:c r="H2298" s="10" t="n">
        <x:f>ABS(G2298-F2298)</x:f>
        <x:v>33</x:v>
      </x:c>
      <x:c r="I2298" s="10" t="n">
        <x:f>G2298-F2298</x:f>
        <x:v>-33</x:v>
      </x:c>
    </x:row>
    <x:row r="2299" ht="20" customHeight="1">
      <x:c r="A2299" s="1" t="str">
        <x:v>85099B</x:v>
      </x:c>
      <x:c r="B2299" s="10" t="n">
        <x:v>1</x:v>
      </x:c>
      <x:c r="C2299" s="9" t="d">
        <x:v>2011-10-19T00:00:00.000Z</x:v>
      </x:c>
      <x:c r="D2299" s="9" t="d">
        <x:v>2011-10-31T00:00:00.000Z</x:v>
      </x:c>
      <x:c r="E2299" s="1" t="str">
        <x:v>seasonal_naive</x:v>
      </x:c>
      <x:c r="F2299" s="10" t="n">
        <x:v>105</x:v>
      </x:c>
      <x:c r="G2299" s="10" t="n">
        <x:v>409</x:v>
      </x:c>
      <x:c r="H2299" s="10" t="n">
        <x:f>ABS(G2299-F2299)</x:f>
        <x:v>304</x:v>
      </x:c>
      <x:c r="I2299" s="10" t="n">
        <x:f>G2299-F2299</x:f>
        <x:v>304</x:v>
      </x:c>
    </x:row>
    <x:row r="2300" ht="20" customHeight="1">
      <x:c r="A2300" s="1" t="str">
        <x:v>85099B</x:v>
      </x:c>
      <x:c r="B2300" s="10" t="n">
        <x:v>1</x:v>
      </x:c>
      <x:c r="C2300" s="9" t="d">
        <x:v>2011-10-19T00:00:00.000Z</x:v>
      </x:c>
      <x:c r="D2300" s="9" t="d">
        <x:v>2011-11-01T00:00:00.000Z</x:v>
      </x:c>
      <x:c r="E2300" s="1" t="str">
        <x:v>seasonal_naive</x:v>
      </x:c>
      <x:c r="F2300" s="10" t="n">
        <x:v>84</x:v>
      </x:c>
      <x:c r="G2300" s="10" t="n">
        <x:v>112</x:v>
      </x:c>
      <x:c r="H2300" s="10" t="n">
        <x:f>ABS(G2300-F2300)</x:f>
        <x:v>28</x:v>
      </x:c>
      <x:c r="I2300" s="10" t="n">
        <x:f>G2300-F2300</x:f>
        <x:v>28</x:v>
      </x:c>
    </x:row>
    <x:row r="2301" ht="20" customHeight="1">
      <x:c r="A2301" s="1" t="str">
        <x:v>85099B</x:v>
      </x:c>
      <x:c r="B2301" s="10" t="n">
        <x:v>1</x:v>
      </x:c>
      <x:c r="C2301" s="9" t="d">
        <x:v>2011-10-19T00:00:00.000Z</x:v>
      </x:c>
      <x:c r="D2301" s="9" t="d">
        <x:v>2011-11-02T00:00:00.000Z</x:v>
      </x:c>
      <x:c r="E2301" s="1" t="str">
        <x:v>seasonal_naive</x:v>
      </x:c>
      <x:c r="F2301" s="10" t="n">
        <x:v>244</x:v>
      </x:c>
      <x:c r="G2301" s="10" t="n">
        <x:v>54</x:v>
      </x:c>
      <x:c r="H2301" s="10" t="n">
        <x:f>ABS(G2301-F2301)</x:f>
        <x:v>190</x:v>
      </x:c>
      <x:c r="I2301" s="10" t="n">
        <x:f>G2301-F2301</x:f>
        <x:v>-190</x:v>
      </x:c>
    </x:row>
    <x:row r="2302" ht="20" customHeight="1">
      <x:c r="A2302" s="1" t="str">
        <x:v>85099B</x:v>
      </x:c>
      <x:c r="B2302" s="10" t="n">
        <x:v>1</x:v>
      </x:c>
      <x:c r="C2302" s="9" t="d">
        <x:v>2011-10-19T00:00:00.000Z</x:v>
      </x:c>
      <x:c r="D2302" s="9" t="d">
        <x:v>2011-10-20T00:00:00.000Z</x:v>
      </x:c>
      <x:c r="E2302" s="1" t="str">
        <x:v>ridge</x:v>
      </x:c>
      <x:c r="F2302" s="10" t="n">
        <x:v>341</x:v>
      </x:c>
      <x:c r="G2302" s="10" t="n">
        <x:v>219.0531604966</x:v>
      </x:c>
      <x:c r="H2302" s="10" t="n">
        <x:f>ABS(G2302-F2302)</x:f>
        <x:v>121.94683950340001</x:v>
      </x:c>
      <x:c r="I2302" s="10" t="n">
        <x:f>G2302-F2302</x:f>
        <x:v>-121.94683950340001</x:v>
      </x:c>
    </x:row>
    <x:row r="2303" ht="20" customHeight="1">
      <x:c r="A2303" s="1" t="str">
        <x:v>85099B</x:v>
      </x:c>
      <x:c r="B2303" s="10" t="n">
        <x:v>1</x:v>
      </x:c>
      <x:c r="C2303" s="9" t="d">
        <x:v>2011-10-19T00:00:00.000Z</x:v>
      </x:c>
      <x:c r="D2303" s="9" t="d">
        <x:v>2011-10-21T00:00:00.000Z</x:v>
      </x:c>
      <x:c r="E2303" s="1" t="str">
        <x:v>ridge</x:v>
      </x:c>
      <x:c r="F2303" s="10" t="n">
        <x:v>122</x:v>
      </x:c>
      <x:c r="G2303" s="10" t="n">
        <x:v>142.0602025113</x:v>
      </x:c>
      <x:c r="H2303" s="10" t="n">
        <x:f>ABS(G2303-F2303)</x:f>
        <x:v>20.06020251129999</x:v>
      </x:c>
      <x:c r="I2303" s="10" t="n">
        <x:f>G2303-F2303</x:f>
        <x:v>20.06020251129999</x:v>
      </x:c>
    </x:row>
    <x:row r="2304" ht="20" customHeight="1">
      <x:c r="A2304" s="1" t="str">
        <x:v>85099B</x:v>
      </x:c>
      <x:c r="B2304" s="10" t="n">
        <x:v>1</x:v>
      </x:c>
      <x:c r="C2304" s="9" t="d">
        <x:v>2011-10-19T00:00:00.000Z</x:v>
      </x:c>
      <x:c r="D2304" s="9" t="d">
        <x:v>2011-10-22T00:00:00.000Z</x:v>
      </x:c>
      <x:c r="E2304" s="1" t="str">
        <x:v>ridge</x:v>
      </x:c>
      <x:c r="F2304" s="10" t="n">
        <x:v>0</x:v>
      </x:c>
      <x:c r="G2304" s="10" t="n">
        <x:v>57.9224960374</x:v>
      </x:c>
      <x:c r="H2304" s="10" t="n">
        <x:f>ABS(G2304-F2304)</x:f>
        <x:v>57.9224960374</x:v>
      </x:c>
      <x:c r="I2304" s="10" t="n">
        <x:f>G2304-F2304</x:f>
        <x:v>57.9224960374</x:v>
      </x:c>
    </x:row>
    <x:row r="2305" ht="20" customHeight="1">
      <x:c r="A2305" s="1" t="str">
        <x:v>85099B</x:v>
      </x:c>
      <x:c r="B2305" s="10" t="n">
        <x:v>1</x:v>
      </x:c>
      <x:c r="C2305" s="9" t="d">
        <x:v>2011-10-19T00:00:00.000Z</x:v>
      </x:c>
      <x:c r="D2305" s="9" t="d">
        <x:v>2011-10-23T00:00:00.000Z</x:v>
      </x:c>
      <x:c r="E2305" s="1" t="str">
        <x:v>ridge</x:v>
      </x:c>
      <x:c r="F2305" s="10" t="n">
        <x:v>7</x:v>
      </x:c>
      <x:c r="G2305" s="10" t="n">
        <x:v>56.3485101392</x:v>
      </x:c>
      <x:c r="H2305" s="10" t="n">
        <x:f>ABS(G2305-F2305)</x:f>
        <x:v>49.3485101392</x:v>
      </x:c>
      <x:c r="I2305" s="10" t="n">
        <x:f>G2305-F2305</x:f>
        <x:v>49.3485101392</x:v>
      </x:c>
    </x:row>
    <x:row r="2306" ht="20" customHeight="1">
      <x:c r="A2306" s="1" t="str">
        <x:v>85099B</x:v>
      </x:c>
      <x:c r="B2306" s="10" t="n">
        <x:v>1</x:v>
      </x:c>
      <x:c r="C2306" s="9" t="d">
        <x:v>2011-10-19T00:00:00.000Z</x:v>
      </x:c>
      <x:c r="D2306" s="9" t="d">
        <x:v>2011-10-24T00:00:00.000Z</x:v>
      </x:c>
      <x:c r="E2306" s="1" t="str">
        <x:v>ridge</x:v>
      </x:c>
      <x:c r="F2306" s="10" t="n">
        <x:v>287</x:v>
      </x:c>
      <x:c r="G2306" s="10" t="n">
        <x:v>134.8424609783</x:v>
      </x:c>
      <x:c r="H2306" s="10" t="n">
        <x:f>ABS(G2306-F2306)</x:f>
        <x:v>152.1575390217</x:v>
      </x:c>
      <x:c r="I2306" s="10" t="n">
        <x:f>G2306-F2306</x:f>
        <x:v>-152.1575390217</x:v>
      </x:c>
    </x:row>
    <x:row r="2307" ht="20" customHeight="1">
      <x:c r="A2307" s="1" t="str">
        <x:v>85099B</x:v>
      </x:c>
      <x:c r="B2307" s="10" t="n">
        <x:v>1</x:v>
      </x:c>
      <x:c r="C2307" s="9" t="d">
        <x:v>2011-10-19T00:00:00.000Z</x:v>
      </x:c>
      <x:c r="D2307" s="9" t="d">
        <x:v>2011-10-25T00:00:00.000Z</x:v>
      </x:c>
      <x:c r="E2307" s="1" t="str">
        <x:v>ridge</x:v>
      </x:c>
      <x:c r="F2307" s="10" t="n">
        <x:v>161</x:v>
      </x:c>
      <x:c r="G2307" s="10" t="n">
        <x:v>194.8935573316</x:v>
      </x:c>
      <x:c r="H2307" s="10" t="n">
        <x:f>ABS(G2307-F2307)</x:f>
        <x:v>33.89355733159999</x:v>
      </x:c>
      <x:c r="I2307" s="10" t="n">
        <x:f>G2307-F2307</x:f>
        <x:v>33.89355733159999</x:v>
      </x:c>
    </x:row>
    <x:row r="2308" ht="20" customHeight="1">
      <x:c r="A2308" s="1" t="str">
        <x:v>85099B</x:v>
      </x:c>
      <x:c r="B2308" s="10" t="n">
        <x:v>1</x:v>
      </x:c>
      <x:c r="C2308" s="9" t="d">
        <x:v>2011-10-19T00:00:00.000Z</x:v>
      </x:c>
      <x:c r="D2308" s="9" t="d">
        <x:v>2011-10-26T00:00:00.000Z</x:v>
      </x:c>
      <x:c r="E2308" s="1" t="str">
        <x:v>ridge</x:v>
      </x:c>
      <x:c r="F2308" s="10" t="n">
        <x:v>48</x:v>
      </x:c>
      <x:c r="G2308" s="10" t="n">
        <x:v>204.5528261964</x:v>
      </x:c>
      <x:c r="H2308" s="10" t="n">
        <x:f>ABS(G2308-F2308)</x:f>
        <x:v>156.5528261964</x:v>
      </x:c>
      <x:c r="I2308" s="10" t="n">
        <x:f>G2308-F2308</x:f>
        <x:v>156.5528261964</x:v>
      </x:c>
    </x:row>
    <x:row r="2309" ht="20" customHeight="1">
      <x:c r="A2309" s="1" t="str">
        <x:v>85099B</x:v>
      </x:c>
      <x:c r="B2309" s="10" t="n">
        <x:v>1</x:v>
      </x:c>
      <x:c r="C2309" s="9" t="d">
        <x:v>2011-10-19T00:00:00.000Z</x:v>
      </x:c>
      <x:c r="D2309" s="9" t="d">
        <x:v>2011-10-27T00:00:00.000Z</x:v>
      </x:c>
      <x:c r="E2309" s="1" t="str">
        <x:v>ridge</x:v>
      </x:c>
      <x:c r="F2309" s="10" t="n">
        <x:v>41</x:v>
      </x:c>
      <x:c r="G2309" s="10" t="n">
        <x:v>189.3483683215</x:v>
      </x:c>
      <x:c r="H2309" s="10" t="n">
        <x:f>ABS(G2309-F2309)</x:f>
        <x:v>148.3483683215</x:v>
      </x:c>
      <x:c r="I2309" s="10" t="n">
        <x:f>G2309-F2309</x:f>
        <x:v>148.3483683215</x:v>
      </x:c>
    </x:row>
    <x:row r="2310" ht="20" customHeight="1">
      <x:c r="A2310" s="1" t="str">
        <x:v>85099B</x:v>
      </x:c>
      <x:c r="B2310" s="10" t="n">
        <x:v>1</x:v>
      </x:c>
      <x:c r="C2310" s="9" t="d">
        <x:v>2011-10-19T00:00:00.000Z</x:v>
      </x:c>
      <x:c r="D2310" s="9" t="d">
        <x:v>2011-10-28T00:00:00.000Z</x:v>
      </x:c>
      <x:c r="E2310" s="1" t="str">
        <x:v>ridge</x:v>
      </x:c>
      <x:c r="F2310" s="10" t="n">
        <x:v>12</x:v>
      </x:c>
      <x:c r="G2310" s="10" t="n">
        <x:v>118.689902824</x:v>
      </x:c>
      <x:c r="H2310" s="10" t="n">
        <x:f>ABS(G2310-F2310)</x:f>
        <x:v>106.689902824</x:v>
      </x:c>
      <x:c r="I2310" s="10" t="n">
        <x:f>G2310-F2310</x:f>
        <x:v>106.689902824</x:v>
      </x:c>
    </x:row>
    <x:row r="2311" ht="20" customHeight="1">
      <x:c r="A2311" s="1" t="str">
        <x:v>85099B</x:v>
      </x:c>
      <x:c r="B2311" s="10" t="n">
        <x:v>1</x:v>
      </x:c>
      <x:c r="C2311" s="9" t="d">
        <x:v>2011-10-19T00:00:00.000Z</x:v>
      </x:c>
      <x:c r="D2311" s="9" t="d">
        <x:v>2011-10-29T00:00:00.000Z</x:v>
      </x:c>
      <x:c r="E2311" s="1" t="str">
        <x:v>ridge</x:v>
      </x:c>
      <x:c r="F2311" s="10" t="n">
        <x:v>0</x:v>
      </x:c>
      <x:c r="G2311" s="10" t="n">
        <x:v>58.2134713821</x:v>
      </x:c>
      <x:c r="H2311" s="10" t="n">
        <x:f>ABS(G2311-F2311)</x:f>
        <x:v>58.2134713821</x:v>
      </x:c>
      <x:c r="I2311" s="10" t="n">
        <x:f>G2311-F2311</x:f>
        <x:v>58.2134713821</x:v>
      </x:c>
    </x:row>
    <x:row r="2312" ht="20" customHeight="1">
      <x:c r="A2312" s="1" t="str">
        <x:v>85099B</x:v>
      </x:c>
      <x:c r="B2312" s="10" t="n">
        <x:v>1</x:v>
      </x:c>
      <x:c r="C2312" s="9" t="d">
        <x:v>2011-10-19T00:00:00.000Z</x:v>
      </x:c>
      <x:c r="D2312" s="9" t="d">
        <x:v>2011-10-30T00:00:00.000Z</x:v>
      </x:c>
      <x:c r="E2312" s="1" t="str">
        <x:v>ridge</x:v>
      </x:c>
      <x:c r="F2312" s="10" t="n">
        <x:v>51</x:v>
      </x:c>
      <x:c r="G2312" s="10" t="n">
        <x:v>59.4419126131</x:v>
      </x:c>
      <x:c r="H2312" s="10" t="n">
        <x:f>ABS(G2312-F2312)</x:f>
        <x:v>8.441912613100001</x:v>
      </x:c>
      <x:c r="I2312" s="10" t="n">
        <x:f>G2312-F2312</x:f>
        <x:v>8.441912613100001</x:v>
      </x:c>
    </x:row>
    <x:row r="2313" ht="20" customHeight="1">
      <x:c r="A2313" s="1" t="str">
        <x:v>85099B</x:v>
      </x:c>
      <x:c r="B2313" s="10" t="n">
        <x:v>1</x:v>
      </x:c>
      <x:c r="C2313" s="9" t="d">
        <x:v>2011-10-19T00:00:00.000Z</x:v>
      </x:c>
      <x:c r="D2313" s="9" t="d">
        <x:v>2011-10-31T00:00:00.000Z</x:v>
      </x:c>
      <x:c r="E2313" s="1" t="str">
        <x:v>ridge</x:v>
      </x:c>
      <x:c r="F2313" s="10" t="n">
        <x:v>105</x:v>
      </x:c>
      <x:c r="G2313" s="10" t="n">
        <x:v>130.6884016202</x:v>
      </x:c>
      <x:c r="H2313" s="10" t="n">
        <x:f>ABS(G2313-F2313)</x:f>
        <x:v>25.68840162020001</x:v>
      </x:c>
      <x:c r="I2313" s="10" t="n">
        <x:f>G2313-F2313</x:f>
        <x:v>25.68840162020001</x:v>
      </x:c>
    </x:row>
    <x:row r="2314" ht="20" customHeight="1">
      <x:c r="A2314" s="1" t="str">
        <x:v>85099B</x:v>
      </x:c>
      <x:c r="B2314" s="10" t="n">
        <x:v>1</x:v>
      </x:c>
      <x:c r="C2314" s="9" t="d">
        <x:v>2011-10-19T00:00:00.000Z</x:v>
      </x:c>
      <x:c r="D2314" s="9" t="d">
        <x:v>2011-11-01T00:00:00.000Z</x:v>
      </x:c>
      <x:c r="E2314" s="1" t="str">
        <x:v>ridge</x:v>
      </x:c>
      <x:c r="F2314" s="10" t="n">
        <x:v>84</x:v>
      </x:c>
      <x:c r="G2314" s="10" t="n">
        <x:v>188.7697123087</x:v>
      </x:c>
      <x:c r="H2314" s="10" t="n">
        <x:f>ABS(G2314-F2314)</x:f>
        <x:v>104.76971230870001</x:v>
      </x:c>
      <x:c r="I2314" s="10" t="n">
        <x:f>G2314-F2314</x:f>
        <x:v>104.76971230870001</x:v>
      </x:c>
    </x:row>
    <x:row r="2315" ht="20" customHeight="1">
      <x:c r="A2315" s="1" t="str">
        <x:v>85099B</x:v>
      </x:c>
      <x:c r="B2315" s="10" t="n">
        <x:v>1</x:v>
      </x:c>
      <x:c r="C2315" s="9" t="d">
        <x:v>2011-10-19T00:00:00.000Z</x:v>
      </x:c>
      <x:c r="D2315" s="9" t="d">
        <x:v>2011-11-02T00:00:00.000Z</x:v>
      </x:c>
      <x:c r="E2315" s="1" t="str">
        <x:v>ridge</x:v>
      </x:c>
      <x:c r="F2315" s="10" t="n">
        <x:v>244</x:v>
      </x:c>
      <x:c r="G2315" s="10" t="n">
        <x:v>212.6602984522</x:v>
      </x:c>
      <x:c r="H2315" s="10" t="n">
        <x:f>ABS(G2315-F2315)</x:f>
        <x:v>31.33970154779999</x:v>
      </x:c>
      <x:c r="I2315" s="10" t="n">
        <x:f>G2315-F2315</x:f>
        <x:v>-31.33970154779999</x:v>
      </x:c>
    </x:row>
    <x:row r="2316" ht="20" customHeight="1">
      <x:c r="A2316" s="1" t="str">
        <x:v>85099B</x:v>
      </x:c>
      <x:c r="B2316" s="10" t="n">
        <x:v>2</x:v>
      </x:c>
      <x:c r="C2316" s="9" t="d">
        <x:v>2011-11-02T00:00:00.000Z</x:v>
      </x:c>
      <x:c r="D2316" s="9" t="d">
        <x:v>2011-11-03T00:00:00.000Z</x:v>
      </x:c>
      <x:c r="E2316" s="1" t="str">
        <x:v>naive</x:v>
      </x:c>
      <x:c r="F2316" s="10" t="n">
        <x:v>452</x:v>
      </x:c>
      <x:c r="G2316" s="10" t="n">
        <x:v>244</x:v>
      </x:c>
      <x:c r="H2316" s="10" t="n">
        <x:f>ABS(G2316-F2316)</x:f>
        <x:v>208</x:v>
      </x:c>
      <x:c r="I2316" s="10" t="n">
        <x:f>G2316-F2316</x:f>
        <x:v>-208</x:v>
      </x:c>
    </x:row>
    <x:row r="2317" ht="20" customHeight="1">
      <x:c r="A2317" s="1" t="str">
        <x:v>85099B</x:v>
      </x:c>
      <x:c r="B2317" s="10" t="n">
        <x:v>2</x:v>
      </x:c>
      <x:c r="C2317" s="9" t="d">
        <x:v>2011-11-02T00:00:00.000Z</x:v>
      </x:c>
      <x:c r="D2317" s="9" t="d">
        <x:v>2011-11-04T00:00:00.000Z</x:v>
      </x:c>
      <x:c r="E2317" s="1" t="str">
        <x:v>naive</x:v>
      </x:c>
      <x:c r="F2317" s="10" t="n">
        <x:v>58</x:v>
      </x:c>
      <x:c r="G2317" s="10" t="n">
        <x:v>244</x:v>
      </x:c>
      <x:c r="H2317" s="10" t="n">
        <x:f>ABS(G2317-F2317)</x:f>
        <x:v>186</x:v>
      </x:c>
      <x:c r="I2317" s="10" t="n">
        <x:f>G2317-F2317</x:f>
        <x:v>186</x:v>
      </x:c>
    </x:row>
    <x:row r="2318" ht="20" customHeight="1">
      <x:c r="A2318" s="1" t="str">
        <x:v>85099B</x:v>
      </x:c>
      <x:c r="B2318" s="10" t="n">
        <x:v>2</x:v>
      </x:c>
      <x:c r="C2318" s="9" t="d">
        <x:v>2011-11-02T00:00:00.000Z</x:v>
      </x:c>
      <x:c r="D2318" s="9" t="d">
        <x:v>2011-11-05T00:00:00.000Z</x:v>
      </x:c>
      <x:c r="E2318" s="1" t="str">
        <x:v>naive</x:v>
      </x:c>
      <x:c r="F2318" s="10" t="n">
        <x:v>0</x:v>
      </x:c>
      <x:c r="G2318" s="10" t="n">
        <x:v>244</x:v>
      </x:c>
      <x:c r="H2318" s="10" t="n">
        <x:f>ABS(G2318-F2318)</x:f>
        <x:v>244</x:v>
      </x:c>
      <x:c r="I2318" s="10" t="n">
        <x:f>G2318-F2318</x:f>
        <x:v>244</x:v>
      </x:c>
    </x:row>
    <x:row r="2319" ht="20" customHeight="1">
      <x:c r="A2319" s="1" t="str">
        <x:v>85099B</x:v>
      </x:c>
      <x:c r="B2319" s="10" t="n">
        <x:v>2</x:v>
      </x:c>
      <x:c r="C2319" s="9" t="d">
        <x:v>2011-11-02T00:00:00.000Z</x:v>
      </x:c>
      <x:c r="D2319" s="9" t="d">
        <x:v>2011-11-06T00:00:00.000Z</x:v>
      </x:c>
      <x:c r="E2319" s="1" t="str">
        <x:v>naive</x:v>
      </x:c>
      <x:c r="F2319" s="10" t="n">
        <x:v>120</x:v>
      </x:c>
      <x:c r="G2319" s="10" t="n">
        <x:v>244</x:v>
      </x:c>
      <x:c r="H2319" s="10" t="n">
        <x:f>ABS(G2319-F2319)</x:f>
        <x:v>124</x:v>
      </x:c>
      <x:c r="I2319" s="10" t="n">
        <x:f>G2319-F2319</x:f>
        <x:v>124</x:v>
      </x:c>
    </x:row>
    <x:row r="2320" ht="20" customHeight="1">
      <x:c r="A2320" s="1" t="str">
        <x:v>85099B</x:v>
      </x:c>
      <x:c r="B2320" s="10" t="n">
        <x:v>2</x:v>
      </x:c>
      <x:c r="C2320" s="9" t="d">
        <x:v>2011-11-02T00:00:00.000Z</x:v>
      </x:c>
      <x:c r="D2320" s="9" t="d">
        <x:v>2011-11-07T00:00:00.000Z</x:v>
      </x:c>
      <x:c r="E2320" s="1" t="str">
        <x:v>naive</x:v>
      </x:c>
      <x:c r="F2320" s="10" t="n">
        <x:v>146</x:v>
      </x:c>
      <x:c r="G2320" s="10" t="n">
        <x:v>244</x:v>
      </x:c>
      <x:c r="H2320" s="10" t="n">
        <x:f>ABS(G2320-F2320)</x:f>
        <x:v>98</x:v>
      </x:c>
      <x:c r="I2320" s="10" t="n">
        <x:f>G2320-F2320</x:f>
        <x:v>98</x:v>
      </x:c>
    </x:row>
    <x:row r="2321" ht="20" customHeight="1">
      <x:c r="A2321" s="1" t="str">
        <x:v>85099B</x:v>
      </x:c>
      <x:c r="B2321" s="10" t="n">
        <x:v>2</x:v>
      </x:c>
      <x:c r="C2321" s="9" t="d">
        <x:v>2011-11-02T00:00:00.000Z</x:v>
      </x:c>
      <x:c r="D2321" s="9" t="d">
        <x:v>2011-11-08T00:00:00.000Z</x:v>
      </x:c>
      <x:c r="E2321" s="1" t="str">
        <x:v>naive</x:v>
      </x:c>
      <x:c r="F2321" s="10" t="n">
        <x:v>159</x:v>
      </x:c>
      <x:c r="G2321" s="10" t="n">
        <x:v>244</x:v>
      </x:c>
      <x:c r="H2321" s="10" t="n">
        <x:f>ABS(G2321-F2321)</x:f>
        <x:v>85</x:v>
      </x:c>
      <x:c r="I2321" s="10" t="n">
        <x:f>G2321-F2321</x:f>
        <x:v>85</x:v>
      </x:c>
    </x:row>
    <x:row r="2322" ht="20" customHeight="1">
      <x:c r="A2322" s="1" t="str">
        <x:v>85099B</x:v>
      </x:c>
      <x:c r="B2322" s="10" t="n">
        <x:v>2</x:v>
      </x:c>
      <x:c r="C2322" s="9" t="d">
        <x:v>2011-11-02T00:00:00.000Z</x:v>
      </x:c>
      <x:c r="D2322" s="9" t="d">
        <x:v>2011-11-09T00:00:00.000Z</x:v>
      </x:c>
      <x:c r="E2322" s="1" t="str">
        <x:v>naive</x:v>
      </x:c>
      <x:c r="F2322" s="10" t="n">
        <x:v>725</x:v>
      </x:c>
      <x:c r="G2322" s="10" t="n">
        <x:v>244</x:v>
      </x:c>
      <x:c r="H2322" s="10" t="n">
        <x:f>ABS(G2322-F2322)</x:f>
        <x:v>481</x:v>
      </x:c>
      <x:c r="I2322" s="10" t="n">
        <x:f>G2322-F2322</x:f>
        <x:v>-481</x:v>
      </x:c>
    </x:row>
    <x:row r="2323" ht="20" customHeight="1">
      <x:c r="A2323" s="1" t="str">
        <x:v>85099B</x:v>
      </x:c>
      <x:c r="B2323" s="10" t="n">
        <x:v>2</x:v>
      </x:c>
      <x:c r="C2323" s="9" t="d">
        <x:v>2011-11-02T00:00:00.000Z</x:v>
      </x:c>
      <x:c r="D2323" s="9" t="d">
        <x:v>2011-11-10T00:00:00.000Z</x:v>
      </x:c>
      <x:c r="E2323" s="1" t="str">
        <x:v>naive</x:v>
      </x:c>
      <x:c r="F2323" s="10" t="n">
        <x:v>1074</x:v>
      </x:c>
      <x:c r="G2323" s="10" t="n">
        <x:v>244</x:v>
      </x:c>
      <x:c r="H2323" s="10" t="n">
        <x:f>ABS(G2323-F2323)</x:f>
        <x:v>830</x:v>
      </x:c>
      <x:c r="I2323" s="10" t="n">
        <x:f>G2323-F2323</x:f>
        <x:v>-830</x:v>
      </x:c>
    </x:row>
    <x:row r="2324" ht="20" customHeight="1">
      <x:c r="A2324" s="1" t="str">
        <x:v>85099B</x:v>
      </x:c>
      <x:c r="B2324" s="10" t="n">
        <x:v>2</x:v>
      </x:c>
      <x:c r="C2324" s="9" t="d">
        <x:v>2011-11-02T00:00:00.000Z</x:v>
      </x:c>
      <x:c r="D2324" s="9" t="d">
        <x:v>2011-11-11T00:00:00.000Z</x:v>
      </x:c>
      <x:c r="E2324" s="1" t="str">
        <x:v>naive</x:v>
      </x:c>
      <x:c r="F2324" s="10" t="n">
        <x:v>48</x:v>
      </x:c>
      <x:c r="G2324" s="10" t="n">
        <x:v>244</x:v>
      </x:c>
      <x:c r="H2324" s="10" t="n">
        <x:f>ABS(G2324-F2324)</x:f>
        <x:v>196</x:v>
      </x:c>
      <x:c r="I2324" s="10" t="n">
        <x:f>G2324-F2324</x:f>
        <x:v>196</x:v>
      </x:c>
    </x:row>
    <x:row r="2325" ht="20" customHeight="1">
      <x:c r="A2325" s="1" t="str">
        <x:v>85099B</x:v>
      </x:c>
      <x:c r="B2325" s="10" t="n">
        <x:v>2</x:v>
      </x:c>
      <x:c r="C2325" s="9" t="d">
        <x:v>2011-11-02T00:00:00.000Z</x:v>
      </x:c>
      <x:c r="D2325" s="9" t="d">
        <x:v>2011-11-12T00:00:00.000Z</x:v>
      </x:c>
      <x:c r="E2325" s="1" t="str">
        <x:v>naive</x:v>
      </x:c>
      <x:c r="F2325" s="10" t="n">
        <x:v>0</x:v>
      </x:c>
      <x:c r="G2325" s="10" t="n">
        <x:v>244</x:v>
      </x:c>
      <x:c r="H2325" s="10" t="n">
        <x:f>ABS(G2325-F2325)</x:f>
        <x:v>244</x:v>
      </x:c>
      <x:c r="I2325" s="10" t="n">
        <x:f>G2325-F2325</x:f>
        <x:v>244</x:v>
      </x:c>
    </x:row>
    <x:row r="2326" ht="20" customHeight="1">
      <x:c r="A2326" s="1" t="str">
        <x:v>85099B</x:v>
      </x:c>
      <x:c r="B2326" s="10" t="n">
        <x:v>2</x:v>
      </x:c>
      <x:c r="C2326" s="9" t="d">
        <x:v>2011-11-02T00:00:00.000Z</x:v>
      </x:c>
      <x:c r="D2326" s="9" t="d">
        <x:v>2011-11-13T00:00:00.000Z</x:v>
      </x:c>
      <x:c r="E2326" s="1" t="str">
        <x:v>naive</x:v>
      </x:c>
      <x:c r="F2326" s="10" t="n">
        <x:v>47</x:v>
      </x:c>
      <x:c r="G2326" s="10" t="n">
        <x:v>244</x:v>
      </x:c>
      <x:c r="H2326" s="10" t="n">
        <x:f>ABS(G2326-F2326)</x:f>
        <x:v>197</x:v>
      </x:c>
      <x:c r="I2326" s="10" t="n">
        <x:f>G2326-F2326</x:f>
        <x:v>197</x:v>
      </x:c>
    </x:row>
    <x:row r="2327" ht="20" customHeight="1">
      <x:c r="A2327" s="1" t="str">
        <x:v>85099B</x:v>
      </x:c>
      <x:c r="B2327" s="10" t="n">
        <x:v>2</x:v>
      </x:c>
      <x:c r="C2327" s="9" t="d">
        <x:v>2011-11-02T00:00:00.000Z</x:v>
      </x:c>
      <x:c r="D2327" s="9" t="d">
        <x:v>2011-11-14T00:00:00.000Z</x:v>
      </x:c>
      <x:c r="E2327" s="1" t="str">
        <x:v>naive</x:v>
      </x:c>
      <x:c r="F2327" s="10" t="n">
        <x:v>660</x:v>
      </x:c>
      <x:c r="G2327" s="10" t="n">
        <x:v>244</x:v>
      </x:c>
      <x:c r="H2327" s="10" t="n">
        <x:f>ABS(G2327-F2327)</x:f>
        <x:v>416</x:v>
      </x:c>
      <x:c r="I2327" s="10" t="n">
        <x:f>G2327-F2327</x:f>
        <x:v>-416</x:v>
      </x:c>
    </x:row>
    <x:row r="2328" ht="20" customHeight="1">
      <x:c r="A2328" s="1" t="str">
        <x:v>85099B</x:v>
      </x:c>
      <x:c r="B2328" s="10" t="n">
        <x:v>2</x:v>
      </x:c>
      <x:c r="C2328" s="9" t="d">
        <x:v>2011-11-02T00:00:00.000Z</x:v>
      </x:c>
      <x:c r="D2328" s="9" t="d">
        <x:v>2011-11-15T00:00:00.000Z</x:v>
      </x:c>
      <x:c r="E2328" s="1" t="str">
        <x:v>naive</x:v>
      </x:c>
      <x:c r="F2328" s="10" t="n">
        <x:v>380</x:v>
      </x:c>
      <x:c r="G2328" s="10" t="n">
        <x:v>244</x:v>
      </x:c>
      <x:c r="H2328" s="10" t="n">
        <x:f>ABS(G2328-F2328)</x:f>
        <x:v>136</x:v>
      </x:c>
      <x:c r="I2328" s="10" t="n">
        <x:f>G2328-F2328</x:f>
        <x:v>-136</x:v>
      </x:c>
    </x:row>
    <x:row r="2329" ht="20" customHeight="1">
      <x:c r="A2329" s="1" t="str">
        <x:v>85099B</x:v>
      </x:c>
      <x:c r="B2329" s="10" t="n">
        <x:v>2</x:v>
      </x:c>
      <x:c r="C2329" s="9" t="d">
        <x:v>2011-11-02T00:00:00.000Z</x:v>
      </x:c>
      <x:c r="D2329" s="9" t="d">
        <x:v>2011-11-16T00:00:00.000Z</x:v>
      </x:c>
      <x:c r="E2329" s="1" t="str">
        <x:v>naive</x:v>
      </x:c>
      <x:c r="F2329" s="10" t="n">
        <x:v>316</x:v>
      </x:c>
      <x:c r="G2329" s="10" t="n">
        <x:v>244</x:v>
      </x:c>
      <x:c r="H2329" s="10" t="n">
        <x:f>ABS(G2329-F2329)</x:f>
        <x:v>72</x:v>
      </x:c>
      <x:c r="I2329" s="10" t="n">
        <x:f>G2329-F2329</x:f>
        <x:v>-72</x:v>
      </x:c>
    </x:row>
    <x:row r="2330" ht="20" customHeight="1">
      <x:c r="A2330" s="1" t="str">
        <x:v>85099B</x:v>
      </x:c>
      <x:c r="B2330" s="10" t="n">
        <x:v>2</x:v>
      </x:c>
      <x:c r="C2330" s="9" t="d">
        <x:v>2011-11-02T00:00:00.000Z</x:v>
      </x:c>
      <x:c r="D2330" s="9" t="d">
        <x:v>2011-11-03T00:00:00.000Z</x:v>
      </x:c>
      <x:c r="E2330" s="1" t="str">
        <x:v>seasonal_naive</x:v>
      </x:c>
      <x:c r="F2330" s="10" t="n">
        <x:v>452</x:v>
      </x:c>
      <x:c r="G2330" s="10" t="n">
        <x:v>41</x:v>
      </x:c>
      <x:c r="H2330" s="10" t="n">
        <x:f>ABS(G2330-F2330)</x:f>
        <x:v>411</x:v>
      </x:c>
      <x:c r="I2330" s="10" t="n">
        <x:f>G2330-F2330</x:f>
        <x:v>-411</x:v>
      </x:c>
    </x:row>
    <x:row r="2331" ht="20" customHeight="1">
      <x:c r="A2331" s="1" t="str">
        <x:v>85099B</x:v>
      </x:c>
      <x:c r="B2331" s="10" t="n">
        <x:v>2</x:v>
      </x:c>
      <x:c r="C2331" s="9" t="d">
        <x:v>2011-11-02T00:00:00.000Z</x:v>
      </x:c>
      <x:c r="D2331" s="9" t="d">
        <x:v>2011-11-04T00:00:00.000Z</x:v>
      </x:c>
      <x:c r="E2331" s="1" t="str">
        <x:v>seasonal_naive</x:v>
      </x:c>
      <x:c r="F2331" s="10" t="n">
        <x:v>58</x:v>
      </x:c>
      <x:c r="G2331" s="10" t="n">
        <x:v>12</x:v>
      </x:c>
      <x:c r="H2331" s="10" t="n">
        <x:f>ABS(G2331-F2331)</x:f>
        <x:v>46</x:v>
      </x:c>
      <x:c r="I2331" s="10" t="n">
        <x:f>G2331-F2331</x:f>
        <x:v>-46</x:v>
      </x:c>
    </x:row>
    <x:row r="2332" ht="20" customHeight="1">
      <x:c r="A2332" s="1" t="str">
        <x:v>85099B</x:v>
      </x:c>
      <x:c r="B2332" s="10" t="n">
        <x:v>2</x:v>
      </x:c>
      <x:c r="C2332" s="9" t="d">
        <x:v>2011-11-02T00:00:00.000Z</x:v>
      </x:c>
      <x:c r="D2332" s="9" t="d">
        <x:v>2011-11-05T00:00:00.000Z</x:v>
      </x:c>
      <x:c r="E2332" s="1" t="str">
        <x:v>seasonal_naive</x:v>
      </x:c>
      <x:c r="F2332" s="10" t="n">
        <x:v>0</x:v>
      </x:c>
      <x:c r="G2332" s="10" t="n">
        <x:v>0</x:v>
      </x:c>
      <x:c r="H2332" s="10" t="n">
        <x:f>ABS(G2332-F2332)</x:f>
        <x:v>0</x:v>
      </x:c>
      <x:c r="I2332" s="10" t="n">
        <x:f>G2332-F2332</x:f>
        <x:v>0</x:v>
      </x:c>
    </x:row>
    <x:row r="2333" ht="20" customHeight="1">
      <x:c r="A2333" s="1" t="str">
        <x:v>85099B</x:v>
      </x:c>
      <x:c r="B2333" s="10" t="n">
        <x:v>2</x:v>
      </x:c>
      <x:c r="C2333" s="9" t="d">
        <x:v>2011-11-02T00:00:00.000Z</x:v>
      </x:c>
      <x:c r="D2333" s="9" t="d">
        <x:v>2011-11-06T00:00:00.000Z</x:v>
      </x:c>
      <x:c r="E2333" s="1" t="str">
        <x:v>seasonal_naive</x:v>
      </x:c>
      <x:c r="F2333" s="10" t="n">
        <x:v>120</x:v>
      </x:c>
      <x:c r="G2333" s="10" t="n">
        <x:v>51</x:v>
      </x:c>
      <x:c r="H2333" s="10" t="n">
        <x:f>ABS(G2333-F2333)</x:f>
        <x:v>69</x:v>
      </x:c>
      <x:c r="I2333" s="10" t="n">
        <x:f>G2333-F2333</x:f>
        <x:v>-69</x:v>
      </x:c>
    </x:row>
    <x:row r="2334" ht="20" customHeight="1">
      <x:c r="A2334" s="1" t="str">
        <x:v>85099B</x:v>
      </x:c>
      <x:c r="B2334" s="10" t="n">
        <x:v>2</x:v>
      </x:c>
      <x:c r="C2334" s="9" t="d">
        <x:v>2011-11-02T00:00:00.000Z</x:v>
      </x:c>
      <x:c r="D2334" s="9" t="d">
        <x:v>2011-11-07T00:00:00.000Z</x:v>
      </x:c>
      <x:c r="E2334" s="1" t="str">
        <x:v>seasonal_naive</x:v>
      </x:c>
      <x:c r="F2334" s="10" t="n">
        <x:v>146</x:v>
      </x:c>
      <x:c r="G2334" s="10" t="n">
        <x:v>105</x:v>
      </x:c>
      <x:c r="H2334" s="10" t="n">
        <x:f>ABS(G2334-F2334)</x:f>
        <x:v>41</x:v>
      </x:c>
      <x:c r="I2334" s="10" t="n">
        <x:f>G2334-F2334</x:f>
        <x:v>-41</x:v>
      </x:c>
    </x:row>
    <x:row r="2335" ht="20" customHeight="1">
      <x:c r="A2335" s="1" t="str">
        <x:v>85099B</x:v>
      </x:c>
      <x:c r="B2335" s="10" t="n">
        <x:v>2</x:v>
      </x:c>
      <x:c r="C2335" s="9" t="d">
        <x:v>2011-11-02T00:00:00.000Z</x:v>
      </x:c>
      <x:c r="D2335" s="9" t="d">
        <x:v>2011-11-08T00:00:00.000Z</x:v>
      </x:c>
      <x:c r="E2335" s="1" t="str">
        <x:v>seasonal_naive</x:v>
      </x:c>
      <x:c r="F2335" s="10" t="n">
        <x:v>159</x:v>
      </x:c>
      <x:c r="G2335" s="10" t="n">
        <x:v>84</x:v>
      </x:c>
      <x:c r="H2335" s="10" t="n">
        <x:f>ABS(G2335-F2335)</x:f>
        <x:v>75</x:v>
      </x:c>
      <x:c r="I2335" s="10" t="n">
        <x:f>G2335-F2335</x:f>
        <x:v>-75</x:v>
      </x:c>
    </x:row>
    <x:row r="2336" ht="20" customHeight="1">
      <x:c r="A2336" s="1" t="str">
        <x:v>85099B</x:v>
      </x:c>
      <x:c r="B2336" s="10" t="n">
        <x:v>2</x:v>
      </x:c>
      <x:c r="C2336" s="9" t="d">
        <x:v>2011-11-02T00:00:00.000Z</x:v>
      </x:c>
      <x:c r="D2336" s="9" t="d">
        <x:v>2011-11-09T00:00:00.000Z</x:v>
      </x:c>
      <x:c r="E2336" s="1" t="str">
        <x:v>seasonal_naive</x:v>
      </x:c>
      <x:c r="F2336" s="10" t="n">
        <x:v>725</x:v>
      </x:c>
      <x:c r="G2336" s="10" t="n">
        <x:v>244</x:v>
      </x:c>
      <x:c r="H2336" s="10" t="n">
        <x:f>ABS(G2336-F2336)</x:f>
        <x:v>481</x:v>
      </x:c>
      <x:c r="I2336" s="10" t="n">
        <x:f>G2336-F2336</x:f>
        <x:v>-481</x:v>
      </x:c>
    </x:row>
    <x:row r="2337" ht="20" customHeight="1">
      <x:c r="A2337" s="1" t="str">
        <x:v>85099B</x:v>
      </x:c>
      <x:c r="B2337" s="10" t="n">
        <x:v>2</x:v>
      </x:c>
      <x:c r="C2337" s="9" t="d">
        <x:v>2011-11-02T00:00:00.000Z</x:v>
      </x:c>
      <x:c r="D2337" s="9" t="d">
        <x:v>2011-11-10T00:00:00.000Z</x:v>
      </x:c>
      <x:c r="E2337" s="1" t="str">
        <x:v>seasonal_naive</x:v>
      </x:c>
      <x:c r="F2337" s="10" t="n">
        <x:v>1074</x:v>
      </x:c>
      <x:c r="G2337" s="10" t="n">
        <x:v>41</x:v>
      </x:c>
      <x:c r="H2337" s="10" t="n">
        <x:f>ABS(G2337-F2337)</x:f>
        <x:v>1033</x:v>
      </x:c>
      <x:c r="I2337" s="10" t="n">
        <x:f>G2337-F2337</x:f>
        <x:v>-1033</x:v>
      </x:c>
    </x:row>
    <x:row r="2338" ht="20" customHeight="1">
      <x:c r="A2338" s="1" t="str">
        <x:v>85099B</x:v>
      </x:c>
      <x:c r="B2338" s="10" t="n">
        <x:v>2</x:v>
      </x:c>
      <x:c r="C2338" s="9" t="d">
        <x:v>2011-11-02T00:00:00.000Z</x:v>
      </x:c>
      <x:c r="D2338" s="9" t="d">
        <x:v>2011-11-11T00:00:00.000Z</x:v>
      </x:c>
      <x:c r="E2338" s="1" t="str">
        <x:v>seasonal_naive</x:v>
      </x:c>
      <x:c r="F2338" s="10" t="n">
        <x:v>48</x:v>
      </x:c>
      <x:c r="G2338" s="10" t="n">
        <x:v>12</x:v>
      </x:c>
      <x:c r="H2338" s="10" t="n">
        <x:f>ABS(G2338-F2338)</x:f>
        <x:v>36</x:v>
      </x:c>
      <x:c r="I2338" s="10" t="n">
        <x:f>G2338-F2338</x:f>
        <x:v>-36</x:v>
      </x:c>
    </x:row>
    <x:row r="2339" ht="20" customHeight="1">
      <x:c r="A2339" s="1" t="str">
        <x:v>85099B</x:v>
      </x:c>
      <x:c r="B2339" s="10" t="n">
        <x:v>2</x:v>
      </x:c>
      <x:c r="C2339" s="9" t="d">
        <x:v>2011-11-02T00:00:00.000Z</x:v>
      </x:c>
      <x:c r="D2339" s="9" t="d">
        <x:v>2011-11-12T00:00:00.000Z</x:v>
      </x:c>
      <x:c r="E2339" s="1" t="str">
        <x:v>seasonal_naive</x:v>
      </x:c>
      <x:c r="F2339" s="10" t="n">
        <x:v>0</x:v>
      </x:c>
      <x:c r="G2339" s="10" t="n">
        <x:v>0</x:v>
      </x:c>
      <x:c r="H2339" s="10" t="n">
        <x:f>ABS(G2339-F2339)</x:f>
        <x:v>0</x:v>
      </x:c>
      <x:c r="I2339" s="10" t="n">
        <x:f>G2339-F2339</x:f>
        <x:v>0</x:v>
      </x:c>
    </x:row>
    <x:row r="2340" ht="20" customHeight="1">
      <x:c r="A2340" s="1" t="str">
        <x:v>85099B</x:v>
      </x:c>
      <x:c r="B2340" s="10" t="n">
        <x:v>2</x:v>
      </x:c>
      <x:c r="C2340" s="9" t="d">
        <x:v>2011-11-02T00:00:00.000Z</x:v>
      </x:c>
      <x:c r="D2340" s="9" t="d">
        <x:v>2011-11-13T00:00:00.000Z</x:v>
      </x:c>
      <x:c r="E2340" s="1" t="str">
        <x:v>seasonal_naive</x:v>
      </x:c>
      <x:c r="F2340" s="10" t="n">
        <x:v>47</x:v>
      </x:c>
      <x:c r="G2340" s="10" t="n">
        <x:v>51</x:v>
      </x:c>
      <x:c r="H2340" s="10" t="n">
        <x:f>ABS(G2340-F2340)</x:f>
        <x:v>4</x:v>
      </x:c>
      <x:c r="I2340" s="10" t="n">
        <x:f>G2340-F2340</x:f>
        <x:v>4</x:v>
      </x:c>
    </x:row>
    <x:row r="2341" ht="20" customHeight="1">
      <x:c r="A2341" s="1" t="str">
        <x:v>85099B</x:v>
      </x:c>
      <x:c r="B2341" s="10" t="n">
        <x:v>2</x:v>
      </x:c>
      <x:c r="C2341" s="9" t="d">
        <x:v>2011-11-02T00:00:00.000Z</x:v>
      </x:c>
      <x:c r="D2341" s="9" t="d">
        <x:v>2011-11-14T00:00:00.000Z</x:v>
      </x:c>
      <x:c r="E2341" s="1" t="str">
        <x:v>seasonal_naive</x:v>
      </x:c>
      <x:c r="F2341" s="10" t="n">
        <x:v>660</x:v>
      </x:c>
      <x:c r="G2341" s="10" t="n">
        <x:v>105</x:v>
      </x:c>
      <x:c r="H2341" s="10" t="n">
        <x:f>ABS(G2341-F2341)</x:f>
        <x:v>555</x:v>
      </x:c>
      <x:c r="I2341" s="10" t="n">
        <x:f>G2341-F2341</x:f>
        <x:v>-555</x:v>
      </x:c>
    </x:row>
    <x:row r="2342" ht="20" customHeight="1">
      <x:c r="A2342" s="1" t="str">
        <x:v>85099B</x:v>
      </x:c>
      <x:c r="B2342" s="10" t="n">
        <x:v>2</x:v>
      </x:c>
      <x:c r="C2342" s="9" t="d">
        <x:v>2011-11-02T00:00:00.000Z</x:v>
      </x:c>
      <x:c r="D2342" s="9" t="d">
        <x:v>2011-11-15T00:00:00.000Z</x:v>
      </x:c>
      <x:c r="E2342" s="1" t="str">
        <x:v>seasonal_naive</x:v>
      </x:c>
      <x:c r="F2342" s="10" t="n">
        <x:v>380</x:v>
      </x:c>
      <x:c r="G2342" s="10" t="n">
        <x:v>84</x:v>
      </x:c>
      <x:c r="H2342" s="10" t="n">
        <x:f>ABS(G2342-F2342)</x:f>
        <x:v>296</x:v>
      </x:c>
      <x:c r="I2342" s="10" t="n">
        <x:f>G2342-F2342</x:f>
        <x:v>-296</x:v>
      </x:c>
    </x:row>
    <x:row r="2343" ht="20" customHeight="1">
      <x:c r="A2343" s="1" t="str">
        <x:v>85099B</x:v>
      </x:c>
      <x:c r="B2343" s="10" t="n">
        <x:v>2</x:v>
      </x:c>
      <x:c r="C2343" s="9" t="d">
        <x:v>2011-11-02T00:00:00.000Z</x:v>
      </x:c>
      <x:c r="D2343" s="9" t="d">
        <x:v>2011-11-16T00:00:00.000Z</x:v>
      </x:c>
      <x:c r="E2343" s="1" t="str">
        <x:v>seasonal_naive</x:v>
      </x:c>
      <x:c r="F2343" s="10" t="n">
        <x:v>316</x:v>
      </x:c>
      <x:c r="G2343" s="10" t="n">
        <x:v>244</x:v>
      </x:c>
      <x:c r="H2343" s="10" t="n">
        <x:f>ABS(G2343-F2343)</x:f>
        <x:v>72</x:v>
      </x:c>
      <x:c r="I2343" s="10" t="n">
        <x:f>G2343-F2343</x:f>
        <x:v>-72</x:v>
      </x:c>
    </x:row>
    <x:row r="2344" ht="20" customHeight="1">
      <x:c r="A2344" s="1" t="str">
        <x:v>85099B</x:v>
      </x:c>
      <x:c r="B2344" s="10" t="n">
        <x:v>2</x:v>
      </x:c>
      <x:c r="C2344" s="9" t="d">
        <x:v>2011-11-02T00:00:00.000Z</x:v>
      </x:c>
      <x:c r="D2344" s="9" t="d">
        <x:v>2011-11-03T00:00:00.000Z</x:v>
      </x:c>
      <x:c r="E2344" s="1" t="str">
        <x:v>ridge</x:v>
      </x:c>
      <x:c r="F2344" s="10" t="n">
        <x:v>452</x:v>
      </x:c>
      <x:c r="G2344" s="10" t="n">
        <x:v>182.0471576427</x:v>
      </x:c>
      <x:c r="H2344" s="10" t="n">
        <x:f>ABS(G2344-F2344)</x:f>
        <x:v>269.9528423573</x:v>
      </x:c>
      <x:c r="I2344" s="10" t="n">
        <x:f>G2344-F2344</x:f>
        <x:v>-269.9528423573</x:v>
      </x:c>
    </x:row>
    <x:row r="2345" ht="20" customHeight="1">
      <x:c r="A2345" s="1" t="str">
        <x:v>85099B</x:v>
      </x:c>
      <x:c r="B2345" s="10" t="n">
        <x:v>2</x:v>
      </x:c>
      <x:c r="C2345" s="9" t="d">
        <x:v>2011-11-02T00:00:00.000Z</x:v>
      </x:c>
      <x:c r="D2345" s="9" t="d">
        <x:v>2011-11-04T00:00:00.000Z</x:v>
      </x:c>
      <x:c r="E2345" s="1" t="str">
        <x:v>ridge</x:v>
      </x:c>
      <x:c r="F2345" s="10" t="n">
        <x:v>58</x:v>
      </x:c>
      <x:c r="G2345" s="10" t="n">
        <x:v>102.5272936098</x:v>
      </x:c>
      <x:c r="H2345" s="10" t="n">
        <x:f>ABS(G2345-F2345)</x:f>
        <x:v>44.5272936098</x:v>
      </x:c>
      <x:c r="I2345" s="10" t="n">
        <x:f>G2345-F2345</x:f>
        <x:v>44.5272936098</x:v>
      </x:c>
    </x:row>
    <x:row r="2346" ht="20" customHeight="1">
      <x:c r="A2346" s="1" t="str">
        <x:v>85099B</x:v>
      </x:c>
      <x:c r="B2346" s="10" t="n">
        <x:v>2</x:v>
      </x:c>
      <x:c r="C2346" s="9" t="d">
        <x:v>2011-11-02T00:00:00.000Z</x:v>
      </x:c>
      <x:c r="D2346" s="9" t="d">
        <x:v>2011-11-05T00:00:00.000Z</x:v>
      </x:c>
      <x:c r="E2346" s="1" t="str">
        <x:v>ridge</x:v>
      </x:c>
      <x:c r="F2346" s="10" t="n">
        <x:v>0</x:v>
      </x:c>
      <x:c r="G2346" s="10" t="n">
        <x:v>45.9490026144</x:v>
      </x:c>
      <x:c r="H2346" s="10" t="n">
        <x:f>ABS(G2346-F2346)</x:f>
        <x:v>45.9490026144</x:v>
      </x:c>
      <x:c r="I2346" s="10" t="n">
        <x:f>G2346-F2346</x:f>
        <x:v>45.9490026144</x:v>
      </x:c>
    </x:row>
    <x:row r="2347" ht="20" customHeight="1">
      <x:c r="A2347" s="1" t="str">
        <x:v>85099B</x:v>
      </x:c>
      <x:c r="B2347" s="10" t="n">
        <x:v>2</x:v>
      </x:c>
      <x:c r="C2347" s="9" t="d">
        <x:v>2011-11-02T00:00:00.000Z</x:v>
      </x:c>
      <x:c r="D2347" s="9" t="d">
        <x:v>2011-11-06T00:00:00.000Z</x:v>
      </x:c>
      <x:c r="E2347" s="1" t="str">
        <x:v>ridge</x:v>
      </x:c>
      <x:c r="F2347" s="10" t="n">
        <x:v>120</x:v>
      </x:c>
      <x:c r="G2347" s="10" t="n">
        <x:v>51.6813136093</x:v>
      </x:c>
      <x:c r="H2347" s="10" t="n">
        <x:f>ABS(G2347-F2347)</x:f>
        <x:v>68.31868639070001</x:v>
      </x:c>
      <x:c r="I2347" s="10" t="n">
        <x:f>G2347-F2347</x:f>
        <x:v>-68.31868639070001</x:v>
      </x:c>
    </x:row>
    <x:row r="2348" ht="20" customHeight="1">
      <x:c r="A2348" s="1" t="str">
        <x:v>85099B</x:v>
      </x:c>
      <x:c r="B2348" s="10" t="n">
        <x:v>2</x:v>
      </x:c>
      <x:c r="C2348" s="9" t="d">
        <x:v>2011-11-02T00:00:00.000Z</x:v>
      </x:c>
      <x:c r="D2348" s="9" t="d">
        <x:v>2011-11-07T00:00:00.000Z</x:v>
      </x:c>
      <x:c r="E2348" s="1" t="str">
        <x:v>ridge</x:v>
      </x:c>
      <x:c r="F2348" s="10" t="n">
        <x:v>146</x:v>
      </x:c>
      <x:c r="G2348" s="10" t="n">
        <x:v>122.2999951014</x:v>
      </x:c>
      <x:c r="H2348" s="10" t="n">
        <x:f>ABS(G2348-F2348)</x:f>
        <x:v>23.7000048986</x:v>
      </x:c>
      <x:c r="I2348" s="10" t="n">
        <x:f>G2348-F2348</x:f>
        <x:v>-23.7000048986</x:v>
      </x:c>
    </x:row>
    <x:row r="2349" ht="20" customHeight="1">
      <x:c r="A2349" s="1" t="str">
        <x:v>85099B</x:v>
      </x:c>
      <x:c r="B2349" s="10" t="n">
        <x:v>2</x:v>
      </x:c>
      <x:c r="C2349" s="9" t="d">
        <x:v>2011-11-02T00:00:00.000Z</x:v>
      </x:c>
      <x:c r="D2349" s="9" t="d">
        <x:v>2011-11-08T00:00:00.000Z</x:v>
      </x:c>
      <x:c r="E2349" s="1" t="str">
        <x:v>ridge</x:v>
      </x:c>
      <x:c r="F2349" s="10" t="n">
        <x:v>159</x:v>
      </x:c>
      <x:c r="G2349" s="10" t="n">
        <x:v>175.5636961334</x:v>
      </x:c>
      <x:c r="H2349" s="10" t="n">
        <x:f>ABS(G2349-F2349)</x:f>
        <x:v>16.563696133399986</x:v>
      </x:c>
      <x:c r="I2349" s="10" t="n">
        <x:f>G2349-F2349</x:f>
        <x:v>16.563696133399986</x:v>
      </x:c>
    </x:row>
    <x:row r="2350" ht="20" customHeight="1">
      <x:c r="A2350" s="1" t="str">
        <x:v>85099B</x:v>
      </x:c>
      <x:c r="B2350" s="10" t="n">
        <x:v>2</x:v>
      </x:c>
      <x:c r="C2350" s="9" t="d">
        <x:v>2011-11-02T00:00:00.000Z</x:v>
      </x:c>
      <x:c r="D2350" s="9" t="d">
        <x:v>2011-11-09T00:00:00.000Z</x:v>
      </x:c>
      <x:c r="E2350" s="1" t="str">
        <x:v>ridge</x:v>
      </x:c>
      <x:c r="F2350" s="10" t="n">
        <x:v>725</x:v>
      </x:c>
      <x:c r="G2350" s="10" t="n">
        <x:v>203.1446531977</x:v>
      </x:c>
      <x:c r="H2350" s="10" t="n">
        <x:f>ABS(G2350-F2350)</x:f>
        <x:v>521.8553468023</x:v>
      </x:c>
      <x:c r="I2350" s="10" t="n">
        <x:f>G2350-F2350</x:f>
        <x:v>-521.8553468023</x:v>
      </x:c>
    </x:row>
    <x:row r="2351" ht="20" customHeight="1">
      <x:c r="A2351" s="1" t="str">
        <x:v>85099B</x:v>
      </x:c>
      <x:c r="B2351" s="10" t="n">
        <x:v>2</x:v>
      </x:c>
      <x:c r="C2351" s="9" t="d">
        <x:v>2011-11-02T00:00:00.000Z</x:v>
      </x:c>
      <x:c r="D2351" s="9" t="d">
        <x:v>2011-11-10T00:00:00.000Z</x:v>
      </x:c>
      <x:c r="E2351" s="1" t="str">
        <x:v>ridge</x:v>
      </x:c>
      <x:c r="F2351" s="10" t="n">
        <x:v>1074</x:v>
      </x:c>
      <x:c r="G2351" s="10" t="n">
        <x:v>168.9944600418</x:v>
      </x:c>
      <x:c r="H2351" s="10" t="n">
        <x:f>ABS(G2351-F2351)</x:f>
        <x:v>905.0055399582</x:v>
      </x:c>
      <x:c r="I2351" s="10" t="n">
        <x:f>G2351-F2351</x:f>
        <x:v>-905.0055399582</x:v>
      </x:c>
    </x:row>
    <x:row r="2352" ht="20" customHeight="1">
      <x:c r="A2352" s="1" t="str">
        <x:v>85099B</x:v>
      </x:c>
      <x:c r="B2352" s="10" t="n">
        <x:v>2</x:v>
      </x:c>
      <x:c r="C2352" s="9" t="d">
        <x:v>2011-11-02T00:00:00.000Z</x:v>
      </x:c>
      <x:c r="D2352" s="9" t="d">
        <x:v>2011-11-11T00:00:00.000Z</x:v>
      </x:c>
      <x:c r="E2352" s="1" t="str">
        <x:v>ridge</x:v>
      </x:c>
      <x:c r="F2352" s="10" t="n">
        <x:v>48</x:v>
      </x:c>
      <x:c r="G2352" s="10" t="n">
        <x:v>100.2495824206</x:v>
      </x:c>
      <x:c r="H2352" s="10" t="n">
        <x:f>ABS(G2352-F2352)</x:f>
        <x:v>52.24958242060001</x:v>
      </x:c>
      <x:c r="I2352" s="10" t="n">
        <x:f>G2352-F2352</x:f>
        <x:v>52.24958242060001</x:v>
      </x:c>
    </x:row>
    <x:row r="2353" ht="20" customHeight="1">
      <x:c r="A2353" s="1" t="str">
        <x:v>85099B</x:v>
      </x:c>
      <x:c r="B2353" s="10" t="n">
        <x:v>2</x:v>
      </x:c>
      <x:c r="C2353" s="9" t="d">
        <x:v>2011-11-02T00:00:00.000Z</x:v>
      </x:c>
      <x:c r="D2353" s="9" t="d">
        <x:v>2011-11-12T00:00:00.000Z</x:v>
      </x:c>
      <x:c r="E2353" s="1" t="str">
        <x:v>ridge</x:v>
      </x:c>
      <x:c r="F2353" s="10" t="n">
        <x:v>0</x:v>
      </x:c>
      <x:c r="G2353" s="10" t="n">
        <x:v>48.3592008079</x:v>
      </x:c>
      <x:c r="H2353" s="10" t="n">
        <x:f>ABS(G2353-F2353)</x:f>
        <x:v>48.3592008079</x:v>
      </x:c>
      <x:c r="I2353" s="10" t="n">
        <x:f>G2353-F2353</x:f>
        <x:v>48.3592008079</x:v>
      </x:c>
    </x:row>
    <x:row r="2354" ht="20" customHeight="1">
      <x:c r="A2354" s="1" t="str">
        <x:v>85099B</x:v>
      </x:c>
      <x:c r="B2354" s="10" t="n">
        <x:v>2</x:v>
      </x:c>
      <x:c r="C2354" s="9" t="d">
        <x:v>2011-11-02T00:00:00.000Z</x:v>
      </x:c>
      <x:c r="D2354" s="9" t="d">
        <x:v>2011-11-13T00:00:00.000Z</x:v>
      </x:c>
      <x:c r="E2354" s="1" t="str">
        <x:v>ridge</x:v>
      </x:c>
      <x:c r="F2354" s="10" t="n">
        <x:v>47</x:v>
      </x:c>
      <x:c r="G2354" s="10" t="n">
        <x:v>54.2791631461</x:v>
      </x:c>
      <x:c r="H2354" s="10" t="n">
        <x:f>ABS(G2354-F2354)</x:f>
        <x:v>7.279163146099997</x:v>
      </x:c>
      <x:c r="I2354" s="10" t="n">
        <x:f>G2354-F2354</x:f>
        <x:v>7.279163146099997</x:v>
      </x:c>
    </x:row>
    <x:row r="2355" ht="20" customHeight="1">
      <x:c r="A2355" s="1" t="str">
        <x:v>85099B</x:v>
      </x:c>
      <x:c r="B2355" s="10" t="n">
        <x:v>2</x:v>
      </x:c>
      <x:c r="C2355" s="9" t="d">
        <x:v>2011-11-02T00:00:00.000Z</x:v>
      </x:c>
      <x:c r="D2355" s="9" t="d">
        <x:v>2011-11-14T00:00:00.000Z</x:v>
      </x:c>
      <x:c r="E2355" s="1" t="str">
        <x:v>ridge</x:v>
      </x:c>
      <x:c r="F2355" s="10" t="n">
        <x:v>660</x:v>
      </x:c>
      <x:c r="G2355" s="10" t="n">
        <x:v>113.2322530402</x:v>
      </x:c>
      <x:c r="H2355" s="10" t="n">
        <x:f>ABS(G2355-F2355)</x:f>
        <x:v>546.7677469598</x:v>
      </x:c>
      <x:c r="I2355" s="10" t="n">
        <x:f>G2355-F2355</x:f>
        <x:v>-546.7677469598</x:v>
      </x:c>
    </x:row>
    <x:row r="2356" ht="20" customHeight="1">
      <x:c r="A2356" s="1" t="str">
        <x:v>85099B</x:v>
      </x:c>
      <x:c r="B2356" s="10" t="n">
        <x:v>2</x:v>
      </x:c>
      <x:c r="C2356" s="9" t="d">
        <x:v>2011-11-02T00:00:00.000Z</x:v>
      </x:c>
      <x:c r="D2356" s="9" t="d">
        <x:v>2011-11-15T00:00:00.000Z</x:v>
      </x:c>
      <x:c r="E2356" s="1" t="str">
        <x:v>ridge</x:v>
      </x:c>
      <x:c r="F2356" s="10" t="n">
        <x:v>380</x:v>
      </x:c>
      <x:c r="G2356" s="10" t="n">
        <x:v>176.9470234695</x:v>
      </x:c>
      <x:c r="H2356" s="10" t="n">
        <x:f>ABS(G2356-F2356)</x:f>
        <x:v>203.0529765305</x:v>
      </x:c>
      <x:c r="I2356" s="10" t="n">
        <x:f>G2356-F2356</x:f>
        <x:v>-203.0529765305</x:v>
      </x:c>
    </x:row>
    <x:row r="2357" ht="20" customHeight="1">
      <x:c r="A2357" s="1" t="str">
        <x:v>85099B</x:v>
      </x:c>
      <x:c r="B2357" s="10" t="n">
        <x:v>2</x:v>
      </x:c>
      <x:c r="C2357" s="9" t="d">
        <x:v>2011-11-02T00:00:00.000Z</x:v>
      </x:c>
      <x:c r="D2357" s="9" t="d">
        <x:v>2011-11-16T00:00:00.000Z</x:v>
      </x:c>
      <x:c r="E2357" s="1" t="str">
        <x:v>ridge</x:v>
      </x:c>
      <x:c r="F2357" s="10" t="n">
        <x:v>316</x:v>
      </x:c>
      <x:c r="G2357" s="10" t="n">
        <x:v>212.1978555391</x:v>
      </x:c>
      <x:c r="H2357" s="10" t="n">
        <x:f>ABS(G2357-F2357)</x:f>
        <x:v>103.8021444609</x:v>
      </x:c>
      <x:c r="I2357" s="10" t="n">
        <x:f>G2357-F2357</x:f>
        <x:v>-103.8021444609</x:v>
      </x:c>
    </x:row>
    <x:row r="2358" ht="20" customHeight="1">
      <x:c r="A2358" s="1" t="str">
        <x:v>85099B</x:v>
      </x:c>
      <x:c r="B2358" s="10" t="n">
        <x:v>3</x:v>
      </x:c>
      <x:c r="C2358" s="9" t="d">
        <x:v>2011-11-16T00:00:00.000Z</x:v>
      </x:c>
      <x:c r="D2358" s="9" t="d">
        <x:v>2011-11-17T00:00:00.000Z</x:v>
      </x:c>
      <x:c r="E2358" s="1" t="str">
        <x:v>naive</x:v>
      </x:c>
      <x:c r="F2358" s="10" t="n">
        <x:v>97</x:v>
      </x:c>
      <x:c r="G2358" s="10" t="n">
        <x:v>316</x:v>
      </x:c>
      <x:c r="H2358" s="10" t="n">
        <x:f>ABS(G2358-F2358)</x:f>
        <x:v>219</x:v>
      </x:c>
      <x:c r="I2358" s="10" t="n">
        <x:f>G2358-F2358</x:f>
        <x:v>219</x:v>
      </x:c>
    </x:row>
    <x:row r="2359" ht="20" customHeight="1">
      <x:c r="A2359" s="1" t="str">
        <x:v>85099B</x:v>
      </x:c>
      <x:c r="B2359" s="10" t="n">
        <x:v>3</x:v>
      </x:c>
      <x:c r="C2359" s="9" t="d">
        <x:v>2011-11-16T00:00:00.000Z</x:v>
      </x:c>
      <x:c r="D2359" s="9" t="d">
        <x:v>2011-11-18T00:00:00.000Z</x:v>
      </x:c>
      <x:c r="E2359" s="1" t="str">
        <x:v>naive</x:v>
      </x:c>
      <x:c r="F2359" s="10" t="n">
        <x:v>62</x:v>
      </x:c>
      <x:c r="G2359" s="10" t="n">
        <x:v>316</x:v>
      </x:c>
      <x:c r="H2359" s="10" t="n">
        <x:f>ABS(G2359-F2359)</x:f>
        <x:v>254</x:v>
      </x:c>
      <x:c r="I2359" s="10" t="n">
        <x:f>G2359-F2359</x:f>
        <x:v>254</x:v>
      </x:c>
    </x:row>
    <x:row r="2360" ht="20" customHeight="1">
      <x:c r="A2360" s="1" t="str">
        <x:v>85099B</x:v>
      </x:c>
      <x:c r="B2360" s="10" t="n">
        <x:v>3</x:v>
      </x:c>
      <x:c r="C2360" s="9" t="d">
        <x:v>2011-11-16T00:00:00.000Z</x:v>
      </x:c>
      <x:c r="D2360" s="9" t="d">
        <x:v>2011-11-19T00:00:00.000Z</x:v>
      </x:c>
      <x:c r="E2360" s="1" t="str">
        <x:v>naive</x:v>
      </x:c>
      <x:c r="F2360" s="10" t="n">
        <x:v>0</x:v>
      </x:c>
      <x:c r="G2360" s="10" t="n">
        <x:v>316</x:v>
      </x:c>
      <x:c r="H2360" s="10" t="n">
        <x:f>ABS(G2360-F2360)</x:f>
        <x:v>316</x:v>
      </x:c>
      <x:c r="I2360" s="10" t="n">
        <x:f>G2360-F2360</x:f>
        <x:v>316</x:v>
      </x:c>
    </x:row>
    <x:row r="2361" ht="20" customHeight="1">
      <x:c r="A2361" s="1" t="str">
        <x:v>85099B</x:v>
      </x:c>
      <x:c r="B2361" s="10" t="n">
        <x:v>3</x:v>
      </x:c>
      <x:c r="C2361" s="9" t="d">
        <x:v>2011-11-16T00:00:00.000Z</x:v>
      </x:c>
      <x:c r="D2361" s="9" t="d">
        <x:v>2011-11-20T00:00:00.000Z</x:v>
      </x:c>
      <x:c r="E2361" s="1" t="str">
        <x:v>naive</x:v>
      </x:c>
      <x:c r="F2361" s="10" t="n">
        <x:v>87</x:v>
      </x:c>
      <x:c r="G2361" s="10" t="n">
        <x:v>316</x:v>
      </x:c>
      <x:c r="H2361" s="10" t="n">
        <x:f>ABS(G2361-F2361)</x:f>
        <x:v>229</x:v>
      </x:c>
      <x:c r="I2361" s="10" t="n">
        <x:f>G2361-F2361</x:f>
        <x:v>229</x:v>
      </x:c>
    </x:row>
    <x:row r="2362" ht="20" customHeight="1">
      <x:c r="A2362" s="1" t="str">
        <x:v>85099B</x:v>
      </x:c>
      <x:c r="B2362" s="10" t="n">
        <x:v>3</x:v>
      </x:c>
      <x:c r="C2362" s="9" t="d">
        <x:v>2011-11-16T00:00:00.000Z</x:v>
      </x:c>
      <x:c r="D2362" s="9" t="d">
        <x:v>2011-11-21T00:00:00.000Z</x:v>
      </x:c>
      <x:c r="E2362" s="1" t="str">
        <x:v>naive</x:v>
      </x:c>
      <x:c r="F2362" s="10" t="n">
        <x:v>147</x:v>
      </x:c>
      <x:c r="G2362" s="10" t="n">
        <x:v>316</x:v>
      </x:c>
      <x:c r="H2362" s="10" t="n">
        <x:f>ABS(G2362-F2362)</x:f>
        <x:v>169</x:v>
      </x:c>
      <x:c r="I2362" s="10" t="n">
        <x:f>G2362-F2362</x:f>
        <x:v>169</x:v>
      </x:c>
    </x:row>
    <x:row r="2363" ht="20" customHeight="1">
      <x:c r="A2363" s="1" t="str">
        <x:v>85099B</x:v>
      </x:c>
      <x:c r="B2363" s="10" t="n">
        <x:v>3</x:v>
      </x:c>
      <x:c r="C2363" s="9" t="d">
        <x:v>2011-11-16T00:00:00.000Z</x:v>
      </x:c>
      <x:c r="D2363" s="9" t="d">
        <x:v>2011-11-22T00:00:00.000Z</x:v>
      </x:c>
      <x:c r="E2363" s="1" t="str">
        <x:v>naive</x:v>
      </x:c>
      <x:c r="F2363" s="10" t="n">
        <x:v>132</x:v>
      </x:c>
      <x:c r="G2363" s="10" t="n">
        <x:v>316</x:v>
      </x:c>
      <x:c r="H2363" s="10" t="n">
        <x:f>ABS(G2363-F2363)</x:f>
        <x:v>184</x:v>
      </x:c>
      <x:c r="I2363" s="10" t="n">
        <x:f>G2363-F2363</x:f>
        <x:v>184</x:v>
      </x:c>
    </x:row>
    <x:row r="2364" ht="20" customHeight="1">
      <x:c r="A2364" s="1" t="str">
        <x:v>85099B</x:v>
      </x:c>
      <x:c r="B2364" s="10" t="n">
        <x:v>3</x:v>
      </x:c>
      <x:c r="C2364" s="9" t="d">
        <x:v>2011-11-16T00:00:00.000Z</x:v>
      </x:c>
      <x:c r="D2364" s="9" t="d">
        <x:v>2011-11-23T00:00:00.000Z</x:v>
      </x:c>
      <x:c r="E2364" s="1" t="str">
        <x:v>naive</x:v>
      </x:c>
      <x:c r="F2364" s="10" t="n">
        <x:v>146</x:v>
      </x:c>
      <x:c r="G2364" s="10" t="n">
        <x:v>316</x:v>
      </x:c>
      <x:c r="H2364" s="10" t="n">
        <x:f>ABS(G2364-F2364)</x:f>
        <x:v>170</x:v>
      </x:c>
      <x:c r="I2364" s="10" t="n">
        <x:f>G2364-F2364</x:f>
        <x:v>170</x:v>
      </x:c>
    </x:row>
    <x:row r="2365" ht="20" customHeight="1">
      <x:c r="A2365" s="1" t="str">
        <x:v>85099B</x:v>
      </x:c>
      <x:c r="B2365" s="10" t="n">
        <x:v>3</x:v>
      </x:c>
      <x:c r="C2365" s="9" t="d">
        <x:v>2011-11-16T00:00:00.000Z</x:v>
      </x:c>
      <x:c r="D2365" s="9" t="d">
        <x:v>2011-11-24T00:00:00.000Z</x:v>
      </x:c>
      <x:c r="E2365" s="1" t="str">
        <x:v>naive</x:v>
      </x:c>
      <x:c r="F2365" s="10" t="n">
        <x:v>245</x:v>
      </x:c>
      <x:c r="G2365" s="10" t="n">
        <x:v>316</x:v>
      </x:c>
      <x:c r="H2365" s="10" t="n">
        <x:f>ABS(G2365-F2365)</x:f>
        <x:v>71</x:v>
      </x:c>
      <x:c r="I2365" s="10" t="n">
        <x:f>G2365-F2365</x:f>
        <x:v>71</x:v>
      </x:c>
    </x:row>
    <x:row r="2366" ht="20" customHeight="1">
      <x:c r="A2366" s="1" t="str">
        <x:v>85099B</x:v>
      </x:c>
      <x:c r="B2366" s="10" t="n">
        <x:v>3</x:v>
      </x:c>
      <x:c r="C2366" s="9" t="d">
        <x:v>2011-11-16T00:00:00.000Z</x:v>
      </x:c>
      <x:c r="D2366" s="9" t="d">
        <x:v>2011-11-25T00:00:00.000Z</x:v>
      </x:c>
      <x:c r="E2366" s="1" t="str">
        <x:v>naive</x:v>
      </x:c>
      <x:c r="F2366" s="10" t="n">
        <x:v>55</x:v>
      </x:c>
      <x:c r="G2366" s="10" t="n">
        <x:v>316</x:v>
      </x:c>
      <x:c r="H2366" s="10" t="n">
        <x:f>ABS(G2366-F2366)</x:f>
        <x:v>261</x:v>
      </x:c>
      <x:c r="I2366" s="10" t="n">
        <x:f>G2366-F2366</x:f>
        <x:v>261</x:v>
      </x:c>
    </x:row>
    <x:row r="2367" ht="20" customHeight="1">
      <x:c r="A2367" s="1" t="str">
        <x:v>85099B</x:v>
      </x:c>
      <x:c r="B2367" s="10" t="n">
        <x:v>3</x:v>
      </x:c>
      <x:c r="C2367" s="9" t="d">
        <x:v>2011-11-16T00:00:00.000Z</x:v>
      </x:c>
      <x:c r="D2367" s="9" t="d">
        <x:v>2011-11-26T00:00:00.000Z</x:v>
      </x:c>
      <x:c r="E2367" s="1" t="str">
        <x:v>naive</x:v>
      </x:c>
      <x:c r="F2367" s="10" t="n">
        <x:v>0</x:v>
      </x:c>
      <x:c r="G2367" s="10" t="n">
        <x:v>316</x:v>
      </x:c>
      <x:c r="H2367" s="10" t="n">
        <x:f>ABS(G2367-F2367)</x:f>
        <x:v>316</x:v>
      </x:c>
      <x:c r="I2367" s="10" t="n">
        <x:f>G2367-F2367</x:f>
        <x:v>316</x:v>
      </x:c>
    </x:row>
    <x:row r="2368" ht="20" customHeight="1">
      <x:c r="A2368" s="1" t="str">
        <x:v>85099B</x:v>
      </x:c>
      <x:c r="B2368" s="10" t="n">
        <x:v>3</x:v>
      </x:c>
      <x:c r="C2368" s="9" t="d">
        <x:v>2011-11-16T00:00:00.000Z</x:v>
      </x:c>
      <x:c r="D2368" s="9" t="d">
        <x:v>2011-11-27T00:00:00.000Z</x:v>
      </x:c>
      <x:c r="E2368" s="1" t="str">
        <x:v>naive</x:v>
      </x:c>
      <x:c r="F2368" s="10" t="n">
        <x:v>28</x:v>
      </x:c>
      <x:c r="G2368" s="10" t="n">
        <x:v>316</x:v>
      </x:c>
      <x:c r="H2368" s="10" t="n">
        <x:f>ABS(G2368-F2368)</x:f>
        <x:v>288</x:v>
      </x:c>
      <x:c r="I2368" s="10" t="n">
        <x:f>G2368-F2368</x:f>
        <x:v>288</x:v>
      </x:c>
    </x:row>
    <x:row r="2369" ht="20" customHeight="1">
      <x:c r="A2369" s="1" t="str">
        <x:v>85099B</x:v>
      </x:c>
      <x:c r="B2369" s="10" t="n">
        <x:v>3</x:v>
      </x:c>
      <x:c r="C2369" s="9" t="d">
        <x:v>2011-11-16T00:00:00.000Z</x:v>
      </x:c>
      <x:c r="D2369" s="9" t="d">
        <x:v>2011-11-28T00:00:00.000Z</x:v>
      </x:c>
      <x:c r="E2369" s="1" t="str">
        <x:v>naive</x:v>
      </x:c>
      <x:c r="F2369" s="10" t="n">
        <x:v>42</x:v>
      </x:c>
      <x:c r="G2369" s="10" t="n">
        <x:v>316</x:v>
      </x:c>
      <x:c r="H2369" s="10" t="n">
        <x:f>ABS(G2369-F2369)</x:f>
        <x:v>274</x:v>
      </x:c>
      <x:c r="I2369" s="10" t="n">
        <x:f>G2369-F2369</x:f>
        <x:v>274</x:v>
      </x:c>
    </x:row>
    <x:row r="2370" ht="20" customHeight="1">
      <x:c r="A2370" s="1" t="str">
        <x:v>85099B</x:v>
      </x:c>
      <x:c r="B2370" s="10" t="n">
        <x:v>3</x:v>
      </x:c>
      <x:c r="C2370" s="9" t="d">
        <x:v>2011-11-16T00:00:00.000Z</x:v>
      </x:c>
      <x:c r="D2370" s="9" t="d">
        <x:v>2011-11-29T00:00:00.000Z</x:v>
      </x:c>
      <x:c r="E2370" s="1" t="str">
        <x:v>naive</x:v>
      </x:c>
      <x:c r="F2370" s="10" t="n">
        <x:v>165</x:v>
      </x:c>
      <x:c r="G2370" s="10" t="n">
        <x:v>316</x:v>
      </x:c>
      <x:c r="H2370" s="10" t="n">
        <x:f>ABS(G2370-F2370)</x:f>
        <x:v>151</x:v>
      </x:c>
      <x:c r="I2370" s="10" t="n">
        <x:f>G2370-F2370</x:f>
        <x:v>151</x:v>
      </x:c>
    </x:row>
    <x:row r="2371" ht="20" customHeight="1">
      <x:c r="A2371" s="1" t="str">
        <x:v>85099B</x:v>
      </x:c>
      <x:c r="B2371" s="10" t="n">
        <x:v>3</x:v>
      </x:c>
      <x:c r="C2371" s="9" t="d">
        <x:v>2011-11-16T00:00:00.000Z</x:v>
      </x:c>
      <x:c r="D2371" s="9" t="d">
        <x:v>2011-11-30T00:00:00.000Z</x:v>
      </x:c>
      <x:c r="E2371" s="1" t="str">
        <x:v>naive</x:v>
      </x:c>
      <x:c r="F2371" s="10" t="n">
        <x:v>189</x:v>
      </x:c>
      <x:c r="G2371" s="10" t="n">
        <x:v>316</x:v>
      </x:c>
      <x:c r="H2371" s="10" t="n">
        <x:f>ABS(G2371-F2371)</x:f>
        <x:v>127</x:v>
      </x:c>
      <x:c r="I2371" s="10" t="n">
        <x:f>G2371-F2371</x:f>
        <x:v>127</x:v>
      </x:c>
    </x:row>
    <x:row r="2372" ht="20" customHeight="1">
      <x:c r="A2372" s="1" t="str">
        <x:v>85099B</x:v>
      </x:c>
      <x:c r="B2372" s="10" t="n">
        <x:v>3</x:v>
      </x:c>
      <x:c r="C2372" s="9" t="d">
        <x:v>2011-11-16T00:00:00.000Z</x:v>
      </x:c>
      <x:c r="D2372" s="9" t="d">
        <x:v>2011-11-17T00:00:00.000Z</x:v>
      </x:c>
      <x:c r="E2372" s="1" t="str">
        <x:v>seasonal_naive</x:v>
      </x:c>
      <x:c r="F2372" s="10" t="n">
        <x:v>97</x:v>
      </x:c>
      <x:c r="G2372" s="10" t="n">
        <x:v>1074</x:v>
      </x:c>
      <x:c r="H2372" s="10" t="n">
        <x:f>ABS(G2372-F2372)</x:f>
        <x:v>977</x:v>
      </x:c>
      <x:c r="I2372" s="10" t="n">
        <x:f>G2372-F2372</x:f>
        <x:v>977</x:v>
      </x:c>
    </x:row>
    <x:row r="2373" ht="20" customHeight="1">
      <x:c r="A2373" s="1" t="str">
        <x:v>85099B</x:v>
      </x:c>
      <x:c r="B2373" s="10" t="n">
        <x:v>3</x:v>
      </x:c>
      <x:c r="C2373" s="9" t="d">
        <x:v>2011-11-16T00:00:00.000Z</x:v>
      </x:c>
      <x:c r="D2373" s="9" t="d">
        <x:v>2011-11-18T00:00:00.000Z</x:v>
      </x:c>
      <x:c r="E2373" s="1" t="str">
        <x:v>seasonal_naive</x:v>
      </x:c>
      <x:c r="F2373" s="10" t="n">
        <x:v>62</x:v>
      </x:c>
      <x:c r="G2373" s="10" t="n">
        <x:v>48</x:v>
      </x:c>
      <x:c r="H2373" s="10" t="n">
        <x:f>ABS(G2373-F2373)</x:f>
        <x:v>14</x:v>
      </x:c>
      <x:c r="I2373" s="10" t="n">
        <x:f>G2373-F2373</x:f>
        <x:v>-14</x:v>
      </x:c>
    </x:row>
    <x:row r="2374" ht="20" customHeight="1">
      <x:c r="A2374" s="1" t="str">
        <x:v>85099B</x:v>
      </x:c>
      <x:c r="B2374" s="10" t="n">
        <x:v>3</x:v>
      </x:c>
      <x:c r="C2374" s="9" t="d">
        <x:v>2011-11-16T00:00:00.000Z</x:v>
      </x:c>
      <x:c r="D2374" s="9" t="d">
        <x:v>2011-11-19T00:00:00.000Z</x:v>
      </x:c>
      <x:c r="E2374" s="1" t="str">
        <x:v>seasonal_naive</x:v>
      </x:c>
      <x:c r="F2374" s="10" t="n">
        <x:v>0</x:v>
      </x:c>
      <x:c r="G2374" s="10" t="n">
        <x:v>0</x:v>
      </x:c>
      <x:c r="H2374" s="10" t="n">
        <x:f>ABS(G2374-F2374)</x:f>
        <x:v>0</x:v>
      </x:c>
      <x:c r="I2374" s="10" t="n">
        <x:f>G2374-F2374</x:f>
        <x:v>0</x:v>
      </x:c>
    </x:row>
    <x:row r="2375" ht="20" customHeight="1">
      <x:c r="A2375" s="1" t="str">
        <x:v>85099B</x:v>
      </x:c>
      <x:c r="B2375" s="10" t="n">
        <x:v>3</x:v>
      </x:c>
      <x:c r="C2375" s="9" t="d">
        <x:v>2011-11-16T00:00:00.000Z</x:v>
      </x:c>
      <x:c r="D2375" s="9" t="d">
        <x:v>2011-11-20T00:00:00.000Z</x:v>
      </x:c>
      <x:c r="E2375" s="1" t="str">
        <x:v>seasonal_naive</x:v>
      </x:c>
      <x:c r="F2375" s="10" t="n">
        <x:v>87</x:v>
      </x:c>
      <x:c r="G2375" s="10" t="n">
        <x:v>47</x:v>
      </x:c>
      <x:c r="H2375" s="10" t="n">
        <x:f>ABS(G2375-F2375)</x:f>
        <x:v>40</x:v>
      </x:c>
      <x:c r="I2375" s="10" t="n">
        <x:f>G2375-F2375</x:f>
        <x:v>-40</x:v>
      </x:c>
    </x:row>
    <x:row r="2376" ht="20" customHeight="1">
      <x:c r="A2376" s="1" t="str">
        <x:v>85099B</x:v>
      </x:c>
      <x:c r="B2376" s="10" t="n">
        <x:v>3</x:v>
      </x:c>
      <x:c r="C2376" s="9" t="d">
        <x:v>2011-11-16T00:00:00.000Z</x:v>
      </x:c>
      <x:c r="D2376" s="9" t="d">
        <x:v>2011-11-21T00:00:00.000Z</x:v>
      </x:c>
      <x:c r="E2376" s="1" t="str">
        <x:v>seasonal_naive</x:v>
      </x:c>
      <x:c r="F2376" s="10" t="n">
        <x:v>147</x:v>
      </x:c>
      <x:c r="G2376" s="10" t="n">
        <x:v>660</x:v>
      </x:c>
      <x:c r="H2376" s="10" t="n">
        <x:f>ABS(G2376-F2376)</x:f>
        <x:v>513</x:v>
      </x:c>
      <x:c r="I2376" s="10" t="n">
        <x:f>G2376-F2376</x:f>
        <x:v>513</x:v>
      </x:c>
    </x:row>
    <x:row r="2377" ht="20" customHeight="1">
      <x:c r="A2377" s="1" t="str">
        <x:v>85099B</x:v>
      </x:c>
      <x:c r="B2377" s="10" t="n">
        <x:v>3</x:v>
      </x:c>
      <x:c r="C2377" s="9" t="d">
        <x:v>2011-11-16T00:00:00.000Z</x:v>
      </x:c>
      <x:c r="D2377" s="9" t="d">
        <x:v>2011-11-22T00:00:00.000Z</x:v>
      </x:c>
      <x:c r="E2377" s="1" t="str">
        <x:v>seasonal_naive</x:v>
      </x:c>
      <x:c r="F2377" s="10" t="n">
        <x:v>132</x:v>
      </x:c>
      <x:c r="G2377" s="10" t="n">
        <x:v>380</x:v>
      </x:c>
      <x:c r="H2377" s="10" t="n">
        <x:f>ABS(G2377-F2377)</x:f>
        <x:v>248</x:v>
      </x:c>
      <x:c r="I2377" s="10" t="n">
        <x:f>G2377-F2377</x:f>
        <x:v>248</x:v>
      </x:c>
    </x:row>
    <x:row r="2378" ht="20" customHeight="1">
      <x:c r="A2378" s="1" t="str">
        <x:v>85099B</x:v>
      </x:c>
      <x:c r="B2378" s="10" t="n">
        <x:v>3</x:v>
      </x:c>
      <x:c r="C2378" s="9" t="d">
        <x:v>2011-11-16T00:00:00.000Z</x:v>
      </x:c>
      <x:c r="D2378" s="9" t="d">
        <x:v>2011-11-23T00:00:00.000Z</x:v>
      </x:c>
      <x:c r="E2378" s="1" t="str">
        <x:v>seasonal_naive</x:v>
      </x:c>
      <x:c r="F2378" s="10" t="n">
        <x:v>146</x:v>
      </x:c>
      <x:c r="G2378" s="10" t="n">
        <x:v>316</x:v>
      </x:c>
      <x:c r="H2378" s="10" t="n">
        <x:f>ABS(G2378-F2378)</x:f>
        <x:v>170</x:v>
      </x:c>
      <x:c r="I2378" s="10" t="n">
        <x:f>G2378-F2378</x:f>
        <x:v>170</x:v>
      </x:c>
    </x:row>
    <x:row r="2379" ht="20" customHeight="1">
      <x:c r="A2379" s="1" t="str">
        <x:v>85099B</x:v>
      </x:c>
      <x:c r="B2379" s="10" t="n">
        <x:v>3</x:v>
      </x:c>
      <x:c r="C2379" s="9" t="d">
        <x:v>2011-11-16T00:00:00.000Z</x:v>
      </x:c>
      <x:c r="D2379" s="9" t="d">
        <x:v>2011-11-24T00:00:00.000Z</x:v>
      </x:c>
      <x:c r="E2379" s="1" t="str">
        <x:v>seasonal_naive</x:v>
      </x:c>
      <x:c r="F2379" s="10" t="n">
        <x:v>245</x:v>
      </x:c>
      <x:c r="G2379" s="10" t="n">
        <x:v>1074</x:v>
      </x:c>
      <x:c r="H2379" s="10" t="n">
        <x:f>ABS(G2379-F2379)</x:f>
        <x:v>829</x:v>
      </x:c>
      <x:c r="I2379" s="10" t="n">
        <x:f>G2379-F2379</x:f>
        <x:v>829</x:v>
      </x:c>
    </x:row>
    <x:row r="2380" ht="20" customHeight="1">
      <x:c r="A2380" s="1" t="str">
        <x:v>85099B</x:v>
      </x:c>
      <x:c r="B2380" s="10" t="n">
        <x:v>3</x:v>
      </x:c>
      <x:c r="C2380" s="9" t="d">
        <x:v>2011-11-16T00:00:00.000Z</x:v>
      </x:c>
      <x:c r="D2380" s="9" t="d">
        <x:v>2011-11-25T00:00:00.000Z</x:v>
      </x:c>
      <x:c r="E2380" s="1" t="str">
        <x:v>seasonal_naive</x:v>
      </x:c>
      <x:c r="F2380" s="10" t="n">
        <x:v>55</x:v>
      </x:c>
      <x:c r="G2380" s="10" t="n">
        <x:v>48</x:v>
      </x:c>
      <x:c r="H2380" s="10" t="n">
        <x:f>ABS(G2380-F2380)</x:f>
        <x:v>7</x:v>
      </x:c>
      <x:c r="I2380" s="10" t="n">
        <x:f>G2380-F2380</x:f>
        <x:v>-7</x:v>
      </x:c>
    </x:row>
    <x:row r="2381" ht="20" customHeight="1">
      <x:c r="A2381" s="1" t="str">
        <x:v>85099B</x:v>
      </x:c>
      <x:c r="B2381" s="10" t="n">
        <x:v>3</x:v>
      </x:c>
      <x:c r="C2381" s="9" t="d">
        <x:v>2011-11-16T00:00:00.000Z</x:v>
      </x:c>
      <x:c r="D2381" s="9" t="d">
        <x:v>2011-11-26T00:00:00.000Z</x:v>
      </x:c>
      <x:c r="E2381" s="1" t="str">
        <x:v>seasonal_naive</x:v>
      </x:c>
      <x:c r="F2381" s="10" t="n">
        <x:v>0</x:v>
      </x:c>
      <x:c r="G2381" s="10" t="n">
        <x:v>0</x:v>
      </x:c>
      <x:c r="H2381" s="10" t="n">
        <x:f>ABS(G2381-F2381)</x:f>
        <x:v>0</x:v>
      </x:c>
      <x:c r="I2381" s="10" t="n">
        <x:f>G2381-F2381</x:f>
        <x:v>0</x:v>
      </x:c>
    </x:row>
    <x:row r="2382" ht="20" customHeight="1">
      <x:c r="A2382" s="1" t="str">
        <x:v>85099B</x:v>
      </x:c>
      <x:c r="B2382" s="10" t="n">
        <x:v>3</x:v>
      </x:c>
      <x:c r="C2382" s="9" t="d">
        <x:v>2011-11-16T00:00:00.000Z</x:v>
      </x:c>
      <x:c r="D2382" s="9" t="d">
        <x:v>2011-11-27T00:00:00.000Z</x:v>
      </x:c>
      <x:c r="E2382" s="1" t="str">
        <x:v>seasonal_naive</x:v>
      </x:c>
      <x:c r="F2382" s="10" t="n">
        <x:v>28</x:v>
      </x:c>
      <x:c r="G2382" s="10" t="n">
        <x:v>47</x:v>
      </x:c>
      <x:c r="H2382" s="10" t="n">
        <x:f>ABS(G2382-F2382)</x:f>
        <x:v>19</x:v>
      </x:c>
      <x:c r="I2382" s="10" t="n">
        <x:f>G2382-F2382</x:f>
        <x:v>19</x:v>
      </x:c>
    </x:row>
    <x:row r="2383" ht="20" customHeight="1">
      <x:c r="A2383" s="1" t="str">
        <x:v>85099B</x:v>
      </x:c>
      <x:c r="B2383" s="10" t="n">
        <x:v>3</x:v>
      </x:c>
      <x:c r="C2383" s="9" t="d">
        <x:v>2011-11-16T00:00:00.000Z</x:v>
      </x:c>
      <x:c r="D2383" s="9" t="d">
        <x:v>2011-11-28T00:00:00.000Z</x:v>
      </x:c>
      <x:c r="E2383" s="1" t="str">
        <x:v>seasonal_naive</x:v>
      </x:c>
      <x:c r="F2383" s="10" t="n">
        <x:v>42</x:v>
      </x:c>
      <x:c r="G2383" s="10" t="n">
        <x:v>660</x:v>
      </x:c>
      <x:c r="H2383" s="10" t="n">
        <x:f>ABS(G2383-F2383)</x:f>
        <x:v>618</x:v>
      </x:c>
      <x:c r="I2383" s="10" t="n">
        <x:f>G2383-F2383</x:f>
        <x:v>618</x:v>
      </x:c>
    </x:row>
    <x:row r="2384" ht="20" customHeight="1">
      <x:c r="A2384" s="1" t="str">
        <x:v>85099B</x:v>
      </x:c>
      <x:c r="B2384" s="10" t="n">
        <x:v>3</x:v>
      </x:c>
      <x:c r="C2384" s="9" t="d">
        <x:v>2011-11-16T00:00:00.000Z</x:v>
      </x:c>
      <x:c r="D2384" s="9" t="d">
        <x:v>2011-11-29T00:00:00.000Z</x:v>
      </x:c>
      <x:c r="E2384" s="1" t="str">
        <x:v>seasonal_naive</x:v>
      </x:c>
      <x:c r="F2384" s="10" t="n">
        <x:v>165</x:v>
      </x:c>
      <x:c r="G2384" s="10" t="n">
        <x:v>380</x:v>
      </x:c>
      <x:c r="H2384" s="10" t="n">
        <x:f>ABS(G2384-F2384)</x:f>
        <x:v>215</x:v>
      </x:c>
      <x:c r="I2384" s="10" t="n">
        <x:f>G2384-F2384</x:f>
        <x:v>215</x:v>
      </x:c>
    </x:row>
    <x:row r="2385" ht="20" customHeight="1">
      <x:c r="A2385" s="1" t="str">
        <x:v>85099B</x:v>
      </x:c>
      <x:c r="B2385" s="10" t="n">
        <x:v>3</x:v>
      </x:c>
      <x:c r="C2385" s="9" t="d">
        <x:v>2011-11-16T00:00:00.000Z</x:v>
      </x:c>
      <x:c r="D2385" s="9" t="d">
        <x:v>2011-11-30T00:00:00.000Z</x:v>
      </x:c>
      <x:c r="E2385" s="1" t="str">
        <x:v>seasonal_naive</x:v>
      </x:c>
      <x:c r="F2385" s="10" t="n">
        <x:v>189</x:v>
      </x:c>
      <x:c r="G2385" s="10" t="n">
        <x:v>316</x:v>
      </x:c>
      <x:c r="H2385" s="10" t="n">
        <x:f>ABS(G2385-F2385)</x:f>
        <x:v>127</x:v>
      </x:c>
      <x:c r="I2385" s="10" t="n">
        <x:f>G2385-F2385</x:f>
        <x:v>127</x:v>
      </x:c>
    </x:row>
    <x:row r="2386" ht="20" customHeight="1">
      <x:c r="A2386" s="1" t="str">
        <x:v>85099B</x:v>
      </x:c>
      <x:c r="B2386" s="10" t="n">
        <x:v>3</x:v>
      </x:c>
      <x:c r="C2386" s="9" t="d">
        <x:v>2011-11-16T00:00:00.000Z</x:v>
      </x:c>
      <x:c r="D2386" s="9" t="d">
        <x:v>2011-11-17T00:00:00.000Z</x:v>
      </x:c>
      <x:c r="E2386" s="1" t="str">
        <x:v>ridge</x:v>
      </x:c>
      <x:c r="F2386" s="10" t="n">
        <x:v>97</x:v>
      </x:c>
      <x:c r="G2386" s="10" t="n">
        <x:v>299.9020823561</x:v>
      </x:c>
      <x:c r="H2386" s="10" t="n">
        <x:f>ABS(G2386-F2386)</x:f>
        <x:v>202.90208235609998</x:v>
      </x:c>
      <x:c r="I2386" s="10" t="n">
        <x:f>G2386-F2386</x:f>
        <x:v>202.90208235609998</x:v>
      </x:c>
    </x:row>
    <x:row r="2387" ht="20" customHeight="1">
      <x:c r="A2387" s="1" t="str">
        <x:v>85099B</x:v>
      </x:c>
      <x:c r="B2387" s="10" t="n">
        <x:v>3</x:v>
      </x:c>
      <x:c r="C2387" s="9" t="d">
        <x:v>2011-11-16T00:00:00.000Z</x:v>
      </x:c>
      <x:c r="D2387" s="9" t="d">
        <x:v>2011-11-18T00:00:00.000Z</x:v>
      </x:c>
      <x:c r="E2387" s="1" t="str">
        <x:v>ridge</x:v>
      </x:c>
      <x:c r="F2387" s="10" t="n">
        <x:v>62</x:v>
      </x:c>
      <x:c r="G2387" s="10" t="n">
        <x:v>126.4845095662</x:v>
      </x:c>
      <x:c r="H2387" s="10" t="n">
        <x:f>ABS(G2387-F2387)</x:f>
        <x:v>64.4845095662</x:v>
      </x:c>
      <x:c r="I2387" s="10" t="n">
        <x:f>G2387-F2387</x:f>
        <x:v>64.4845095662</x:v>
      </x:c>
    </x:row>
    <x:row r="2388" ht="20" customHeight="1">
      <x:c r="A2388" s="1" t="str">
        <x:v>85099B</x:v>
      </x:c>
      <x:c r="B2388" s="10" t="n">
        <x:v>3</x:v>
      </x:c>
      <x:c r="C2388" s="9" t="d">
        <x:v>2011-11-16T00:00:00.000Z</x:v>
      </x:c>
      <x:c r="D2388" s="9" t="d">
        <x:v>2011-11-19T00:00:00.000Z</x:v>
      </x:c>
      <x:c r="E2388" s="1" t="str">
        <x:v>ridge</x:v>
      </x:c>
      <x:c r="F2388" s="10" t="n">
        <x:v>0</x:v>
      </x:c>
      <x:c r="G2388" s="10" t="n">
        <x:v>51.1210018843</x:v>
      </x:c>
      <x:c r="H2388" s="10" t="n">
        <x:f>ABS(G2388-F2388)</x:f>
        <x:v>51.1210018843</x:v>
      </x:c>
      <x:c r="I2388" s="10" t="n">
        <x:f>G2388-F2388</x:f>
        <x:v>51.1210018843</x:v>
      </x:c>
    </x:row>
    <x:row r="2389" ht="20" customHeight="1">
      <x:c r="A2389" s="1" t="str">
        <x:v>85099B</x:v>
      </x:c>
      <x:c r="B2389" s="10" t="n">
        <x:v>3</x:v>
      </x:c>
      <x:c r="C2389" s="9" t="d">
        <x:v>2011-11-16T00:00:00.000Z</x:v>
      </x:c>
      <x:c r="D2389" s="9" t="d">
        <x:v>2011-11-20T00:00:00.000Z</x:v>
      </x:c>
      <x:c r="E2389" s="1" t="str">
        <x:v>ridge</x:v>
      </x:c>
      <x:c r="F2389" s="10" t="n">
        <x:v>87</x:v>
      </x:c>
      <x:c r="G2389" s="10" t="n">
        <x:v>59.2754815549</x:v>
      </x:c>
      <x:c r="H2389" s="10" t="n">
        <x:f>ABS(G2389-F2389)</x:f>
        <x:v>27.724518445100003</x:v>
      </x:c>
      <x:c r="I2389" s="10" t="n">
        <x:f>G2389-F2389</x:f>
        <x:v>-27.724518445100003</x:v>
      </x:c>
    </x:row>
    <x:row r="2390" ht="20" customHeight="1">
      <x:c r="A2390" s="1" t="str">
        <x:v>85099B</x:v>
      </x:c>
      <x:c r="B2390" s="10" t="n">
        <x:v>3</x:v>
      </x:c>
      <x:c r="C2390" s="9" t="d">
        <x:v>2011-11-16T00:00:00.000Z</x:v>
      </x:c>
      <x:c r="D2390" s="9" t="d">
        <x:v>2011-11-21T00:00:00.000Z</x:v>
      </x:c>
      <x:c r="E2390" s="1" t="str">
        <x:v>ridge</x:v>
      </x:c>
      <x:c r="F2390" s="10" t="n">
        <x:v>147</x:v>
      </x:c>
      <x:c r="G2390" s="10" t="n">
        <x:v>171.7487751932</x:v>
      </x:c>
      <x:c r="H2390" s="10" t="n">
        <x:f>ABS(G2390-F2390)</x:f>
        <x:v>24.748775193200004</x:v>
      </x:c>
      <x:c r="I2390" s="10" t="n">
        <x:f>G2390-F2390</x:f>
        <x:v>24.748775193200004</x:v>
      </x:c>
    </x:row>
    <x:row r="2391" ht="20" customHeight="1">
      <x:c r="A2391" s="1" t="str">
        <x:v>85099B</x:v>
      </x:c>
      <x:c r="B2391" s="10" t="n">
        <x:v>3</x:v>
      </x:c>
      <x:c r="C2391" s="9" t="d">
        <x:v>2011-11-16T00:00:00.000Z</x:v>
      </x:c>
      <x:c r="D2391" s="9" t="d">
        <x:v>2011-11-22T00:00:00.000Z</x:v>
      </x:c>
      <x:c r="E2391" s="1" t="str">
        <x:v>ridge</x:v>
      </x:c>
      <x:c r="F2391" s="10" t="n">
        <x:v>132</x:v>
      </x:c>
      <x:c r="G2391" s="10" t="n">
        <x:v>221.5056473029</x:v>
      </x:c>
      <x:c r="H2391" s="10" t="n">
        <x:f>ABS(G2391-F2391)</x:f>
        <x:v>89.5056473029</x:v>
      </x:c>
      <x:c r="I2391" s="10" t="n">
        <x:f>G2391-F2391</x:f>
        <x:v>89.5056473029</x:v>
      </x:c>
    </x:row>
    <x:row r="2392" ht="20" customHeight="1">
      <x:c r="A2392" s="1" t="str">
        <x:v>85099B</x:v>
      </x:c>
      <x:c r="B2392" s="10" t="n">
        <x:v>3</x:v>
      </x:c>
      <x:c r="C2392" s="9" t="d">
        <x:v>2011-11-16T00:00:00.000Z</x:v>
      </x:c>
      <x:c r="D2392" s="9" t="d">
        <x:v>2011-11-23T00:00:00.000Z</x:v>
      </x:c>
      <x:c r="E2392" s="1" t="str">
        <x:v>ridge</x:v>
      </x:c>
      <x:c r="F2392" s="10" t="n">
        <x:v>146</x:v>
      </x:c>
      <x:c r="G2392" s="10" t="n">
        <x:v>260.0532815511</x:v>
      </x:c>
      <x:c r="H2392" s="10" t="n">
        <x:f>ABS(G2392-F2392)</x:f>
        <x:v>114.05328155109999</x:v>
      </x:c>
      <x:c r="I2392" s="10" t="n">
        <x:f>G2392-F2392</x:f>
        <x:v>114.05328155109999</x:v>
      </x:c>
    </x:row>
    <x:row r="2393" ht="20" customHeight="1">
      <x:c r="A2393" s="1" t="str">
        <x:v>85099B</x:v>
      </x:c>
      <x:c r="B2393" s="10" t="n">
        <x:v>3</x:v>
      </x:c>
      <x:c r="C2393" s="9" t="d">
        <x:v>2011-11-16T00:00:00.000Z</x:v>
      </x:c>
      <x:c r="D2393" s="9" t="d">
        <x:v>2011-11-24T00:00:00.000Z</x:v>
      </x:c>
      <x:c r="E2393" s="1" t="str">
        <x:v>ridge</x:v>
      </x:c>
      <x:c r="F2393" s="10" t="n">
        <x:v>245</x:v>
      </x:c>
      <x:c r="G2393" s="10" t="n">
        <x:v>240.1923345002</x:v>
      </x:c>
      <x:c r="H2393" s="10" t="n">
        <x:f>ABS(G2393-F2393)</x:f>
        <x:v>4.8076654998000095</x:v>
      </x:c>
      <x:c r="I2393" s="10" t="n">
        <x:f>G2393-F2393</x:f>
        <x:v>-4.8076654998000095</x:v>
      </x:c>
    </x:row>
    <x:row r="2394" ht="20" customHeight="1">
      <x:c r="A2394" s="1" t="str">
        <x:v>85099B</x:v>
      </x:c>
      <x:c r="B2394" s="10" t="n">
        <x:v>3</x:v>
      </x:c>
      <x:c r="C2394" s="9" t="d">
        <x:v>2011-11-16T00:00:00.000Z</x:v>
      </x:c>
      <x:c r="D2394" s="9" t="d">
        <x:v>2011-11-25T00:00:00.000Z</x:v>
      </x:c>
      <x:c r="E2394" s="1" t="str">
        <x:v>ridge</x:v>
      </x:c>
      <x:c r="F2394" s="10" t="n">
        <x:v>55</x:v>
      </x:c>
      <x:c r="G2394" s="10" t="n">
        <x:v>121.4620807204</x:v>
      </x:c>
      <x:c r="H2394" s="10" t="n">
        <x:f>ABS(G2394-F2394)</x:f>
        <x:v>66.4620807204</x:v>
      </x:c>
      <x:c r="I2394" s="10" t="n">
        <x:f>G2394-F2394</x:f>
        <x:v>66.4620807204</x:v>
      </x:c>
    </x:row>
    <x:row r="2395" ht="20" customHeight="1">
      <x:c r="A2395" s="1" t="str">
        <x:v>85099B</x:v>
      </x:c>
      <x:c r="B2395" s="10" t="n">
        <x:v>3</x:v>
      </x:c>
      <x:c r="C2395" s="9" t="d">
        <x:v>2011-11-16T00:00:00.000Z</x:v>
      </x:c>
      <x:c r="D2395" s="9" t="d">
        <x:v>2011-11-26T00:00:00.000Z</x:v>
      </x:c>
      <x:c r="E2395" s="1" t="str">
        <x:v>ridge</x:v>
      </x:c>
      <x:c r="F2395" s="10" t="n">
        <x:v>0</x:v>
      </x:c>
      <x:c r="G2395" s="10" t="n">
        <x:v>52.8010523367</x:v>
      </x:c>
      <x:c r="H2395" s="10" t="n">
        <x:f>ABS(G2395-F2395)</x:f>
        <x:v>52.8010523367</x:v>
      </x:c>
      <x:c r="I2395" s="10" t="n">
        <x:f>G2395-F2395</x:f>
        <x:v>52.8010523367</x:v>
      </x:c>
    </x:row>
    <x:row r="2396" ht="20" customHeight="1">
      <x:c r="A2396" s="1" t="str">
        <x:v>85099B</x:v>
      </x:c>
      <x:c r="B2396" s="10" t="n">
        <x:v>3</x:v>
      </x:c>
      <x:c r="C2396" s="9" t="d">
        <x:v>2011-11-16T00:00:00.000Z</x:v>
      </x:c>
      <x:c r="D2396" s="9" t="d">
        <x:v>2011-11-27T00:00:00.000Z</x:v>
      </x:c>
      <x:c r="E2396" s="1" t="str">
        <x:v>ridge</x:v>
      </x:c>
      <x:c r="F2396" s="10" t="n">
        <x:v>28</x:v>
      </x:c>
      <x:c r="G2396" s="10" t="n">
        <x:v>55.7894492599</x:v>
      </x:c>
      <x:c r="H2396" s="10" t="n">
        <x:f>ABS(G2396-F2396)</x:f>
        <x:v>27.789449259900003</x:v>
      </x:c>
      <x:c r="I2396" s="10" t="n">
        <x:f>G2396-F2396</x:f>
        <x:v>27.789449259900003</x:v>
      </x:c>
    </x:row>
    <x:row r="2397" ht="20" customHeight="1">
      <x:c r="A2397" s="1" t="str">
        <x:v>85099B</x:v>
      </x:c>
      <x:c r="B2397" s="10" t="n">
        <x:v>3</x:v>
      </x:c>
      <x:c r="C2397" s="9" t="d">
        <x:v>2011-11-16T00:00:00.000Z</x:v>
      </x:c>
      <x:c r="D2397" s="9" t="d">
        <x:v>2011-11-28T00:00:00.000Z</x:v>
      </x:c>
      <x:c r="E2397" s="1" t="str">
        <x:v>ridge</x:v>
      </x:c>
      <x:c r="F2397" s="10" t="n">
        <x:v>42</x:v>
      </x:c>
      <x:c r="G2397" s="10" t="n">
        <x:v>144.0038099304</x:v>
      </x:c>
      <x:c r="H2397" s="10" t="n">
        <x:f>ABS(G2397-F2397)</x:f>
        <x:v>102.0038099304</x:v>
      </x:c>
      <x:c r="I2397" s="10" t="n">
        <x:f>G2397-F2397</x:f>
        <x:v>102.0038099304</x:v>
      </x:c>
    </x:row>
    <x:row r="2398" ht="20" customHeight="1">
      <x:c r="A2398" s="1" t="str">
        <x:v>85099B</x:v>
      </x:c>
      <x:c r="B2398" s="10" t="n">
        <x:v>3</x:v>
      </x:c>
      <x:c r="C2398" s="9" t="d">
        <x:v>2011-11-16T00:00:00.000Z</x:v>
      </x:c>
      <x:c r="D2398" s="9" t="d">
        <x:v>2011-11-29T00:00:00.000Z</x:v>
      </x:c>
      <x:c r="E2398" s="1" t="str">
        <x:v>ridge</x:v>
      </x:c>
      <x:c r="F2398" s="10" t="n">
        <x:v>165</x:v>
      </x:c>
      <x:c r="G2398" s="10" t="n">
        <x:v>209.9354405805</x:v>
      </x:c>
      <x:c r="H2398" s="10" t="n">
        <x:f>ABS(G2398-F2398)</x:f>
        <x:v>44.9354405805</x:v>
      </x:c>
      <x:c r="I2398" s="10" t="n">
        <x:f>G2398-F2398</x:f>
        <x:v>44.9354405805</x:v>
      </x:c>
    </x:row>
    <x:row r="2399" ht="20" customHeight="1">
      <x:c r="A2399" s="1" t="str">
        <x:v>85099B</x:v>
      </x:c>
      <x:c r="B2399" s="10" t="n">
        <x:v>3</x:v>
      </x:c>
      <x:c r="C2399" s="9" t="d">
        <x:v>2011-11-16T00:00:00.000Z</x:v>
      </x:c>
      <x:c r="D2399" s="9" t="d">
        <x:v>2011-11-30T00:00:00.000Z</x:v>
      </x:c>
      <x:c r="E2399" s="1" t="str">
        <x:v>ridge</x:v>
      </x:c>
      <x:c r="F2399" s="10" t="n">
        <x:v>189</x:v>
      </x:c>
      <x:c r="G2399" s="10" t="n">
        <x:v>237.8379583763</x:v>
      </x:c>
      <x:c r="H2399" s="10" t="n">
        <x:f>ABS(G2399-F2399)</x:f>
        <x:v>48.83795837630001</x:v>
      </x:c>
      <x:c r="I2399" s="10" t="n">
        <x:f>G2399-F2399</x:f>
        <x:v>48.83795837630001</x:v>
      </x:c>
    </x:row>
    <x:row r="2400" ht="20" customHeight="1">
      <x:c r="A2400" s="1" t="str">
        <x:v>85123A</x:v>
      </x:c>
      <x:c r="B2400" s="10" t="n">
        <x:v>1</x:v>
      </x:c>
      <x:c r="C2400" s="9" t="d">
        <x:v>2011-10-19T00:00:00.000Z</x:v>
      </x:c>
      <x:c r="D2400" s="9" t="d">
        <x:v>2011-10-20T00:00:00.000Z</x:v>
      </x:c>
      <x:c r="E2400" s="1" t="str">
        <x:v>naive</x:v>
      </x:c>
      <x:c r="F2400" s="10" t="n">
        <x:v>26</x:v>
      </x:c>
      <x:c r="G2400" s="10" t="n">
        <x:v>39</x:v>
      </x:c>
      <x:c r="H2400" s="10" t="n">
        <x:f>ABS(G2400-F2400)</x:f>
        <x:v>13</x:v>
      </x:c>
      <x:c r="I2400" s="10" t="n">
        <x:f>G2400-F2400</x:f>
        <x:v>13</x:v>
      </x:c>
    </x:row>
    <x:row r="2401" ht="20" customHeight="1">
      <x:c r="A2401" s="1" t="str">
        <x:v>85123A</x:v>
      </x:c>
      <x:c r="B2401" s="10" t="n">
        <x:v>1</x:v>
      </x:c>
      <x:c r="C2401" s="9" t="d">
        <x:v>2011-10-19T00:00:00.000Z</x:v>
      </x:c>
      <x:c r="D2401" s="9" t="d">
        <x:v>2011-10-21T00:00:00.000Z</x:v>
      </x:c>
      <x:c r="E2401" s="1" t="str">
        <x:v>naive</x:v>
      </x:c>
      <x:c r="F2401" s="10" t="n">
        <x:v>13</x:v>
      </x:c>
      <x:c r="G2401" s="10" t="n">
        <x:v>39</x:v>
      </x:c>
      <x:c r="H2401" s="10" t="n">
        <x:f>ABS(G2401-F2401)</x:f>
        <x:v>26</x:v>
      </x:c>
      <x:c r="I2401" s="10" t="n">
        <x:f>G2401-F2401</x:f>
        <x:v>26</x:v>
      </x:c>
    </x:row>
    <x:row r="2402" ht="20" customHeight="1">
      <x:c r="A2402" s="1" t="str">
        <x:v>85123A</x:v>
      </x:c>
      <x:c r="B2402" s="10" t="n">
        <x:v>1</x:v>
      </x:c>
      <x:c r="C2402" s="9" t="d">
        <x:v>2011-10-19T00:00:00.000Z</x:v>
      </x:c>
      <x:c r="D2402" s="9" t="d">
        <x:v>2011-10-22T00:00:00.000Z</x:v>
      </x:c>
      <x:c r="E2402" s="1" t="str">
        <x:v>naive</x:v>
      </x:c>
      <x:c r="F2402" s="10" t="n">
        <x:v>0</x:v>
      </x:c>
      <x:c r="G2402" s="10" t="n">
        <x:v>39</x:v>
      </x:c>
      <x:c r="H2402" s="10" t="n">
        <x:f>ABS(G2402-F2402)</x:f>
        <x:v>39</x:v>
      </x:c>
      <x:c r="I2402" s="10" t="n">
        <x:f>G2402-F2402</x:f>
        <x:v>39</x:v>
      </x:c>
    </x:row>
    <x:row r="2403" ht="20" customHeight="1">
      <x:c r="A2403" s="1" t="str">
        <x:v>85123A</x:v>
      </x:c>
      <x:c r="B2403" s="10" t="n">
        <x:v>1</x:v>
      </x:c>
      <x:c r="C2403" s="9" t="d">
        <x:v>2011-10-19T00:00:00.000Z</x:v>
      </x:c>
      <x:c r="D2403" s="9" t="d">
        <x:v>2011-10-23T00:00:00.000Z</x:v>
      </x:c>
      <x:c r="E2403" s="1" t="str">
        <x:v>naive</x:v>
      </x:c>
      <x:c r="F2403" s="10" t="n">
        <x:v>63</x:v>
      </x:c>
      <x:c r="G2403" s="10" t="n">
        <x:v>39</x:v>
      </x:c>
      <x:c r="H2403" s="10" t="n">
        <x:f>ABS(G2403-F2403)</x:f>
        <x:v>24</x:v>
      </x:c>
      <x:c r="I2403" s="10" t="n">
        <x:f>G2403-F2403</x:f>
        <x:v>-24</x:v>
      </x:c>
    </x:row>
    <x:row r="2404" ht="20" customHeight="1">
      <x:c r="A2404" s="1" t="str">
        <x:v>85123A</x:v>
      </x:c>
      <x:c r="B2404" s="10" t="n">
        <x:v>1</x:v>
      </x:c>
      <x:c r="C2404" s="9" t="d">
        <x:v>2011-10-19T00:00:00.000Z</x:v>
      </x:c>
      <x:c r="D2404" s="9" t="d">
        <x:v>2011-10-24T00:00:00.000Z</x:v>
      </x:c>
      <x:c r="E2404" s="1" t="str">
        <x:v>naive</x:v>
      </x:c>
      <x:c r="F2404" s="10" t="n">
        <x:v>76</x:v>
      </x:c>
      <x:c r="G2404" s="10" t="n">
        <x:v>39</x:v>
      </x:c>
      <x:c r="H2404" s="10" t="n">
        <x:f>ABS(G2404-F2404)</x:f>
        <x:v>37</x:v>
      </x:c>
      <x:c r="I2404" s="10" t="n">
        <x:f>G2404-F2404</x:f>
        <x:v>-37</x:v>
      </x:c>
    </x:row>
    <x:row r="2405" ht="20" customHeight="1">
      <x:c r="A2405" s="1" t="str">
        <x:v>85123A</x:v>
      </x:c>
      <x:c r="B2405" s="10" t="n">
        <x:v>1</x:v>
      </x:c>
      <x:c r="C2405" s="9" t="d">
        <x:v>2011-10-19T00:00:00.000Z</x:v>
      </x:c>
      <x:c r="D2405" s="9" t="d">
        <x:v>2011-10-25T00:00:00.000Z</x:v>
      </x:c>
      <x:c r="E2405" s="1" t="str">
        <x:v>naive</x:v>
      </x:c>
      <x:c r="F2405" s="10" t="n">
        <x:v>16</x:v>
      </x:c>
      <x:c r="G2405" s="10" t="n">
        <x:v>39</x:v>
      </x:c>
      <x:c r="H2405" s="10" t="n">
        <x:f>ABS(G2405-F2405)</x:f>
        <x:v>23</x:v>
      </x:c>
      <x:c r="I2405" s="10" t="n">
        <x:f>G2405-F2405</x:f>
        <x:v>23</x:v>
      </x:c>
    </x:row>
    <x:row r="2406" ht="20" customHeight="1">
      <x:c r="A2406" s="1" t="str">
        <x:v>85123A</x:v>
      </x:c>
      <x:c r="B2406" s="10" t="n">
        <x:v>1</x:v>
      </x:c>
      <x:c r="C2406" s="9" t="d">
        <x:v>2011-10-19T00:00:00.000Z</x:v>
      </x:c>
      <x:c r="D2406" s="9" t="d">
        <x:v>2011-10-26T00:00:00.000Z</x:v>
      </x:c>
      <x:c r="E2406" s="1" t="str">
        <x:v>naive</x:v>
      </x:c>
      <x:c r="F2406" s="10" t="n">
        <x:v>17</x:v>
      </x:c>
      <x:c r="G2406" s="10" t="n">
        <x:v>39</x:v>
      </x:c>
      <x:c r="H2406" s="10" t="n">
        <x:f>ABS(G2406-F2406)</x:f>
        <x:v>22</x:v>
      </x:c>
      <x:c r="I2406" s="10" t="n">
        <x:f>G2406-F2406</x:f>
        <x:v>22</x:v>
      </x:c>
    </x:row>
    <x:row r="2407" ht="20" customHeight="1">
      <x:c r="A2407" s="1" t="str">
        <x:v>85123A</x:v>
      </x:c>
      <x:c r="B2407" s="10" t="n">
        <x:v>1</x:v>
      </x:c>
      <x:c r="C2407" s="9" t="d">
        <x:v>2011-10-19T00:00:00.000Z</x:v>
      </x:c>
      <x:c r="D2407" s="9" t="d">
        <x:v>2011-10-27T00:00:00.000Z</x:v>
      </x:c>
      <x:c r="E2407" s="1" t="str">
        <x:v>naive</x:v>
      </x:c>
      <x:c r="F2407" s="10" t="n">
        <x:v>117</x:v>
      </x:c>
      <x:c r="G2407" s="10" t="n">
        <x:v>39</x:v>
      </x:c>
      <x:c r="H2407" s="10" t="n">
        <x:f>ABS(G2407-F2407)</x:f>
        <x:v>78</x:v>
      </x:c>
      <x:c r="I2407" s="10" t="n">
        <x:f>G2407-F2407</x:f>
        <x:v>-78</x:v>
      </x:c>
    </x:row>
    <x:row r="2408" ht="20" customHeight="1">
      <x:c r="A2408" s="1" t="str">
        <x:v>85123A</x:v>
      </x:c>
      <x:c r="B2408" s="10" t="n">
        <x:v>1</x:v>
      </x:c>
      <x:c r="C2408" s="9" t="d">
        <x:v>2011-10-19T00:00:00.000Z</x:v>
      </x:c>
      <x:c r="D2408" s="9" t="d">
        <x:v>2011-10-28T00:00:00.000Z</x:v>
      </x:c>
      <x:c r="E2408" s="1" t="str">
        <x:v>naive</x:v>
      </x:c>
      <x:c r="F2408" s="10" t="n">
        <x:v>90</x:v>
      </x:c>
      <x:c r="G2408" s="10" t="n">
        <x:v>39</x:v>
      </x:c>
      <x:c r="H2408" s="10" t="n">
        <x:f>ABS(G2408-F2408)</x:f>
        <x:v>51</x:v>
      </x:c>
      <x:c r="I2408" s="10" t="n">
        <x:f>G2408-F2408</x:f>
        <x:v>-51</x:v>
      </x:c>
    </x:row>
    <x:row r="2409" ht="20" customHeight="1">
      <x:c r="A2409" s="1" t="str">
        <x:v>85123A</x:v>
      </x:c>
      <x:c r="B2409" s="10" t="n">
        <x:v>1</x:v>
      </x:c>
      <x:c r="C2409" s="9" t="d">
        <x:v>2011-10-19T00:00:00.000Z</x:v>
      </x:c>
      <x:c r="D2409" s="9" t="d">
        <x:v>2011-10-29T00:00:00.000Z</x:v>
      </x:c>
      <x:c r="E2409" s="1" t="str">
        <x:v>naive</x:v>
      </x:c>
      <x:c r="F2409" s="10" t="n">
        <x:v>0</x:v>
      </x:c>
      <x:c r="G2409" s="10" t="n">
        <x:v>39</x:v>
      </x:c>
      <x:c r="H2409" s="10" t="n">
        <x:f>ABS(G2409-F2409)</x:f>
        <x:v>39</x:v>
      </x:c>
      <x:c r="I2409" s="10" t="n">
        <x:f>G2409-F2409</x:f>
        <x:v>39</x:v>
      </x:c>
    </x:row>
    <x:row r="2410" ht="20" customHeight="1">
      <x:c r="A2410" s="1" t="str">
        <x:v>85123A</x:v>
      </x:c>
      <x:c r="B2410" s="10" t="n">
        <x:v>1</x:v>
      </x:c>
      <x:c r="C2410" s="9" t="d">
        <x:v>2011-10-19T00:00:00.000Z</x:v>
      </x:c>
      <x:c r="D2410" s="9" t="d">
        <x:v>2011-10-30T00:00:00.000Z</x:v>
      </x:c>
      <x:c r="E2410" s="1" t="str">
        <x:v>naive</x:v>
      </x:c>
      <x:c r="F2410" s="10" t="n">
        <x:v>128</x:v>
      </x:c>
      <x:c r="G2410" s="10" t="n">
        <x:v>39</x:v>
      </x:c>
      <x:c r="H2410" s="10" t="n">
        <x:f>ABS(G2410-F2410)</x:f>
        <x:v>89</x:v>
      </x:c>
      <x:c r="I2410" s="10" t="n">
        <x:f>G2410-F2410</x:f>
        <x:v>-89</x:v>
      </x:c>
    </x:row>
    <x:row r="2411" ht="20" customHeight="1">
      <x:c r="A2411" s="1" t="str">
        <x:v>85123A</x:v>
      </x:c>
      <x:c r="B2411" s="10" t="n">
        <x:v>1</x:v>
      </x:c>
      <x:c r="C2411" s="9" t="d">
        <x:v>2011-10-19T00:00:00.000Z</x:v>
      </x:c>
      <x:c r="D2411" s="9" t="d">
        <x:v>2011-10-31T00:00:00.000Z</x:v>
      </x:c>
      <x:c r="E2411" s="1" t="str">
        <x:v>naive</x:v>
      </x:c>
      <x:c r="F2411" s="10" t="n">
        <x:v>147</x:v>
      </x:c>
      <x:c r="G2411" s="10" t="n">
        <x:v>39</x:v>
      </x:c>
      <x:c r="H2411" s="10" t="n">
        <x:f>ABS(G2411-F2411)</x:f>
        <x:v>108</x:v>
      </x:c>
      <x:c r="I2411" s="10" t="n">
        <x:f>G2411-F2411</x:f>
        <x:v>-108</x:v>
      </x:c>
    </x:row>
    <x:row r="2412" ht="20" customHeight="1">
      <x:c r="A2412" s="1" t="str">
        <x:v>85123A</x:v>
      </x:c>
      <x:c r="B2412" s="10" t="n">
        <x:v>1</x:v>
      </x:c>
      <x:c r="C2412" s="9" t="d">
        <x:v>2011-10-19T00:00:00.000Z</x:v>
      </x:c>
      <x:c r="D2412" s="9" t="d">
        <x:v>2011-11-01T00:00:00.000Z</x:v>
      </x:c>
      <x:c r="E2412" s="1" t="str">
        <x:v>naive</x:v>
      </x:c>
      <x:c r="F2412" s="10" t="n">
        <x:v>39</x:v>
      </x:c>
      <x:c r="G2412" s="10" t="n">
        <x:v>39</x:v>
      </x:c>
      <x:c r="H2412" s="10" t="n">
        <x:f>ABS(G2412-F2412)</x:f>
        <x:v>0</x:v>
      </x:c>
      <x:c r="I2412" s="10" t="n">
        <x:f>G2412-F2412</x:f>
        <x:v>0</x:v>
      </x:c>
    </x:row>
    <x:row r="2413" ht="20" customHeight="1">
      <x:c r="A2413" s="1" t="str">
        <x:v>85123A</x:v>
      </x:c>
      <x:c r="B2413" s="10" t="n">
        <x:v>1</x:v>
      </x:c>
      <x:c r="C2413" s="9" t="d">
        <x:v>2011-10-19T00:00:00.000Z</x:v>
      </x:c>
      <x:c r="D2413" s="9" t="d">
        <x:v>2011-11-02T00:00:00.000Z</x:v>
      </x:c>
      <x:c r="E2413" s="1" t="str">
        <x:v>naive</x:v>
      </x:c>
      <x:c r="F2413" s="10" t="n">
        <x:v>80</x:v>
      </x:c>
      <x:c r="G2413" s="10" t="n">
        <x:v>39</x:v>
      </x:c>
      <x:c r="H2413" s="10" t="n">
        <x:f>ABS(G2413-F2413)</x:f>
        <x:v>41</x:v>
      </x:c>
      <x:c r="I2413" s="10" t="n">
        <x:f>G2413-F2413</x:f>
        <x:v>-41</x:v>
      </x:c>
    </x:row>
    <x:row r="2414" ht="20" customHeight="1">
      <x:c r="A2414" s="1" t="str">
        <x:v>85123A</x:v>
      </x:c>
      <x:c r="B2414" s="10" t="n">
        <x:v>1</x:v>
      </x:c>
      <x:c r="C2414" s="9" t="d">
        <x:v>2011-10-19T00:00:00.000Z</x:v>
      </x:c>
      <x:c r="D2414" s="9" t="d">
        <x:v>2011-10-20T00:00:00.000Z</x:v>
      </x:c>
      <x:c r="E2414" s="1" t="str">
        <x:v>seasonal_naive</x:v>
      </x:c>
      <x:c r="F2414" s="10" t="n">
        <x:v>26</x:v>
      </x:c>
      <x:c r="G2414" s="10" t="n">
        <x:v>243</x:v>
      </x:c>
      <x:c r="H2414" s="10" t="n">
        <x:f>ABS(G2414-F2414)</x:f>
        <x:v>217</x:v>
      </x:c>
      <x:c r="I2414" s="10" t="n">
        <x:f>G2414-F2414</x:f>
        <x:v>217</x:v>
      </x:c>
    </x:row>
    <x:row r="2415" ht="20" customHeight="1">
      <x:c r="A2415" s="1" t="str">
        <x:v>85123A</x:v>
      </x:c>
      <x:c r="B2415" s="10" t="n">
        <x:v>1</x:v>
      </x:c>
      <x:c r="C2415" s="9" t="d">
        <x:v>2011-10-19T00:00:00.000Z</x:v>
      </x:c>
      <x:c r="D2415" s="9" t="d">
        <x:v>2011-10-21T00:00:00.000Z</x:v>
      </x:c>
      <x:c r="E2415" s="1" t="str">
        <x:v>seasonal_naive</x:v>
      </x:c>
      <x:c r="F2415" s="10" t="n">
        <x:v>13</x:v>
      </x:c>
      <x:c r="G2415" s="10" t="n">
        <x:v>187</x:v>
      </x:c>
      <x:c r="H2415" s="10" t="n">
        <x:f>ABS(G2415-F2415)</x:f>
        <x:v>174</x:v>
      </x:c>
      <x:c r="I2415" s="10" t="n">
        <x:f>G2415-F2415</x:f>
        <x:v>174</x:v>
      </x:c>
    </x:row>
    <x:row r="2416" ht="20" customHeight="1">
      <x:c r="A2416" s="1" t="str">
        <x:v>85123A</x:v>
      </x:c>
      <x:c r="B2416" s="10" t="n">
        <x:v>1</x:v>
      </x:c>
      <x:c r="C2416" s="9" t="d">
        <x:v>2011-10-19T00:00:00.000Z</x:v>
      </x:c>
      <x:c r="D2416" s="9" t="d">
        <x:v>2011-10-22T00:00:00.000Z</x:v>
      </x:c>
      <x:c r="E2416" s="1" t="str">
        <x:v>seasonal_naive</x:v>
      </x:c>
      <x:c r="F2416" s="10" t="n">
        <x:v>0</x:v>
      </x:c>
      <x:c r="G2416" s="10" t="n">
        <x:v>0</x:v>
      </x:c>
      <x:c r="H2416" s="10" t="n">
        <x:f>ABS(G2416-F2416)</x:f>
        <x:v>0</x:v>
      </x:c>
      <x:c r="I2416" s="10" t="n">
        <x:f>G2416-F2416</x:f>
        <x:v>0</x:v>
      </x:c>
    </x:row>
    <x:row r="2417" ht="20" customHeight="1">
      <x:c r="A2417" s="1" t="str">
        <x:v>85123A</x:v>
      </x:c>
      <x:c r="B2417" s="10" t="n">
        <x:v>1</x:v>
      </x:c>
      <x:c r="C2417" s="9" t="d">
        <x:v>2011-10-19T00:00:00.000Z</x:v>
      </x:c>
      <x:c r="D2417" s="9" t="d">
        <x:v>2011-10-23T00:00:00.000Z</x:v>
      </x:c>
      <x:c r="E2417" s="1" t="str">
        <x:v>seasonal_naive</x:v>
      </x:c>
      <x:c r="F2417" s="10" t="n">
        <x:v>63</x:v>
      </x:c>
      <x:c r="G2417" s="10" t="n">
        <x:v>55</x:v>
      </x:c>
      <x:c r="H2417" s="10" t="n">
        <x:f>ABS(G2417-F2417)</x:f>
        <x:v>8</x:v>
      </x:c>
      <x:c r="I2417" s="10" t="n">
        <x:f>G2417-F2417</x:f>
        <x:v>-8</x:v>
      </x:c>
    </x:row>
    <x:row r="2418" ht="20" customHeight="1">
      <x:c r="A2418" s="1" t="str">
        <x:v>85123A</x:v>
      </x:c>
      <x:c r="B2418" s="10" t="n">
        <x:v>1</x:v>
      </x:c>
      <x:c r="C2418" s="9" t="d">
        <x:v>2011-10-19T00:00:00.000Z</x:v>
      </x:c>
      <x:c r="D2418" s="9" t="d">
        <x:v>2011-10-24T00:00:00.000Z</x:v>
      </x:c>
      <x:c r="E2418" s="1" t="str">
        <x:v>seasonal_naive</x:v>
      </x:c>
      <x:c r="F2418" s="10" t="n">
        <x:v>76</x:v>
      </x:c>
      <x:c r="G2418" s="10" t="n">
        <x:v>69</x:v>
      </x:c>
      <x:c r="H2418" s="10" t="n">
        <x:f>ABS(G2418-F2418)</x:f>
        <x:v>7</x:v>
      </x:c>
      <x:c r="I2418" s="10" t="n">
        <x:f>G2418-F2418</x:f>
        <x:v>-7</x:v>
      </x:c>
    </x:row>
    <x:row r="2419" ht="20" customHeight="1">
      <x:c r="A2419" s="1" t="str">
        <x:v>85123A</x:v>
      </x:c>
      <x:c r="B2419" s="10" t="n">
        <x:v>1</x:v>
      </x:c>
      <x:c r="C2419" s="9" t="d">
        <x:v>2011-10-19T00:00:00.000Z</x:v>
      </x:c>
      <x:c r="D2419" s="9" t="d">
        <x:v>2011-10-25T00:00:00.000Z</x:v>
      </x:c>
      <x:c r="E2419" s="1" t="str">
        <x:v>seasonal_naive</x:v>
      </x:c>
      <x:c r="F2419" s="10" t="n">
        <x:v>16</x:v>
      </x:c>
      <x:c r="G2419" s="10" t="n">
        <x:v>21</x:v>
      </x:c>
      <x:c r="H2419" s="10" t="n">
        <x:f>ABS(G2419-F2419)</x:f>
        <x:v>5</x:v>
      </x:c>
      <x:c r="I2419" s="10" t="n">
        <x:f>G2419-F2419</x:f>
        <x:v>5</x:v>
      </x:c>
    </x:row>
    <x:row r="2420" ht="20" customHeight="1">
      <x:c r="A2420" s="1" t="str">
        <x:v>85123A</x:v>
      </x:c>
      <x:c r="B2420" s="10" t="n">
        <x:v>1</x:v>
      </x:c>
      <x:c r="C2420" s="9" t="d">
        <x:v>2011-10-19T00:00:00.000Z</x:v>
      </x:c>
      <x:c r="D2420" s="9" t="d">
        <x:v>2011-10-26T00:00:00.000Z</x:v>
      </x:c>
      <x:c r="E2420" s="1" t="str">
        <x:v>seasonal_naive</x:v>
      </x:c>
      <x:c r="F2420" s="10" t="n">
        <x:v>17</x:v>
      </x:c>
      <x:c r="G2420" s="10" t="n">
        <x:v>39</x:v>
      </x:c>
      <x:c r="H2420" s="10" t="n">
        <x:f>ABS(G2420-F2420)</x:f>
        <x:v>22</x:v>
      </x:c>
      <x:c r="I2420" s="10" t="n">
        <x:f>G2420-F2420</x:f>
        <x:v>22</x:v>
      </x:c>
    </x:row>
    <x:row r="2421" ht="20" customHeight="1">
      <x:c r="A2421" s="1" t="str">
        <x:v>85123A</x:v>
      </x:c>
      <x:c r="B2421" s="10" t="n">
        <x:v>1</x:v>
      </x:c>
      <x:c r="C2421" s="9" t="d">
        <x:v>2011-10-19T00:00:00.000Z</x:v>
      </x:c>
      <x:c r="D2421" s="9" t="d">
        <x:v>2011-10-27T00:00:00.000Z</x:v>
      </x:c>
      <x:c r="E2421" s="1" t="str">
        <x:v>seasonal_naive</x:v>
      </x:c>
      <x:c r="F2421" s="10" t="n">
        <x:v>117</x:v>
      </x:c>
      <x:c r="G2421" s="10" t="n">
        <x:v>243</x:v>
      </x:c>
      <x:c r="H2421" s="10" t="n">
        <x:f>ABS(G2421-F2421)</x:f>
        <x:v>126</x:v>
      </x:c>
      <x:c r="I2421" s="10" t="n">
        <x:f>G2421-F2421</x:f>
        <x:v>126</x:v>
      </x:c>
    </x:row>
    <x:row r="2422" ht="20" customHeight="1">
      <x:c r="A2422" s="1" t="str">
        <x:v>85123A</x:v>
      </x:c>
      <x:c r="B2422" s="10" t="n">
        <x:v>1</x:v>
      </x:c>
      <x:c r="C2422" s="9" t="d">
        <x:v>2011-10-19T00:00:00.000Z</x:v>
      </x:c>
      <x:c r="D2422" s="9" t="d">
        <x:v>2011-10-28T00:00:00.000Z</x:v>
      </x:c>
      <x:c r="E2422" s="1" t="str">
        <x:v>seasonal_naive</x:v>
      </x:c>
      <x:c r="F2422" s="10" t="n">
        <x:v>90</x:v>
      </x:c>
      <x:c r="G2422" s="10" t="n">
        <x:v>187</x:v>
      </x:c>
      <x:c r="H2422" s="10" t="n">
        <x:f>ABS(G2422-F2422)</x:f>
        <x:v>97</x:v>
      </x:c>
      <x:c r="I2422" s="10" t="n">
        <x:f>G2422-F2422</x:f>
        <x:v>97</x:v>
      </x:c>
    </x:row>
    <x:row r="2423" ht="20" customHeight="1">
      <x:c r="A2423" s="1" t="str">
        <x:v>85123A</x:v>
      </x:c>
      <x:c r="B2423" s="10" t="n">
        <x:v>1</x:v>
      </x:c>
      <x:c r="C2423" s="9" t="d">
        <x:v>2011-10-19T00:00:00.000Z</x:v>
      </x:c>
      <x:c r="D2423" s="9" t="d">
        <x:v>2011-10-29T00:00:00.000Z</x:v>
      </x:c>
      <x:c r="E2423" s="1" t="str">
        <x:v>seasonal_naive</x:v>
      </x:c>
      <x:c r="F2423" s="10" t="n">
        <x:v>0</x:v>
      </x:c>
      <x:c r="G2423" s="10" t="n">
        <x:v>0</x:v>
      </x:c>
      <x:c r="H2423" s="10" t="n">
        <x:f>ABS(G2423-F2423)</x:f>
        <x:v>0</x:v>
      </x:c>
      <x:c r="I2423" s="10" t="n">
        <x:f>G2423-F2423</x:f>
        <x:v>0</x:v>
      </x:c>
    </x:row>
    <x:row r="2424" ht="20" customHeight="1">
      <x:c r="A2424" s="1" t="str">
        <x:v>85123A</x:v>
      </x:c>
      <x:c r="B2424" s="10" t="n">
        <x:v>1</x:v>
      </x:c>
      <x:c r="C2424" s="9" t="d">
        <x:v>2011-10-19T00:00:00.000Z</x:v>
      </x:c>
      <x:c r="D2424" s="9" t="d">
        <x:v>2011-10-30T00:00:00.000Z</x:v>
      </x:c>
      <x:c r="E2424" s="1" t="str">
        <x:v>seasonal_naive</x:v>
      </x:c>
      <x:c r="F2424" s="10" t="n">
        <x:v>128</x:v>
      </x:c>
      <x:c r="G2424" s="10" t="n">
        <x:v>55</x:v>
      </x:c>
      <x:c r="H2424" s="10" t="n">
        <x:f>ABS(G2424-F2424)</x:f>
        <x:v>73</x:v>
      </x:c>
      <x:c r="I2424" s="10" t="n">
        <x:f>G2424-F2424</x:f>
        <x:v>-73</x:v>
      </x:c>
    </x:row>
    <x:row r="2425" ht="20" customHeight="1">
      <x:c r="A2425" s="1" t="str">
        <x:v>85123A</x:v>
      </x:c>
      <x:c r="B2425" s="10" t="n">
        <x:v>1</x:v>
      </x:c>
      <x:c r="C2425" s="9" t="d">
        <x:v>2011-10-19T00:00:00.000Z</x:v>
      </x:c>
      <x:c r="D2425" s="9" t="d">
        <x:v>2011-10-31T00:00:00.000Z</x:v>
      </x:c>
      <x:c r="E2425" s="1" t="str">
        <x:v>seasonal_naive</x:v>
      </x:c>
      <x:c r="F2425" s="10" t="n">
        <x:v>147</x:v>
      </x:c>
      <x:c r="G2425" s="10" t="n">
        <x:v>69</x:v>
      </x:c>
      <x:c r="H2425" s="10" t="n">
        <x:f>ABS(G2425-F2425)</x:f>
        <x:v>78</x:v>
      </x:c>
      <x:c r="I2425" s="10" t="n">
        <x:f>G2425-F2425</x:f>
        <x:v>-78</x:v>
      </x:c>
    </x:row>
    <x:row r="2426" ht="20" customHeight="1">
      <x:c r="A2426" s="1" t="str">
        <x:v>85123A</x:v>
      </x:c>
      <x:c r="B2426" s="10" t="n">
        <x:v>1</x:v>
      </x:c>
      <x:c r="C2426" s="9" t="d">
        <x:v>2011-10-19T00:00:00.000Z</x:v>
      </x:c>
      <x:c r="D2426" s="9" t="d">
        <x:v>2011-11-01T00:00:00.000Z</x:v>
      </x:c>
      <x:c r="E2426" s="1" t="str">
        <x:v>seasonal_naive</x:v>
      </x:c>
      <x:c r="F2426" s="10" t="n">
        <x:v>39</x:v>
      </x:c>
      <x:c r="G2426" s="10" t="n">
        <x:v>21</x:v>
      </x:c>
      <x:c r="H2426" s="10" t="n">
        <x:f>ABS(G2426-F2426)</x:f>
        <x:v>18</x:v>
      </x:c>
      <x:c r="I2426" s="10" t="n">
        <x:f>G2426-F2426</x:f>
        <x:v>-18</x:v>
      </x:c>
    </x:row>
    <x:row r="2427" ht="20" customHeight="1">
      <x:c r="A2427" s="1" t="str">
        <x:v>85123A</x:v>
      </x:c>
      <x:c r="B2427" s="10" t="n">
        <x:v>1</x:v>
      </x:c>
      <x:c r="C2427" s="9" t="d">
        <x:v>2011-10-19T00:00:00.000Z</x:v>
      </x:c>
      <x:c r="D2427" s="9" t="d">
        <x:v>2011-11-02T00:00:00.000Z</x:v>
      </x:c>
      <x:c r="E2427" s="1" t="str">
        <x:v>seasonal_naive</x:v>
      </x:c>
      <x:c r="F2427" s="10" t="n">
        <x:v>80</x:v>
      </x:c>
      <x:c r="G2427" s="10" t="n">
        <x:v>39</x:v>
      </x:c>
      <x:c r="H2427" s="10" t="n">
        <x:f>ABS(G2427-F2427)</x:f>
        <x:v>41</x:v>
      </x:c>
      <x:c r="I2427" s="10" t="n">
        <x:f>G2427-F2427</x:f>
        <x:v>-41</x:v>
      </x:c>
    </x:row>
    <x:row r="2428" ht="20" customHeight="1">
      <x:c r="A2428" s="1" t="str">
        <x:v>85123A</x:v>
      </x:c>
      <x:c r="B2428" s="10" t="n">
        <x:v>1</x:v>
      </x:c>
      <x:c r="C2428" s="9" t="d">
        <x:v>2011-10-19T00:00:00.000Z</x:v>
      </x:c>
      <x:c r="D2428" s="9" t="d">
        <x:v>2011-10-20T00:00:00.000Z</x:v>
      </x:c>
      <x:c r="E2428" s="1" t="str">
        <x:v>ridge</x:v>
      </x:c>
      <x:c r="F2428" s="10" t="n">
        <x:v>26</x:v>
      </x:c>
      <x:c r="G2428" s="10" t="n">
        <x:v>101.3426135314</x:v>
      </x:c>
      <x:c r="H2428" s="10" t="n">
        <x:f>ABS(G2428-F2428)</x:f>
        <x:v>75.3426135314</x:v>
      </x:c>
      <x:c r="I2428" s="10" t="n">
        <x:f>G2428-F2428</x:f>
        <x:v>75.3426135314</x:v>
      </x:c>
    </x:row>
    <x:row r="2429" ht="20" customHeight="1">
      <x:c r="A2429" s="1" t="str">
        <x:v>85123A</x:v>
      </x:c>
      <x:c r="B2429" s="10" t="n">
        <x:v>1</x:v>
      </x:c>
      <x:c r="C2429" s="9" t="d">
        <x:v>2011-10-19T00:00:00.000Z</x:v>
      </x:c>
      <x:c r="D2429" s="9" t="d">
        <x:v>2011-10-21T00:00:00.000Z</x:v>
      </x:c>
      <x:c r="E2429" s="1" t="str">
        <x:v>ridge</x:v>
      </x:c>
      <x:c r="F2429" s="10" t="n">
        <x:v>13</x:v>
      </x:c>
      <x:c r="G2429" s="10" t="n">
        <x:v>37.1058014984</x:v>
      </x:c>
      <x:c r="H2429" s="10" t="n">
        <x:f>ABS(G2429-F2429)</x:f>
        <x:v>24.105801498399998</x:v>
      </x:c>
      <x:c r="I2429" s="10" t="n">
        <x:f>G2429-F2429</x:f>
        <x:v>24.105801498399998</x:v>
      </x:c>
    </x:row>
    <x:row r="2430" ht="20" customHeight="1">
      <x:c r="A2430" s="1" t="str">
        <x:v>85123A</x:v>
      </x:c>
      <x:c r="B2430" s="10" t="n">
        <x:v>1</x:v>
      </x:c>
      <x:c r="C2430" s="9" t="d">
        <x:v>2011-10-19T00:00:00.000Z</x:v>
      </x:c>
      <x:c r="D2430" s="9" t="d">
        <x:v>2011-10-22T00:00:00.000Z</x:v>
      </x:c>
      <x:c r="E2430" s="1" t="str">
        <x:v>ridge</x:v>
      </x:c>
      <x:c r="F2430" s="10" t="n">
        <x:v>0</x:v>
      </x:c>
      <x:c r="G2430" s="10" t="n">
        <x:v>27.4887173852</x:v>
      </x:c>
      <x:c r="H2430" s="10" t="n">
        <x:f>ABS(G2430-F2430)</x:f>
        <x:v>27.4887173852</x:v>
      </x:c>
      <x:c r="I2430" s="10" t="n">
        <x:f>G2430-F2430</x:f>
        <x:v>27.4887173852</x:v>
      </x:c>
    </x:row>
    <x:row r="2431" ht="20" customHeight="1">
      <x:c r="A2431" s="1" t="str">
        <x:v>85123A</x:v>
      </x:c>
      <x:c r="B2431" s="10" t="n">
        <x:v>1</x:v>
      </x:c>
      <x:c r="C2431" s="9" t="d">
        <x:v>2011-10-19T00:00:00.000Z</x:v>
      </x:c>
      <x:c r="D2431" s="9" t="d">
        <x:v>2011-10-23T00:00:00.000Z</x:v>
      </x:c>
      <x:c r="E2431" s="1" t="str">
        <x:v>ridge</x:v>
      </x:c>
      <x:c r="F2431" s="10" t="n">
        <x:v>63</x:v>
      </x:c>
      <x:c r="G2431" s="10" t="n">
        <x:v>58.0212521577</x:v>
      </x:c>
      <x:c r="H2431" s="10" t="n">
        <x:f>ABS(G2431-F2431)</x:f>
        <x:v>4.9787478423000024</x:v>
      </x:c>
      <x:c r="I2431" s="10" t="n">
        <x:f>G2431-F2431</x:f>
        <x:v>-4.9787478423000024</x:v>
      </x:c>
    </x:row>
    <x:row r="2432" ht="20" customHeight="1">
      <x:c r="A2432" s="1" t="str">
        <x:v>85123A</x:v>
      </x:c>
      <x:c r="B2432" s="10" t="n">
        <x:v>1</x:v>
      </x:c>
      <x:c r="C2432" s="9" t="d">
        <x:v>2011-10-19T00:00:00.000Z</x:v>
      </x:c>
      <x:c r="D2432" s="9" t="d">
        <x:v>2011-10-24T00:00:00.000Z</x:v>
      </x:c>
      <x:c r="E2432" s="1" t="str">
        <x:v>ridge</x:v>
      </x:c>
      <x:c r="F2432" s="10" t="n">
        <x:v>76</x:v>
      </x:c>
      <x:c r="G2432" s="10" t="n">
        <x:v>113.6956520528</x:v>
      </x:c>
      <x:c r="H2432" s="10" t="n">
        <x:f>ABS(G2432-F2432)</x:f>
        <x:v>37.6956520528</x:v>
      </x:c>
      <x:c r="I2432" s="10" t="n">
        <x:f>G2432-F2432</x:f>
        <x:v>37.6956520528</x:v>
      </x:c>
    </x:row>
    <x:row r="2433" ht="20" customHeight="1">
      <x:c r="A2433" s="1" t="str">
        <x:v>85123A</x:v>
      </x:c>
      <x:c r="B2433" s="10" t="n">
        <x:v>1</x:v>
      </x:c>
      <x:c r="C2433" s="9" t="d">
        <x:v>2011-10-19T00:00:00.000Z</x:v>
      </x:c>
      <x:c r="D2433" s="9" t="d">
        <x:v>2011-10-25T00:00:00.000Z</x:v>
      </x:c>
      <x:c r="E2433" s="1" t="str">
        <x:v>ridge</x:v>
      </x:c>
      <x:c r="F2433" s="10" t="n">
        <x:v>16</x:v>
      </x:c>
      <x:c r="G2433" s="10" t="n">
        <x:v>161.9483540603</x:v>
      </x:c>
      <x:c r="H2433" s="10" t="n">
        <x:f>ABS(G2433-F2433)</x:f>
        <x:v>145.9483540603</x:v>
      </x:c>
      <x:c r="I2433" s="10" t="n">
        <x:f>G2433-F2433</x:f>
        <x:v>145.9483540603</x:v>
      </x:c>
    </x:row>
    <x:row r="2434" ht="20" customHeight="1">
      <x:c r="A2434" s="1" t="str">
        <x:v>85123A</x:v>
      </x:c>
      <x:c r="B2434" s="10" t="n">
        <x:v>1</x:v>
      </x:c>
      <x:c r="C2434" s="9" t="d">
        <x:v>2011-10-19T00:00:00.000Z</x:v>
      </x:c>
      <x:c r="D2434" s="9" t="d">
        <x:v>2011-10-26T00:00:00.000Z</x:v>
      </x:c>
      <x:c r="E2434" s="1" t="str">
        <x:v>ridge</x:v>
      </x:c>
      <x:c r="F2434" s="10" t="n">
        <x:v>17</x:v>
      </x:c>
      <x:c r="G2434" s="10" t="n">
        <x:v>154.9821756854</x:v>
      </x:c>
      <x:c r="H2434" s="10" t="n">
        <x:f>ABS(G2434-F2434)</x:f>
        <x:v>137.9821756854</x:v>
      </x:c>
      <x:c r="I2434" s="10" t="n">
        <x:f>G2434-F2434</x:f>
        <x:v>137.9821756854</x:v>
      </x:c>
    </x:row>
    <x:row r="2435" ht="20" customHeight="1">
      <x:c r="A2435" s="1" t="str">
        <x:v>85123A</x:v>
      </x:c>
      <x:c r="B2435" s="10" t="n">
        <x:v>1</x:v>
      </x:c>
      <x:c r="C2435" s="9" t="d">
        <x:v>2011-10-19T00:00:00.000Z</x:v>
      </x:c>
      <x:c r="D2435" s="9" t="d">
        <x:v>2011-10-27T00:00:00.000Z</x:v>
      </x:c>
      <x:c r="E2435" s="1" t="str">
        <x:v>ridge</x:v>
      </x:c>
      <x:c r="F2435" s="10" t="n">
        <x:v>117</x:v>
      </x:c>
      <x:c r="G2435" s="10" t="n">
        <x:v>90.9360372759</x:v>
      </x:c>
      <x:c r="H2435" s="10" t="n">
        <x:f>ABS(G2435-F2435)</x:f>
        <x:v>26.063962724099994</x:v>
      </x:c>
      <x:c r="I2435" s="10" t="n">
        <x:f>G2435-F2435</x:f>
        <x:v>-26.063962724099994</x:v>
      </x:c>
    </x:row>
    <x:row r="2436" ht="20" customHeight="1">
      <x:c r="A2436" s="1" t="str">
        <x:v>85123A</x:v>
      </x:c>
      <x:c r="B2436" s="10" t="n">
        <x:v>1</x:v>
      </x:c>
      <x:c r="C2436" s="9" t="d">
        <x:v>2011-10-19T00:00:00.000Z</x:v>
      </x:c>
      <x:c r="D2436" s="9" t="d">
        <x:v>2011-10-28T00:00:00.000Z</x:v>
      </x:c>
      <x:c r="E2436" s="1" t="str">
        <x:v>ridge</x:v>
      </x:c>
      <x:c r="F2436" s="10" t="n">
        <x:v>90</x:v>
      </x:c>
      <x:c r="G2436" s="10" t="n">
        <x:v>40.5127065913</x:v>
      </x:c>
      <x:c r="H2436" s="10" t="n">
        <x:f>ABS(G2436-F2436)</x:f>
        <x:v>49.4872934087</x:v>
      </x:c>
      <x:c r="I2436" s="10" t="n">
        <x:f>G2436-F2436</x:f>
        <x:v>-49.4872934087</x:v>
      </x:c>
    </x:row>
    <x:row r="2437" ht="20" customHeight="1">
      <x:c r="A2437" s="1" t="str">
        <x:v>85123A</x:v>
      </x:c>
      <x:c r="B2437" s="10" t="n">
        <x:v>1</x:v>
      </x:c>
      <x:c r="C2437" s="9" t="d">
        <x:v>2011-10-19T00:00:00.000Z</x:v>
      </x:c>
      <x:c r="D2437" s="9" t="d">
        <x:v>2011-10-29T00:00:00.000Z</x:v>
      </x:c>
      <x:c r="E2437" s="1" t="str">
        <x:v>ridge</x:v>
      </x:c>
      <x:c r="F2437" s="10" t="n">
        <x:v>0</x:v>
      </x:c>
      <x:c r="G2437" s="10" t="n">
        <x:v>31.7773091457</x:v>
      </x:c>
      <x:c r="H2437" s="10" t="n">
        <x:f>ABS(G2437-F2437)</x:f>
        <x:v>31.7773091457</x:v>
      </x:c>
      <x:c r="I2437" s="10" t="n">
        <x:f>G2437-F2437</x:f>
        <x:v>31.7773091457</x:v>
      </x:c>
    </x:row>
    <x:row r="2438" ht="20" customHeight="1">
      <x:c r="A2438" s="1" t="str">
        <x:v>85123A</x:v>
      </x:c>
      <x:c r="B2438" s="10" t="n">
        <x:v>1</x:v>
      </x:c>
      <x:c r="C2438" s="9" t="d">
        <x:v>2011-10-19T00:00:00.000Z</x:v>
      </x:c>
      <x:c r="D2438" s="9" t="d">
        <x:v>2011-10-30T00:00:00.000Z</x:v>
      </x:c>
      <x:c r="E2438" s="1" t="str">
        <x:v>ridge</x:v>
      </x:c>
      <x:c r="F2438" s="10" t="n">
        <x:v>128</x:v>
      </x:c>
      <x:c r="G2438" s="10" t="n">
        <x:v>61.6090484359</x:v>
      </x:c>
      <x:c r="H2438" s="10" t="n">
        <x:f>ABS(G2438-F2438)</x:f>
        <x:v>66.39095156409999</x:v>
      </x:c>
      <x:c r="I2438" s="10" t="n">
        <x:f>G2438-F2438</x:f>
        <x:v>-66.39095156409999</x:v>
      </x:c>
    </x:row>
    <x:row r="2439" ht="20" customHeight="1">
      <x:c r="A2439" s="1" t="str">
        <x:v>85123A</x:v>
      </x:c>
      <x:c r="B2439" s="10" t="n">
        <x:v>1</x:v>
      </x:c>
      <x:c r="C2439" s="9" t="d">
        <x:v>2011-10-19T00:00:00.000Z</x:v>
      </x:c>
      <x:c r="D2439" s="9" t="d">
        <x:v>2011-10-31T00:00:00.000Z</x:v>
      </x:c>
      <x:c r="E2439" s="1" t="str">
        <x:v>ridge</x:v>
      </x:c>
      <x:c r="F2439" s="10" t="n">
        <x:v>147</x:v>
      </x:c>
      <x:c r="G2439" s="10" t="n">
        <x:v>119.2770683051</x:v>
      </x:c>
      <x:c r="H2439" s="10" t="n">
        <x:f>ABS(G2439-F2439)</x:f>
        <x:v>27.722931694899998</x:v>
      </x:c>
      <x:c r="I2439" s="10" t="n">
        <x:f>G2439-F2439</x:f>
        <x:v>-27.722931694899998</x:v>
      </x:c>
    </x:row>
    <x:row r="2440" ht="20" customHeight="1">
      <x:c r="A2440" s="1" t="str">
        <x:v>85123A</x:v>
      </x:c>
      <x:c r="B2440" s="10" t="n">
        <x:v>1</x:v>
      </x:c>
      <x:c r="C2440" s="9" t="d">
        <x:v>2011-10-19T00:00:00.000Z</x:v>
      </x:c>
      <x:c r="D2440" s="9" t="d">
        <x:v>2011-11-01T00:00:00.000Z</x:v>
      </x:c>
      <x:c r="E2440" s="1" t="str">
        <x:v>ridge</x:v>
      </x:c>
      <x:c r="F2440" s="10" t="n">
        <x:v>39</x:v>
      </x:c>
      <x:c r="G2440" s="10" t="n">
        <x:v>160.774552812</x:v>
      </x:c>
      <x:c r="H2440" s="10" t="n">
        <x:f>ABS(G2440-F2440)</x:f>
        <x:v>121.774552812</x:v>
      </x:c>
      <x:c r="I2440" s="10" t="n">
        <x:f>G2440-F2440</x:f>
        <x:v>121.774552812</x:v>
      </x:c>
    </x:row>
    <x:row r="2441" ht="20" customHeight="1">
      <x:c r="A2441" s="1" t="str">
        <x:v>85123A</x:v>
      </x:c>
      <x:c r="B2441" s="10" t="n">
        <x:v>1</x:v>
      </x:c>
      <x:c r="C2441" s="9" t="d">
        <x:v>2011-10-19T00:00:00.000Z</x:v>
      </x:c>
      <x:c r="D2441" s="9" t="d">
        <x:v>2011-11-02T00:00:00.000Z</x:v>
      </x:c>
      <x:c r="E2441" s="1" t="str">
        <x:v>ridge</x:v>
      </x:c>
      <x:c r="F2441" s="10" t="n">
        <x:v>80</x:v>
      </x:c>
      <x:c r="G2441" s="10" t="n">
        <x:v>150.9418045829</x:v>
      </x:c>
      <x:c r="H2441" s="10" t="n">
        <x:f>ABS(G2441-F2441)</x:f>
        <x:v>70.9418045829</x:v>
      </x:c>
      <x:c r="I2441" s="10" t="n">
        <x:f>G2441-F2441</x:f>
        <x:v>70.9418045829</x:v>
      </x:c>
    </x:row>
    <x:row r="2442" ht="20" customHeight="1">
      <x:c r="A2442" s="1" t="str">
        <x:v>85123A</x:v>
      </x:c>
      <x:c r="B2442" s="10" t="n">
        <x:v>2</x:v>
      </x:c>
      <x:c r="C2442" s="9" t="d">
        <x:v>2011-11-02T00:00:00.000Z</x:v>
      </x:c>
      <x:c r="D2442" s="9" t="d">
        <x:v>2011-11-03T00:00:00.000Z</x:v>
      </x:c>
      <x:c r="E2442" s="1" t="str">
        <x:v>naive</x:v>
      </x:c>
      <x:c r="F2442" s="10" t="n">
        <x:v>1265</x:v>
      </x:c>
      <x:c r="G2442" s="10" t="n">
        <x:v>80</x:v>
      </x:c>
      <x:c r="H2442" s="10" t="n">
        <x:f>ABS(G2442-F2442)</x:f>
        <x:v>1185</x:v>
      </x:c>
      <x:c r="I2442" s="10" t="n">
        <x:f>G2442-F2442</x:f>
        <x:v>-1185</x:v>
      </x:c>
    </x:row>
    <x:row r="2443" ht="20" customHeight="1">
      <x:c r="A2443" s="1" t="str">
        <x:v>85123A</x:v>
      </x:c>
      <x:c r="B2443" s="10" t="n">
        <x:v>2</x:v>
      </x:c>
      <x:c r="C2443" s="9" t="d">
        <x:v>2011-11-02T00:00:00.000Z</x:v>
      </x:c>
      <x:c r="D2443" s="9" t="d">
        <x:v>2011-11-04T00:00:00.000Z</x:v>
      </x:c>
      <x:c r="E2443" s="1" t="str">
        <x:v>naive</x:v>
      </x:c>
      <x:c r="F2443" s="10" t="n">
        <x:v>85</x:v>
      </x:c>
      <x:c r="G2443" s="10" t="n">
        <x:v>80</x:v>
      </x:c>
      <x:c r="H2443" s="10" t="n">
        <x:f>ABS(G2443-F2443)</x:f>
        <x:v>5</x:v>
      </x:c>
      <x:c r="I2443" s="10" t="n">
        <x:f>G2443-F2443</x:f>
        <x:v>-5</x:v>
      </x:c>
    </x:row>
    <x:row r="2444" ht="20" customHeight="1">
      <x:c r="A2444" s="1" t="str">
        <x:v>85123A</x:v>
      </x:c>
      <x:c r="B2444" s="10" t="n">
        <x:v>2</x:v>
      </x:c>
      <x:c r="C2444" s="9" t="d">
        <x:v>2011-11-02T00:00:00.000Z</x:v>
      </x:c>
      <x:c r="D2444" s="9" t="d">
        <x:v>2011-11-05T00:00:00.000Z</x:v>
      </x:c>
      <x:c r="E2444" s="1" t="str">
        <x:v>naive</x:v>
      </x:c>
      <x:c r="F2444" s="10" t="n">
        <x:v>0</x:v>
      </x:c>
      <x:c r="G2444" s="10" t="n">
        <x:v>80</x:v>
      </x:c>
      <x:c r="H2444" s="10" t="n">
        <x:f>ABS(G2444-F2444)</x:f>
        <x:v>80</x:v>
      </x:c>
      <x:c r="I2444" s="10" t="n">
        <x:f>G2444-F2444</x:f>
        <x:v>80</x:v>
      </x:c>
    </x:row>
    <x:row r="2445" ht="20" customHeight="1">
      <x:c r="A2445" s="1" t="str">
        <x:v>85123A</x:v>
      </x:c>
      <x:c r="B2445" s="10" t="n">
        <x:v>2</x:v>
      </x:c>
      <x:c r="C2445" s="9" t="d">
        <x:v>2011-11-02T00:00:00.000Z</x:v>
      </x:c>
      <x:c r="D2445" s="9" t="d">
        <x:v>2011-11-06T00:00:00.000Z</x:v>
      </x:c>
      <x:c r="E2445" s="1" t="str">
        <x:v>naive</x:v>
      </x:c>
      <x:c r="F2445" s="10" t="n">
        <x:v>86</x:v>
      </x:c>
      <x:c r="G2445" s="10" t="n">
        <x:v>80</x:v>
      </x:c>
      <x:c r="H2445" s="10" t="n">
        <x:f>ABS(G2445-F2445)</x:f>
        <x:v>6</x:v>
      </x:c>
      <x:c r="I2445" s="10" t="n">
        <x:f>G2445-F2445</x:f>
        <x:v>-6</x:v>
      </x:c>
    </x:row>
    <x:row r="2446" ht="20" customHeight="1">
      <x:c r="A2446" s="1" t="str">
        <x:v>85123A</x:v>
      </x:c>
      <x:c r="B2446" s="10" t="n">
        <x:v>2</x:v>
      </x:c>
      <x:c r="C2446" s="9" t="d">
        <x:v>2011-11-02T00:00:00.000Z</x:v>
      </x:c>
      <x:c r="D2446" s="9" t="d">
        <x:v>2011-11-07T00:00:00.000Z</x:v>
      </x:c>
      <x:c r="E2446" s="1" t="str">
        <x:v>naive</x:v>
      </x:c>
      <x:c r="F2446" s="10" t="n">
        <x:v>95</x:v>
      </x:c>
      <x:c r="G2446" s="10" t="n">
        <x:v>80</x:v>
      </x:c>
      <x:c r="H2446" s="10" t="n">
        <x:f>ABS(G2446-F2446)</x:f>
        <x:v>15</x:v>
      </x:c>
      <x:c r="I2446" s="10" t="n">
        <x:f>G2446-F2446</x:f>
        <x:v>-15</x:v>
      </x:c>
    </x:row>
    <x:row r="2447" ht="20" customHeight="1">
      <x:c r="A2447" s="1" t="str">
        <x:v>85123A</x:v>
      </x:c>
      <x:c r="B2447" s="10" t="n">
        <x:v>2</x:v>
      </x:c>
      <x:c r="C2447" s="9" t="d">
        <x:v>2011-11-02T00:00:00.000Z</x:v>
      </x:c>
      <x:c r="D2447" s="9" t="d">
        <x:v>2011-11-08T00:00:00.000Z</x:v>
      </x:c>
      <x:c r="E2447" s="1" t="str">
        <x:v>naive</x:v>
      </x:c>
      <x:c r="F2447" s="10" t="n">
        <x:v>97</x:v>
      </x:c>
      <x:c r="G2447" s="10" t="n">
        <x:v>80</x:v>
      </x:c>
      <x:c r="H2447" s="10" t="n">
        <x:f>ABS(G2447-F2447)</x:f>
        <x:v>17</x:v>
      </x:c>
      <x:c r="I2447" s="10" t="n">
        <x:f>G2447-F2447</x:f>
        <x:v>-17</x:v>
      </x:c>
    </x:row>
    <x:row r="2448" ht="20" customHeight="1">
      <x:c r="A2448" s="1" t="str">
        <x:v>85123A</x:v>
      </x:c>
      <x:c r="B2448" s="10" t="n">
        <x:v>2</x:v>
      </x:c>
      <x:c r="C2448" s="9" t="d">
        <x:v>2011-11-02T00:00:00.000Z</x:v>
      </x:c>
      <x:c r="D2448" s="9" t="d">
        <x:v>2011-11-09T00:00:00.000Z</x:v>
      </x:c>
      <x:c r="E2448" s="1" t="str">
        <x:v>naive</x:v>
      </x:c>
      <x:c r="F2448" s="10" t="n">
        <x:v>113</x:v>
      </x:c>
      <x:c r="G2448" s="10" t="n">
        <x:v>80</x:v>
      </x:c>
      <x:c r="H2448" s="10" t="n">
        <x:f>ABS(G2448-F2448)</x:f>
        <x:v>33</x:v>
      </x:c>
      <x:c r="I2448" s="10" t="n">
        <x:f>G2448-F2448</x:f>
        <x:v>-33</x:v>
      </x:c>
    </x:row>
    <x:row r="2449" ht="20" customHeight="1">
      <x:c r="A2449" s="1" t="str">
        <x:v>85123A</x:v>
      </x:c>
      <x:c r="B2449" s="10" t="n">
        <x:v>2</x:v>
      </x:c>
      <x:c r="C2449" s="9" t="d">
        <x:v>2011-11-02T00:00:00.000Z</x:v>
      </x:c>
      <x:c r="D2449" s="9" t="d">
        <x:v>2011-11-10T00:00:00.000Z</x:v>
      </x:c>
      <x:c r="E2449" s="1" t="str">
        <x:v>naive</x:v>
      </x:c>
      <x:c r="F2449" s="10" t="n">
        <x:v>71</x:v>
      </x:c>
      <x:c r="G2449" s="10" t="n">
        <x:v>80</x:v>
      </x:c>
      <x:c r="H2449" s="10" t="n">
        <x:f>ABS(G2449-F2449)</x:f>
        <x:v>9</x:v>
      </x:c>
      <x:c r="I2449" s="10" t="n">
        <x:f>G2449-F2449</x:f>
        <x:v>9</x:v>
      </x:c>
    </x:row>
    <x:row r="2450" ht="20" customHeight="1">
      <x:c r="A2450" s="1" t="str">
        <x:v>85123A</x:v>
      </x:c>
      <x:c r="B2450" s="10" t="n">
        <x:v>2</x:v>
      </x:c>
      <x:c r="C2450" s="9" t="d">
        <x:v>2011-11-02T00:00:00.000Z</x:v>
      </x:c>
      <x:c r="D2450" s="9" t="d">
        <x:v>2011-11-11T00:00:00.000Z</x:v>
      </x:c>
      <x:c r="E2450" s="1" t="str">
        <x:v>naive</x:v>
      </x:c>
      <x:c r="F2450" s="10" t="n">
        <x:v>134</x:v>
      </x:c>
      <x:c r="G2450" s="10" t="n">
        <x:v>80</x:v>
      </x:c>
      <x:c r="H2450" s="10" t="n">
        <x:f>ABS(G2450-F2450)</x:f>
        <x:v>54</x:v>
      </x:c>
      <x:c r="I2450" s="10" t="n">
        <x:f>G2450-F2450</x:f>
        <x:v>-54</x:v>
      </x:c>
    </x:row>
    <x:row r="2451" ht="20" customHeight="1">
      <x:c r="A2451" s="1" t="str">
        <x:v>85123A</x:v>
      </x:c>
      <x:c r="B2451" s="10" t="n">
        <x:v>2</x:v>
      </x:c>
      <x:c r="C2451" s="9" t="d">
        <x:v>2011-11-02T00:00:00.000Z</x:v>
      </x:c>
      <x:c r="D2451" s="9" t="d">
        <x:v>2011-11-12T00:00:00.000Z</x:v>
      </x:c>
      <x:c r="E2451" s="1" t="str">
        <x:v>naive</x:v>
      </x:c>
      <x:c r="F2451" s="10" t="n">
        <x:v>0</x:v>
      </x:c>
      <x:c r="G2451" s="10" t="n">
        <x:v>80</x:v>
      </x:c>
      <x:c r="H2451" s="10" t="n">
        <x:f>ABS(G2451-F2451)</x:f>
        <x:v>80</x:v>
      </x:c>
      <x:c r="I2451" s="10" t="n">
        <x:f>G2451-F2451</x:f>
        <x:v>80</x:v>
      </x:c>
    </x:row>
    <x:row r="2452" ht="20" customHeight="1">
      <x:c r="A2452" s="1" t="str">
        <x:v>85123A</x:v>
      </x:c>
      <x:c r="B2452" s="10" t="n">
        <x:v>2</x:v>
      </x:c>
      <x:c r="C2452" s="9" t="d">
        <x:v>2011-11-02T00:00:00.000Z</x:v>
      </x:c>
      <x:c r="D2452" s="9" t="d">
        <x:v>2011-11-13T00:00:00.000Z</x:v>
      </x:c>
      <x:c r="E2452" s="1" t="str">
        <x:v>naive</x:v>
      </x:c>
      <x:c r="F2452" s="10" t="n">
        <x:v>65</x:v>
      </x:c>
      <x:c r="G2452" s="10" t="n">
        <x:v>80</x:v>
      </x:c>
      <x:c r="H2452" s="10" t="n">
        <x:f>ABS(G2452-F2452)</x:f>
        <x:v>15</x:v>
      </x:c>
      <x:c r="I2452" s="10" t="n">
        <x:f>G2452-F2452</x:f>
        <x:v>15</x:v>
      </x:c>
    </x:row>
    <x:row r="2453" ht="20" customHeight="1">
      <x:c r="A2453" s="1" t="str">
        <x:v>85123A</x:v>
      </x:c>
      <x:c r="B2453" s="10" t="n">
        <x:v>2</x:v>
      </x:c>
      <x:c r="C2453" s="9" t="d">
        <x:v>2011-11-02T00:00:00.000Z</x:v>
      </x:c>
      <x:c r="D2453" s="9" t="d">
        <x:v>2011-11-14T00:00:00.000Z</x:v>
      </x:c>
      <x:c r="E2453" s="1" t="str">
        <x:v>naive</x:v>
      </x:c>
      <x:c r="F2453" s="10" t="n">
        <x:v>380</x:v>
      </x:c>
      <x:c r="G2453" s="10" t="n">
        <x:v>80</x:v>
      </x:c>
      <x:c r="H2453" s="10" t="n">
        <x:f>ABS(G2453-F2453)</x:f>
        <x:v>300</x:v>
      </x:c>
      <x:c r="I2453" s="10" t="n">
        <x:f>G2453-F2453</x:f>
        <x:v>-300</x:v>
      </x:c>
    </x:row>
    <x:row r="2454" ht="20" customHeight="1">
      <x:c r="A2454" s="1" t="str">
        <x:v>85123A</x:v>
      </x:c>
      <x:c r="B2454" s="10" t="n">
        <x:v>2</x:v>
      </x:c>
      <x:c r="C2454" s="9" t="d">
        <x:v>2011-11-02T00:00:00.000Z</x:v>
      </x:c>
      <x:c r="D2454" s="9" t="d">
        <x:v>2011-11-15T00:00:00.000Z</x:v>
      </x:c>
      <x:c r="E2454" s="1" t="str">
        <x:v>naive</x:v>
      </x:c>
      <x:c r="F2454" s="10" t="n">
        <x:v>457</x:v>
      </x:c>
      <x:c r="G2454" s="10" t="n">
        <x:v>80</x:v>
      </x:c>
      <x:c r="H2454" s="10" t="n">
        <x:f>ABS(G2454-F2454)</x:f>
        <x:v>377</x:v>
      </x:c>
      <x:c r="I2454" s="10" t="n">
        <x:f>G2454-F2454</x:f>
        <x:v>-377</x:v>
      </x:c>
    </x:row>
    <x:row r="2455" ht="20" customHeight="1">
      <x:c r="A2455" s="1" t="str">
        <x:v>85123A</x:v>
      </x:c>
      <x:c r="B2455" s="10" t="n">
        <x:v>2</x:v>
      </x:c>
      <x:c r="C2455" s="9" t="d">
        <x:v>2011-11-02T00:00:00.000Z</x:v>
      </x:c>
      <x:c r="D2455" s="9" t="d">
        <x:v>2011-11-16T00:00:00.000Z</x:v>
      </x:c>
      <x:c r="E2455" s="1" t="str">
        <x:v>naive</x:v>
      </x:c>
      <x:c r="F2455" s="10" t="n">
        <x:v>157</x:v>
      </x:c>
      <x:c r="G2455" s="10" t="n">
        <x:v>80</x:v>
      </x:c>
      <x:c r="H2455" s="10" t="n">
        <x:f>ABS(G2455-F2455)</x:f>
        <x:v>77</x:v>
      </x:c>
      <x:c r="I2455" s="10" t="n">
        <x:f>G2455-F2455</x:f>
        <x:v>-77</x:v>
      </x:c>
    </x:row>
    <x:row r="2456" ht="20" customHeight="1">
      <x:c r="A2456" s="1" t="str">
        <x:v>85123A</x:v>
      </x:c>
      <x:c r="B2456" s="10" t="n">
        <x:v>2</x:v>
      </x:c>
      <x:c r="C2456" s="9" t="d">
        <x:v>2011-11-02T00:00:00.000Z</x:v>
      </x:c>
      <x:c r="D2456" s="9" t="d">
        <x:v>2011-11-03T00:00:00.000Z</x:v>
      </x:c>
      <x:c r="E2456" s="1" t="str">
        <x:v>seasonal_naive</x:v>
      </x:c>
      <x:c r="F2456" s="10" t="n">
        <x:v>1265</x:v>
      </x:c>
      <x:c r="G2456" s="10" t="n">
        <x:v>117</x:v>
      </x:c>
      <x:c r="H2456" s="10" t="n">
        <x:f>ABS(G2456-F2456)</x:f>
        <x:v>1148</x:v>
      </x:c>
      <x:c r="I2456" s="10" t="n">
        <x:f>G2456-F2456</x:f>
        <x:v>-1148</x:v>
      </x:c>
    </x:row>
    <x:row r="2457" ht="20" customHeight="1">
      <x:c r="A2457" s="1" t="str">
        <x:v>85123A</x:v>
      </x:c>
      <x:c r="B2457" s="10" t="n">
        <x:v>2</x:v>
      </x:c>
      <x:c r="C2457" s="9" t="d">
        <x:v>2011-11-02T00:00:00.000Z</x:v>
      </x:c>
      <x:c r="D2457" s="9" t="d">
        <x:v>2011-11-04T00:00:00.000Z</x:v>
      </x:c>
      <x:c r="E2457" s="1" t="str">
        <x:v>seasonal_naive</x:v>
      </x:c>
      <x:c r="F2457" s="10" t="n">
        <x:v>85</x:v>
      </x:c>
      <x:c r="G2457" s="10" t="n">
        <x:v>90</x:v>
      </x:c>
      <x:c r="H2457" s="10" t="n">
        <x:f>ABS(G2457-F2457)</x:f>
        <x:v>5</x:v>
      </x:c>
      <x:c r="I2457" s="10" t="n">
        <x:f>G2457-F2457</x:f>
        <x:v>5</x:v>
      </x:c>
    </x:row>
    <x:row r="2458" ht="20" customHeight="1">
      <x:c r="A2458" s="1" t="str">
        <x:v>85123A</x:v>
      </x:c>
      <x:c r="B2458" s="10" t="n">
        <x:v>2</x:v>
      </x:c>
      <x:c r="C2458" s="9" t="d">
        <x:v>2011-11-02T00:00:00.000Z</x:v>
      </x:c>
      <x:c r="D2458" s="9" t="d">
        <x:v>2011-11-05T00:00:00.000Z</x:v>
      </x:c>
      <x:c r="E2458" s="1" t="str">
        <x:v>seasonal_naive</x:v>
      </x:c>
      <x:c r="F2458" s="10" t="n">
        <x:v>0</x:v>
      </x:c>
      <x:c r="G2458" s="10" t="n">
        <x:v>0</x:v>
      </x:c>
      <x:c r="H2458" s="10" t="n">
        <x:f>ABS(G2458-F2458)</x:f>
        <x:v>0</x:v>
      </x:c>
      <x:c r="I2458" s="10" t="n">
        <x:f>G2458-F2458</x:f>
        <x:v>0</x:v>
      </x:c>
    </x:row>
    <x:row r="2459" ht="20" customHeight="1">
      <x:c r="A2459" s="1" t="str">
        <x:v>85123A</x:v>
      </x:c>
      <x:c r="B2459" s="10" t="n">
        <x:v>2</x:v>
      </x:c>
      <x:c r="C2459" s="9" t="d">
        <x:v>2011-11-02T00:00:00.000Z</x:v>
      </x:c>
      <x:c r="D2459" s="9" t="d">
        <x:v>2011-11-06T00:00:00.000Z</x:v>
      </x:c>
      <x:c r="E2459" s="1" t="str">
        <x:v>seasonal_naive</x:v>
      </x:c>
      <x:c r="F2459" s="10" t="n">
        <x:v>86</x:v>
      </x:c>
      <x:c r="G2459" s="10" t="n">
        <x:v>128</x:v>
      </x:c>
      <x:c r="H2459" s="10" t="n">
        <x:f>ABS(G2459-F2459)</x:f>
        <x:v>42</x:v>
      </x:c>
      <x:c r="I2459" s="10" t="n">
        <x:f>G2459-F2459</x:f>
        <x:v>42</x:v>
      </x:c>
    </x:row>
    <x:row r="2460" ht="20" customHeight="1">
      <x:c r="A2460" s="1" t="str">
        <x:v>85123A</x:v>
      </x:c>
      <x:c r="B2460" s="10" t="n">
        <x:v>2</x:v>
      </x:c>
      <x:c r="C2460" s="9" t="d">
        <x:v>2011-11-02T00:00:00.000Z</x:v>
      </x:c>
      <x:c r="D2460" s="9" t="d">
        <x:v>2011-11-07T00:00:00.000Z</x:v>
      </x:c>
      <x:c r="E2460" s="1" t="str">
        <x:v>seasonal_naive</x:v>
      </x:c>
      <x:c r="F2460" s="10" t="n">
        <x:v>95</x:v>
      </x:c>
      <x:c r="G2460" s="10" t="n">
        <x:v>147</x:v>
      </x:c>
      <x:c r="H2460" s="10" t="n">
        <x:f>ABS(G2460-F2460)</x:f>
        <x:v>52</x:v>
      </x:c>
      <x:c r="I2460" s="10" t="n">
        <x:f>G2460-F2460</x:f>
        <x:v>52</x:v>
      </x:c>
    </x:row>
    <x:row r="2461" ht="20" customHeight="1">
      <x:c r="A2461" s="1" t="str">
        <x:v>85123A</x:v>
      </x:c>
      <x:c r="B2461" s="10" t="n">
        <x:v>2</x:v>
      </x:c>
      <x:c r="C2461" s="9" t="d">
        <x:v>2011-11-02T00:00:00.000Z</x:v>
      </x:c>
      <x:c r="D2461" s="9" t="d">
        <x:v>2011-11-08T00:00:00.000Z</x:v>
      </x:c>
      <x:c r="E2461" s="1" t="str">
        <x:v>seasonal_naive</x:v>
      </x:c>
      <x:c r="F2461" s="10" t="n">
        <x:v>97</x:v>
      </x:c>
      <x:c r="G2461" s="10" t="n">
        <x:v>39</x:v>
      </x:c>
      <x:c r="H2461" s="10" t="n">
        <x:f>ABS(G2461-F2461)</x:f>
        <x:v>58</x:v>
      </x:c>
      <x:c r="I2461" s="10" t="n">
        <x:f>G2461-F2461</x:f>
        <x:v>-58</x:v>
      </x:c>
    </x:row>
    <x:row r="2462" ht="20" customHeight="1">
      <x:c r="A2462" s="1" t="str">
        <x:v>85123A</x:v>
      </x:c>
      <x:c r="B2462" s="10" t="n">
        <x:v>2</x:v>
      </x:c>
      <x:c r="C2462" s="9" t="d">
        <x:v>2011-11-02T00:00:00.000Z</x:v>
      </x:c>
      <x:c r="D2462" s="9" t="d">
        <x:v>2011-11-09T00:00:00.000Z</x:v>
      </x:c>
      <x:c r="E2462" s="1" t="str">
        <x:v>seasonal_naive</x:v>
      </x:c>
      <x:c r="F2462" s="10" t="n">
        <x:v>113</x:v>
      </x:c>
      <x:c r="G2462" s="10" t="n">
        <x:v>80</x:v>
      </x:c>
      <x:c r="H2462" s="10" t="n">
        <x:f>ABS(G2462-F2462)</x:f>
        <x:v>33</x:v>
      </x:c>
      <x:c r="I2462" s="10" t="n">
        <x:f>G2462-F2462</x:f>
        <x:v>-33</x:v>
      </x:c>
    </x:row>
    <x:row r="2463" ht="20" customHeight="1">
      <x:c r="A2463" s="1" t="str">
        <x:v>85123A</x:v>
      </x:c>
      <x:c r="B2463" s="10" t="n">
        <x:v>2</x:v>
      </x:c>
      <x:c r="C2463" s="9" t="d">
        <x:v>2011-11-02T00:00:00.000Z</x:v>
      </x:c>
      <x:c r="D2463" s="9" t="d">
        <x:v>2011-11-10T00:00:00.000Z</x:v>
      </x:c>
      <x:c r="E2463" s="1" t="str">
        <x:v>seasonal_naive</x:v>
      </x:c>
      <x:c r="F2463" s="10" t="n">
        <x:v>71</x:v>
      </x:c>
      <x:c r="G2463" s="10" t="n">
        <x:v>117</x:v>
      </x:c>
      <x:c r="H2463" s="10" t="n">
        <x:f>ABS(G2463-F2463)</x:f>
        <x:v>46</x:v>
      </x:c>
      <x:c r="I2463" s="10" t="n">
        <x:f>G2463-F2463</x:f>
        <x:v>46</x:v>
      </x:c>
    </x:row>
    <x:row r="2464" ht="20" customHeight="1">
      <x:c r="A2464" s="1" t="str">
        <x:v>85123A</x:v>
      </x:c>
      <x:c r="B2464" s="10" t="n">
        <x:v>2</x:v>
      </x:c>
      <x:c r="C2464" s="9" t="d">
        <x:v>2011-11-02T00:00:00.000Z</x:v>
      </x:c>
      <x:c r="D2464" s="9" t="d">
        <x:v>2011-11-11T00:00:00.000Z</x:v>
      </x:c>
      <x:c r="E2464" s="1" t="str">
        <x:v>seasonal_naive</x:v>
      </x:c>
      <x:c r="F2464" s="10" t="n">
        <x:v>134</x:v>
      </x:c>
      <x:c r="G2464" s="10" t="n">
        <x:v>90</x:v>
      </x:c>
      <x:c r="H2464" s="10" t="n">
        <x:f>ABS(G2464-F2464)</x:f>
        <x:v>44</x:v>
      </x:c>
      <x:c r="I2464" s="10" t="n">
        <x:f>G2464-F2464</x:f>
        <x:v>-44</x:v>
      </x:c>
    </x:row>
    <x:row r="2465" ht="20" customHeight="1">
      <x:c r="A2465" s="1" t="str">
        <x:v>85123A</x:v>
      </x:c>
      <x:c r="B2465" s="10" t="n">
        <x:v>2</x:v>
      </x:c>
      <x:c r="C2465" s="9" t="d">
        <x:v>2011-11-02T00:00:00.000Z</x:v>
      </x:c>
      <x:c r="D2465" s="9" t="d">
        <x:v>2011-11-12T00:00:00.000Z</x:v>
      </x:c>
      <x:c r="E2465" s="1" t="str">
        <x:v>seasonal_naive</x:v>
      </x:c>
      <x:c r="F2465" s="10" t="n">
        <x:v>0</x:v>
      </x:c>
      <x:c r="G2465" s="10" t="n">
        <x:v>0</x:v>
      </x:c>
      <x:c r="H2465" s="10" t="n">
        <x:f>ABS(G2465-F2465)</x:f>
        <x:v>0</x:v>
      </x:c>
      <x:c r="I2465" s="10" t="n">
        <x:f>G2465-F2465</x:f>
        <x:v>0</x:v>
      </x:c>
    </x:row>
    <x:row r="2466" ht="20" customHeight="1">
      <x:c r="A2466" s="1" t="str">
        <x:v>85123A</x:v>
      </x:c>
      <x:c r="B2466" s="10" t="n">
        <x:v>2</x:v>
      </x:c>
      <x:c r="C2466" s="9" t="d">
        <x:v>2011-11-02T00:00:00.000Z</x:v>
      </x:c>
      <x:c r="D2466" s="9" t="d">
        <x:v>2011-11-13T00:00:00.000Z</x:v>
      </x:c>
      <x:c r="E2466" s="1" t="str">
        <x:v>seasonal_naive</x:v>
      </x:c>
      <x:c r="F2466" s="10" t="n">
        <x:v>65</x:v>
      </x:c>
      <x:c r="G2466" s="10" t="n">
        <x:v>128</x:v>
      </x:c>
      <x:c r="H2466" s="10" t="n">
        <x:f>ABS(G2466-F2466)</x:f>
        <x:v>63</x:v>
      </x:c>
      <x:c r="I2466" s="10" t="n">
        <x:f>G2466-F2466</x:f>
        <x:v>63</x:v>
      </x:c>
    </x:row>
    <x:row r="2467" ht="20" customHeight="1">
      <x:c r="A2467" s="1" t="str">
        <x:v>85123A</x:v>
      </x:c>
      <x:c r="B2467" s="10" t="n">
        <x:v>2</x:v>
      </x:c>
      <x:c r="C2467" s="9" t="d">
        <x:v>2011-11-02T00:00:00.000Z</x:v>
      </x:c>
      <x:c r="D2467" s="9" t="d">
        <x:v>2011-11-14T00:00:00.000Z</x:v>
      </x:c>
      <x:c r="E2467" s="1" t="str">
        <x:v>seasonal_naive</x:v>
      </x:c>
      <x:c r="F2467" s="10" t="n">
        <x:v>380</x:v>
      </x:c>
      <x:c r="G2467" s="10" t="n">
        <x:v>147</x:v>
      </x:c>
      <x:c r="H2467" s="10" t="n">
        <x:f>ABS(G2467-F2467)</x:f>
        <x:v>233</x:v>
      </x:c>
      <x:c r="I2467" s="10" t="n">
        <x:f>G2467-F2467</x:f>
        <x:v>-233</x:v>
      </x:c>
    </x:row>
    <x:row r="2468" ht="20" customHeight="1">
      <x:c r="A2468" s="1" t="str">
        <x:v>85123A</x:v>
      </x:c>
      <x:c r="B2468" s="10" t="n">
        <x:v>2</x:v>
      </x:c>
      <x:c r="C2468" s="9" t="d">
        <x:v>2011-11-02T00:00:00.000Z</x:v>
      </x:c>
      <x:c r="D2468" s="9" t="d">
        <x:v>2011-11-15T00:00:00.000Z</x:v>
      </x:c>
      <x:c r="E2468" s="1" t="str">
        <x:v>seasonal_naive</x:v>
      </x:c>
      <x:c r="F2468" s="10" t="n">
        <x:v>457</x:v>
      </x:c>
      <x:c r="G2468" s="10" t="n">
        <x:v>39</x:v>
      </x:c>
      <x:c r="H2468" s="10" t="n">
        <x:f>ABS(G2468-F2468)</x:f>
        <x:v>418</x:v>
      </x:c>
      <x:c r="I2468" s="10" t="n">
        <x:f>G2468-F2468</x:f>
        <x:v>-418</x:v>
      </x:c>
    </x:row>
    <x:row r="2469" ht="20" customHeight="1">
      <x:c r="A2469" s="1" t="str">
        <x:v>85123A</x:v>
      </x:c>
      <x:c r="B2469" s="10" t="n">
        <x:v>2</x:v>
      </x:c>
      <x:c r="C2469" s="9" t="d">
        <x:v>2011-11-02T00:00:00.000Z</x:v>
      </x:c>
      <x:c r="D2469" s="9" t="d">
        <x:v>2011-11-16T00:00:00.000Z</x:v>
      </x:c>
      <x:c r="E2469" s="1" t="str">
        <x:v>seasonal_naive</x:v>
      </x:c>
      <x:c r="F2469" s="10" t="n">
        <x:v>157</x:v>
      </x:c>
      <x:c r="G2469" s="10" t="n">
        <x:v>80</x:v>
      </x:c>
      <x:c r="H2469" s="10" t="n">
        <x:f>ABS(G2469-F2469)</x:f>
        <x:v>77</x:v>
      </x:c>
      <x:c r="I2469" s="10" t="n">
        <x:f>G2469-F2469</x:f>
        <x:v>-77</x:v>
      </x:c>
    </x:row>
    <x:row r="2470" ht="20" customHeight="1">
      <x:c r="A2470" s="1" t="str">
        <x:v>85123A</x:v>
      </x:c>
      <x:c r="B2470" s="10" t="n">
        <x:v>2</x:v>
      </x:c>
      <x:c r="C2470" s="9" t="d">
        <x:v>2011-11-02T00:00:00.000Z</x:v>
      </x:c>
      <x:c r="D2470" s="9" t="d">
        <x:v>2011-11-03T00:00:00.000Z</x:v>
      </x:c>
      <x:c r="E2470" s="1" t="str">
        <x:v>ridge</x:v>
      </x:c>
      <x:c r="F2470" s="10" t="n">
        <x:v>1265</x:v>
      </x:c>
      <x:c r="G2470" s="10" t="n">
        <x:v>99.9962213718</x:v>
      </x:c>
      <x:c r="H2470" s="10" t="n">
        <x:f>ABS(G2470-F2470)</x:f>
        <x:v>1165.0037786282</x:v>
      </x:c>
      <x:c r="I2470" s="10" t="n">
        <x:f>G2470-F2470</x:f>
        <x:v>-1165.0037786282</x:v>
      </x:c>
    </x:row>
    <x:row r="2471" ht="20" customHeight="1">
      <x:c r="A2471" s="1" t="str">
        <x:v>85123A</x:v>
      </x:c>
      <x:c r="B2471" s="10" t="n">
        <x:v>2</x:v>
      </x:c>
      <x:c r="C2471" s="9" t="d">
        <x:v>2011-11-02T00:00:00.000Z</x:v>
      </x:c>
      <x:c r="D2471" s="9" t="d">
        <x:v>2011-11-04T00:00:00.000Z</x:v>
      </x:c>
      <x:c r="E2471" s="1" t="str">
        <x:v>ridge</x:v>
      </x:c>
      <x:c r="F2471" s="10" t="n">
        <x:v>85</x:v>
      </x:c>
      <x:c r="G2471" s="10" t="n">
        <x:v>43.6751189692</x:v>
      </x:c>
      <x:c r="H2471" s="10" t="n">
        <x:f>ABS(G2471-F2471)</x:f>
        <x:v>41.3248810308</x:v>
      </x:c>
      <x:c r="I2471" s="10" t="n">
        <x:f>G2471-F2471</x:f>
        <x:v>-41.3248810308</x:v>
      </x:c>
    </x:row>
    <x:row r="2472" ht="20" customHeight="1">
      <x:c r="A2472" s="1" t="str">
        <x:v>85123A</x:v>
      </x:c>
      <x:c r="B2472" s="10" t="n">
        <x:v>2</x:v>
      </x:c>
      <x:c r="C2472" s="9" t="d">
        <x:v>2011-11-02T00:00:00.000Z</x:v>
      </x:c>
      <x:c r="D2472" s="9" t="d">
        <x:v>2011-11-05T00:00:00.000Z</x:v>
      </x:c>
      <x:c r="E2472" s="1" t="str">
        <x:v>ridge</x:v>
      </x:c>
      <x:c r="F2472" s="10" t="n">
        <x:v>0</x:v>
      </x:c>
      <x:c r="G2472" s="10" t="n">
        <x:v>31.1646203534</x:v>
      </x:c>
      <x:c r="H2472" s="10" t="n">
        <x:f>ABS(G2472-F2472)</x:f>
        <x:v>31.1646203534</x:v>
      </x:c>
      <x:c r="I2472" s="10" t="n">
        <x:f>G2472-F2472</x:f>
        <x:v>31.1646203534</x:v>
      </x:c>
    </x:row>
    <x:row r="2473" ht="20" customHeight="1">
      <x:c r="A2473" s="1" t="str">
        <x:v>85123A</x:v>
      </x:c>
      <x:c r="B2473" s="10" t="n">
        <x:v>2</x:v>
      </x:c>
      <x:c r="C2473" s="9" t="d">
        <x:v>2011-11-02T00:00:00.000Z</x:v>
      </x:c>
      <x:c r="D2473" s="9" t="d">
        <x:v>2011-11-06T00:00:00.000Z</x:v>
      </x:c>
      <x:c r="E2473" s="1" t="str">
        <x:v>ridge</x:v>
      </x:c>
      <x:c r="F2473" s="10" t="n">
        <x:v>86</x:v>
      </x:c>
      <x:c r="G2473" s="10" t="n">
        <x:v>56.3227465061</x:v>
      </x:c>
      <x:c r="H2473" s="10" t="n">
        <x:f>ABS(G2473-F2473)</x:f>
        <x:v>29.677253493899997</x:v>
      </x:c>
      <x:c r="I2473" s="10" t="n">
        <x:f>G2473-F2473</x:f>
        <x:v>-29.677253493899997</x:v>
      </x:c>
    </x:row>
    <x:row r="2474" ht="20" customHeight="1">
      <x:c r="A2474" s="1" t="str">
        <x:v>85123A</x:v>
      </x:c>
      <x:c r="B2474" s="10" t="n">
        <x:v>2</x:v>
      </x:c>
      <x:c r="C2474" s="9" t="d">
        <x:v>2011-11-02T00:00:00.000Z</x:v>
      </x:c>
      <x:c r="D2474" s="9" t="d">
        <x:v>2011-11-07T00:00:00.000Z</x:v>
      </x:c>
      <x:c r="E2474" s="1" t="str">
        <x:v>ridge</x:v>
      </x:c>
      <x:c r="F2474" s="10" t="n">
        <x:v>95</x:v>
      </x:c>
      <x:c r="G2474" s="10" t="n">
        <x:v>112.0937196603</x:v>
      </x:c>
      <x:c r="H2474" s="10" t="n">
        <x:f>ABS(G2474-F2474)</x:f>
        <x:v>17.093719660299996</x:v>
      </x:c>
      <x:c r="I2474" s="10" t="n">
        <x:f>G2474-F2474</x:f>
        <x:v>17.093719660299996</x:v>
      </x:c>
    </x:row>
    <x:row r="2475" ht="20" customHeight="1">
      <x:c r="A2475" s="1" t="str">
        <x:v>85123A</x:v>
      </x:c>
      <x:c r="B2475" s="10" t="n">
        <x:v>2</x:v>
      </x:c>
      <x:c r="C2475" s="9" t="d">
        <x:v>2011-11-02T00:00:00.000Z</x:v>
      </x:c>
      <x:c r="D2475" s="9" t="d">
        <x:v>2011-11-08T00:00:00.000Z</x:v>
      </x:c>
      <x:c r="E2475" s="1" t="str">
        <x:v>ridge</x:v>
      </x:c>
      <x:c r="F2475" s="10" t="n">
        <x:v>97</x:v>
      </x:c>
      <x:c r="G2475" s="10" t="n">
        <x:v>158.080316208</x:v>
      </x:c>
      <x:c r="H2475" s="10" t="n">
        <x:f>ABS(G2475-F2475)</x:f>
        <x:v>61.080316208</x:v>
      </x:c>
      <x:c r="I2475" s="10" t="n">
        <x:f>G2475-F2475</x:f>
        <x:v>61.080316208</x:v>
      </x:c>
    </x:row>
    <x:row r="2476" ht="20" customHeight="1">
      <x:c r="A2476" s="1" t="str">
        <x:v>85123A</x:v>
      </x:c>
      <x:c r="B2476" s="10" t="n">
        <x:v>2</x:v>
      </x:c>
      <x:c r="C2476" s="9" t="d">
        <x:v>2011-11-02T00:00:00.000Z</x:v>
      </x:c>
      <x:c r="D2476" s="9" t="d">
        <x:v>2011-11-09T00:00:00.000Z</x:v>
      </x:c>
      <x:c r="E2476" s="1" t="str">
        <x:v>ridge</x:v>
      </x:c>
      <x:c r="F2476" s="10" t="n">
        <x:v>113</x:v>
      </x:c>
      <x:c r="G2476" s="10" t="n">
        <x:v>148.610785365</x:v>
      </x:c>
      <x:c r="H2476" s="10" t="n">
        <x:f>ABS(G2476-F2476)</x:f>
        <x:v>35.610785365</x:v>
      </x:c>
      <x:c r="I2476" s="10" t="n">
        <x:f>G2476-F2476</x:f>
        <x:v>35.610785365</x:v>
      </x:c>
    </x:row>
    <x:row r="2477" ht="20" customHeight="1">
      <x:c r="A2477" s="1" t="str">
        <x:v>85123A</x:v>
      </x:c>
      <x:c r="B2477" s="10" t="n">
        <x:v>2</x:v>
      </x:c>
      <x:c r="C2477" s="9" t="d">
        <x:v>2011-11-02T00:00:00.000Z</x:v>
      </x:c>
      <x:c r="D2477" s="9" t="d">
        <x:v>2011-11-10T00:00:00.000Z</x:v>
      </x:c>
      <x:c r="E2477" s="1" t="str">
        <x:v>ridge</x:v>
      </x:c>
      <x:c r="F2477" s="10" t="n">
        <x:v>71</x:v>
      </x:c>
      <x:c r="G2477" s="10" t="n">
        <x:v>93.9535379053</x:v>
      </x:c>
      <x:c r="H2477" s="10" t="n">
        <x:f>ABS(G2477-F2477)</x:f>
        <x:v>22.953537905299996</x:v>
      </x:c>
      <x:c r="I2477" s="10" t="n">
        <x:f>G2477-F2477</x:f>
        <x:v>22.953537905299996</x:v>
      </x:c>
    </x:row>
    <x:row r="2478" ht="20" customHeight="1">
      <x:c r="A2478" s="1" t="str">
        <x:v>85123A</x:v>
      </x:c>
      <x:c r="B2478" s="10" t="n">
        <x:v>2</x:v>
      </x:c>
      <x:c r="C2478" s="9" t="d">
        <x:v>2011-11-02T00:00:00.000Z</x:v>
      </x:c>
      <x:c r="D2478" s="9" t="d">
        <x:v>2011-11-11T00:00:00.000Z</x:v>
      </x:c>
      <x:c r="E2478" s="1" t="str">
        <x:v>ridge</x:v>
      </x:c>
      <x:c r="F2478" s="10" t="n">
        <x:v>134</x:v>
      </x:c>
      <x:c r="G2478" s="10" t="n">
        <x:v>43.8863081821</x:v>
      </x:c>
      <x:c r="H2478" s="10" t="n">
        <x:f>ABS(G2478-F2478)</x:f>
        <x:v>90.11369181789999</x:v>
      </x:c>
      <x:c r="I2478" s="10" t="n">
        <x:f>G2478-F2478</x:f>
        <x:v>-90.11369181789999</x:v>
      </x:c>
    </x:row>
    <x:row r="2479" ht="20" customHeight="1">
      <x:c r="A2479" s="1" t="str">
        <x:v>85123A</x:v>
      </x:c>
      <x:c r="B2479" s="10" t="n">
        <x:v>2</x:v>
      </x:c>
      <x:c r="C2479" s="9" t="d">
        <x:v>2011-11-02T00:00:00.000Z</x:v>
      </x:c>
      <x:c r="D2479" s="9" t="d">
        <x:v>2011-11-12T00:00:00.000Z</x:v>
      </x:c>
      <x:c r="E2479" s="1" t="str">
        <x:v>ridge</x:v>
      </x:c>
      <x:c r="F2479" s="10" t="n">
        <x:v>0</x:v>
      </x:c>
      <x:c r="G2479" s="10" t="n">
        <x:v>31.6553795969</x:v>
      </x:c>
      <x:c r="H2479" s="10" t="n">
        <x:f>ABS(G2479-F2479)</x:f>
        <x:v>31.6553795969</x:v>
      </x:c>
      <x:c r="I2479" s="10" t="n">
        <x:f>G2479-F2479</x:f>
        <x:v>31.6553795969</x:v>
      </x:c>
    </x:row>
    <x:row r="2480" ht="20" customHeight="1">
      <x:c r="A2480" s="1" t="str">
        <x:v>85123A</x:v>
      </x:c>
      <x:c r="B2480" s="10" t="n">
        <x:v>2</x:v>
      </x:c>
      <x:c r="C2480" s="9" t="d">
        <x:v>2011-11-02T00:00:00.000Z</x:v>
      </x:c>
      <x:c r="D2480" s="9" t="d">
        <x:v>2011-11-13T00:00:00.000Z</x:v>
      </x:c>
      <x:c r="E2480" s="1" t="str">
        <x:v>ridge</x:v>
      </x:c>
      <x:c r="F2480" s="10" t="n">
        <x:v>65</x:v>
      </x:c>
      <x:c r="G2480" s="10" t="n">
        <x:v>58.0514091123</x:v>
      </x:c>
      <x:c r="H2480" s="10" t="n">
        <x:f>ABS(G2480-F2480)</x:f>
        <x:v>6.9485908877</x:v>
      </x:c>
      <x:c r="I2480" s="10" t="n">
        <x:f>G2480-F2480</x:f>
        <x:v>-6.9485908877</x:v>
      </x:c>
    </x:row>
    <x:row r="2481" ht="20" customHeight="1">
      <x:c r="A2481" s="1" t="str">
        <x:v>85123A</x:v>
      </x:c>
      <x:c r="B2481" s="10" t="n">
        <x:v>2</x:v>
      </x:c>
      <x:c r="C2481" s="9" t="d">
        <x:v>2011-11-02T00:00:00.000Z</x:v>
      </x:c>
      <x:c r="D2481" s="9" t="d">
        <x:v>2011-11-14T00:00:00.000Z</x:v>
      </x:c>
      <x:c r="E2481" s="1" t="str">
        <x:v>ridge</x:v>
      </x:c>
      <x:c r="F2481" s="10" t="n">
        <x:v>380</x:v>
      </x:c>
      <x:c r="G2481" s="10" t="n">
        <x:v>113.1388132285</x:v>
      </x:c>
      <x:c r="H2481" s="10" t="n">
        <x:f>ABS(G2481-F2481)</x:f>
        <x:v>266.8611867715</x:v>
      </x:c>
      <x:c r="I2481" s="10" t="n">
        <x:f>G2481-F2481</x:f>
        <x:v>-266.8611867715</x:v>
      </x:c>
    </x:row>
    <x:row r="2482" ht="20" customHeight="1">
      <x:c r="A2482" s="1" t="str">
        <x:v>85123A</x:v>
      </x:c>
      <x:c r="B2482" s="10" t="n">
        <x:v>2</x:v>
      </x:c>
      <x:c r="C2482" s="9" t="d">
        <x:v>2011-11-02T00:00:00.000Z</x:v>
      </x:c>
      <x:c r="D2482" s="9" t="d">
        <x:v>2011-11-15T00:00:00.000Z</x:v>
      </x:c>
      <x:c r="E2482" s="1" t="str">
        <x:v>ridge</x:v>
      </x:c>
      <x:c r="F2482" s="10" t="n">
        <x:v>457</x:v>
      </x:c>
      <x:c r="G2482" s="10" t="n">
        <x:v>154.9811080858</x:v>
      </x:c>
      <x:c r="H2482" s="10" t="n">
        <x:f>ABS(G2482-F2482)</x:f>
        <x:v>302.0188919142</x:v>
      </x:c>
      <x:c r="I2482" s="10" t="n">
        <x:f>G2482-F2482</x:f>
        <x:v>-302.0188919142</x:v>
      </x:c>
    </x:row>
    <x:row r="2483" ht="20" customHeight="1">
      <x:c r="A2483" s="1" t="str">
        <x:v>85123A</x:v>
      </x:c>
      <x:c r="B2483" s="10" t="n">
        <x:v>2</x:v>
      </x:c>
      <x:c r="C2483" s="9" t="d">
        <x:v>2011-11-02T00:00:00.000Z</x:v>
      </x:c>
      <x:c r="D2483" s="9" t="d">
        <x:v>2011-11-16T00:00:00.000Z</x:v>
      </x:c>
      <x:c r="E2483" s="1" t="str">
        <x:v>ridge</x:v>
      </x:c>
      <x:c r="F2483" s="10" t="n">
        <x:v>157</x:v>
      </x:c>
      <x:c r="G2483" s="10" t="n">
        <x:v>144.0944873269</x:v>
      </x:c>
      <x:c r="H2483" s="10" t="n">
        <x:f>ABS(G2483-F2483)</x:f>
        <x:v>12.905512673099992</x:v>
      </x:c>
      <x:c r="I2483" s="10" t="n">
        <x:f>G2483-F2483</x:f>
        <x:v>-12.905512673099992</x:v>
      </x:c>
    </x:row>
    <x:row r="2484" ht="20" customHeight="1">
      <x:c r="A2484" s="1" t="str">
        <x:v>85123A</x:v>
      </x:c>
      <x:c r="B2484" s="10" t="n">
        <x:v>3</x:v>
      </x:c>
      <x:c r="C2484" s="9" t="d">
        <x:v>2011-11-16T00:00:00.000Z</x:v>
      </x:c>
      <x:c r="D2484" s="9" t="d">
        <x:v>2011-11-17T00:00:00.000Z</x:v>
      </x:c>
      <x:c r="E2484" s="1" t="str">
        <x:v>naive</x:v>
      </x:c>
      <x:c r="F2484" s="10" t="n">
        <x:v>102</x:v>
      </x:c>
      <x:c r="G2484" s="10" t="n">
        <x:v>157</x:v>
      </x:c>
      <x:c r="H2484" s="10" t="n">
        <x:f>ABS(G2484-F2484)</x:f>
        <x:v>55</x:v>
      </x:c>
      <x:c r="I2484" s="10" t="n">
        <x:f>G2484-F2484</x:f>
        <x:v>55</x:v>
      </x:c>
    </x:row>
    <x:row r="2485" ht="20" customHeight="1">
      <x:c r="A2485" s="1" t="str">
        <x:v>85123A</x:v>
      </x:c>
      <x:c r="B2485" s="10" t="n">
        <x:v>3</x:v>
      </x:c>
      <x:c r="C2485" s="9" t="d">
        <x:v>2011-11-16T00:00:00.000Z</x:v>
      </x:c>
      <x:c r="D2485" s="9" t="d">
        <x:v>2011-11-18T00:00:00.000Z</x:v>
      </x:c>
      <x:c r="E2485" s="1" t="str">
        <x:v>naive</x:v>
      </x:c>
      <x:c r="F2485" s="10" t="n">
        <x:v>125</x:v>
      </x:c>
      <x:c r="G2485" s="10" t="n">
        <x:v>157</x:v>
      </x:c>
      <x:c r="H2485" s="10" t="n">
        <x:f>ABS(G2485-F2485)</x:f>
        <x:v>32</x:v>
      </x:c>
      <x:c r="I2485" s="10" t="n">
        <x:f>G2485-F2485</x:f>
        <x:v>32</x:v>
      </x:c>
    </x:row>
    <x:row r="2486" ht="20" customHeight="1">
      <x:c r="A2486" s="1" t="str">
        <x:v>85123A</x:v>
      </x:c>
      <x:c r="B2486" s="10" t="n">
        <x:v>3</x:v>
      </x:c>
      <x:c r="C2486" s="9" t="d">
        <x:v>2011-11-16T00:00:00.000Z</x:v>
      </x:c>
      <x:c r="D2486" s="9" t="d">
        <x:v>2011-11-19T00:00:00.000Z</x:v>
      </x:c>
      <x:c r="E2486" s="1" t="str">
        <x:v>naive</x:v>
      </x:c>
      <x:c r="F2486" s="10" t="n">
        <x:v>0</x:v>
      </x:c>
      <x:c r="G2486" s="10" t="n">
        <x:v>157</x:v>
      </x:c>
      <x:c r="H2486" s="10" t="n">
        <x:f>ABS(G2486-F2486)</x:f>
        <x:v>157</x:v>
      </x:c>
      <x:c r="I2486" s="10" t="n">
        <x:f>G2486-F2486</x:f>
        <x:v>157</x:v>
      </x:c>
    </x:row>
    <x:row r="2487" ht="20" customHeight="1">
      <x:c r="A2487" s="1" t="str">
        <x:v>85123A</x:v>
      </x:c>
      <x:c r="B2487" s="10" t="n">
        <x:v>3</x:v>
      </x:c>
      <x:c r="C2487" s="9" t="d">
        <x:v>2011-11-16T00:00:00.000Z</x:v>
      </x:c>
      <x:c r="D2487" s="9" t="d">
        <x:v>2011-11-20T00:00:00.000Z</x:v>
      </x:c>
      <x:c r="E2487" s="1" t="str">
        <x:v>naive</x:v>
      </x:c>
      <x:c r="F2487" s="10" t="n">
        <x:v>101</x:v>
      </x:c>
      <x:c r="G2487" s="10" t="n">
        <x:v>157</x:v>
      </x:c>
      <x:c r="H2487" s="10" t="n">
        <x:f>ABS(G2487-F2487)</x:f>
        <x:v>56</x:v>
      </x:c>
      <x:c r="I2487" s="10" t="n">
        <x:f>G2487-F2487</x:f>
        <x:v>56</x:v>
      </x:c>
    </x:row>
    <x:row r="2488" ht="20" customHeight="1">
      <x:c r="A2488" s="1" t="str">
        <x:v>85123A</x:v>
      </x:c>
      <x:c r="B2488" s="10" t="n">
        <x:v>3</x:v>
      </x:c>
      <x:c r="C2488" s="9" t="d">
        <x:v>2011-11-16T00:00:00.000Z</x:v>
      </x:c>
      <x:c r="D2488" s="9" t="d">
        <x:v>2011-11-21T00:00:00.000Z</x:v>
      </x:c>
      <x:c r="E2488" s="1" t="str">
        <x:v>naive</x:v>
      </x:c>
      <x:c r="F2488" s="10" t="n">
        <x:v>36</x:v>
      </x:c>
      <x:c r="G2488" s="10" t="n">
        <x:v>157</x:v>
      </x:c>
      <x:c r="H2488" s="10" t="n">
        <x:f>ABS(G2488-F2488)</x:f>
        <x:v>121</x:v>
      </x:c>
      <x:c r="I2488" s="10" t="n">
        <x:f>G2488-F2488</x:f>
        <x:v>121</x:v>
      </x:c>
    </x:row>
    <x:row r="2489" ht="20" customHeight="1">
      <x:c r="A2489" s="1" t="str">
        <x:v>85123A</x:v>
      </x:c>
      <x:c r="B2489" s="10" t="n">
        <x:v>3</x:v>
      </x:c>
      <x:c r="C2489" s="9" t="d">
        <x:v>2011-11-16T00:00:00.000Z</x:v>
      </x:c>
      <x:c r="D2489" s="9" t="d">
        <x:v>2011-11-22T00:00:00.000Z</x:v>
      </x:c>
      <x:c r="E2489" s="1" t="str">
        <x:v>naive</x:v>
      </x:c>
      <x:c r="F2489" s="10" t="n">
        <x:v>253</x:v>
      </x:c>
      <x:c r="G2489" s="10" t="n">
        <x:v>157</x:v>
      </x:c>
      <x:c r="H2489" s="10" t="n">
        <x:f>ABS(G2489-F2489)</x:f>
        <x:v>96</x:v>
      </x:c>
      <x:c r="I2489" s="10" t="n">
        <x:f>G2489-F2489</x:f>
        <x:v>-96</x:v>
      </x:c>
    </x:row>
    <x:row r="2490" ht="20" customHeight="1">
      <x:c r="A2490" s="1" t="str">
        <x:v>85123A</x:v>
      </x:c>
      <x:c r="B2490" s="10" t="n">
        <x:v>3</x:v>
      </x:c>
      <x:c r="C2490" s="9" t="d">
        <x:v>2011-11-16T00:00:00.000Z</x:v>
      </x:c>
      <x:c r="D2490" s="9" t="d">
        <x:v>2011-11-23T00:00:00.000Z</x:v>
      </x:c>
      <x:c r="E2490" s="1" t="str">
        <x:v>naive</x:v>
      </x:c>
      <x:c r="F2490" s="10" t="n">
        <x:v>247</x:v>
      </x:c>
      <x:c r="G2490" s="10" t="n">
        <x:v>157</x:v>
      </x:c>
      <x:c r="H2490" s="10" t="n">
        <x:f>ABS(G2490-F2490)</x:f>
        <x:v>90</x:v>
      </x:c>
      <x:c r="I2490" s="10" t="n">
        <x:f>G2490-F2490</x:f>
        <x:v>-90</x:v>
      </x:c>
    </x:row>
    <x:row r="2491" ht="20" customHeight="1">
      <x:c r="A2491" s="1" t="str">
        <x:v>85123A</x:v>
      </x:c>
      <x:c r="B2491" s="10" t="n">
        <x:v>3</x:v>
      </x:c>
      <x:c r="C2491" s="9" t="d">
        <x:v>2011-11-16T00:00:00.000Z</x:v>
      </x:c>
      <x:c r="D2491" s="9" t="d">
        <x:v>2011-11-24T00:00:00.000Z</x:v>
      </x:c>
      <x:c r="E2491" s="1" t="str">
        <x:v>naive</x:v>
      </x:c>
      <x:c r="F2491" s="10" t="n">
        <x:v>131</x:v>
      </x:c>
      <x:c r="G2491" s="10" t="n">
        <x:v>157</x:v>
      </x:c>
      <x:c r="H2491" s="10" t="n">
        <x:f>ABS(G2491-F2491)</x:f>
        <x:v>26</x:v>
      </x:c>
      <x:c r="I2491" s="10" t="n">
        <x:f>G2491-F2491</x:f>
        <x:v>26</x:v>
      </x:c>
    </x:row>
    <x:row r="2492" ht="20" customHeight="1">
      <x:c r="A2492" s="1" t="str">
        <x:v>85123A</x:v>
      </x:c>
      <x:c r="B2492" s="10" t="n">
        <x:v>3</x:v>
      </x:c>
      <x:c r="C2492" s="9" t="d">
        <x:v>2011-11-16T00:00:00.000Z</x:v>
      </x:c>
      <x:c r="D2492" s="9" t="d">
        <x:v>2011-11-25T00:00:00.000Z</x:v>
      </x:c>
      <x:c r="E2492" s="1" t="str">
        <x:v>naive</x:v>
      </x:c>
      <x:c r="F2492" s="10" t="n">
        <x:v>222</x:v>
      </x:c>
      <x:c r="G2492" s="10" t="n">
        <x:v>157</x:v>
      </x:c>
      <x:c r="H2492" s="10" t="n">
        <x:f>ABS(G2492-F2492)</x:f>
        <x:v>65</x:v>
      </x:c>
      <x:c r="I2492" s="10" t="n">
        <x:f>G2492-F2492</x:f>
        <x:v>-65</x:v>
      </x:c>
    </x:row>
    <x:row r="2493" ht="20" customHeight="1">
      <x:c r="A2493" s="1" t="str">
        <x:v>85123A</x:v>
      </x:c>
      <x:c r="B2493" s="10" t="n">
        <x:v>3</x:v>
      </x:c>
      <x:c r="C2493" s="9" t="d">
        <x:v>2011-11-16T00:00:00.000Z</x:v>
      </x:c>
      <x:c r="D2493" s="9" t="d">
        <x:v>2011-11-26T00:00:00.000Z</x:v>
      </x:c>
      <x:c r="E2493" s="1" t="str">
        <x:v>naive</x:v>
      </x:c>
      <x:c r="F2493" s="10" t="n">
        <x:v>0</x:v>
      </x:c>
      <x:c r="G2493" s="10" t="n">
        <x:v>157</x:v>
      </x:c>
      <x:c r="H2493" s="10" t="n">
        <x:f>ABS(G2493-F2493)</x:f>
        <x:v>157</x:v>
      </x:c>
      <x:c r="I2493" s="10" t="n">
        <x:f>G2493-F2493</x:f>
        <x:v>157</x:v>
      </x:c>
    </x:row>
    <x:row r="2494" ht="20" customHeight="1">
      <x:c r="A2494" s="1" t="str">
        <x:v>85123A</x:v>
      </x:c>
      <x:c r="B2494" s="10" t="n">
        <x:v>3</x:v>
      </x:c>
      <x:c r="C2494" s="9" t="d">
        <x:v>2011-11-16T00:00:00.000Z</x:v>
      </x:c>
      <x:c r="D2494" s="9" t="d">
        <x:v>2011-11-27T00:00:00.000Z</x:v>
      </x:c>
      <x:c r="E2494" s="1" t="str">
        <x:v>naive</x:v>
      </x:c>
      <x:c r="F2494" s="10" t="n">
        <x:v>8</x:v>
      </x:c>
      <x:c r="G2494" s="10" t="n">
        <x:v>157</x:v>
      </x:c>
      <x:c r="H2494" s="10" t="n">
        <x:f>ABS(G2494-F2494)</x:f>
        <x:v>149</x:v>
      </x:c>
      <x:c r="I2494" s="10" t="n">
        <x:f>G2494-F2494</x:f>
        <x:v>149</x:v>
      </x:c>
    </x:row>
    <x:row r="2495" ht="20" customHeight="1">
      <x:c r="A2495" s="1" t="str">
        <x:v>85123A</x:v>
      </x:c>
      <x:c r="B2495" s="10" t="n">
        <x:v>3</x:v>
      </x:c>
      <x:c r="C2495" s="9" t="d">
        <x:v>2011-11-16T00:00:00.000Z</x:v>
      </x:c>
      <x:c r="D2495" s="9" t="d">
        <x:v>2011-11-28T00:00:00.000Z</x:v>
      </x:c>
      <x:c r="E2495" s="1" t="str">
        <x:v>naive</x:v>
      </x:c>
      <x:c r="F2495" s="10" t="n">
        <x:v>133</x:v>
      </x:c>
      <x:c r="G2495" s="10" t="n">
        <x:v>157</x:v>
      </x:c>
      <x:c r="H2495" s="10" t="n">
        <x:f>ABS(G2495-F2495)</x:f>
        <x:v>24</x:v>
      </x:c>
      <x:c r="I2495" s="10" t="n">
        <x:f>G2495-F2495</x:f>
        <x:v>24</x:v>
      </x:c>
    </x:row>
    <x:row r="2496" ht="20" customHeight="1">
      <x:c r="A2496" s="1" t="str">
        <x:v>85123A</x:v>
      </x:c>
      <x:c r="B2496" s="10" t="n">
        <x:v>3</x:v>
      </x:c>
      <x:c r="C2496" s="9" t="d">
        <x:v>2011-11-16T00:00:00.000Z</x:v>
      </x:c>
      <x:c r="D2496" s="9" t="d">
        <x:v>2011-11-29T00:00:00.000Z</x:v>
      </x:c>
      <x:c r="E2496" s="1" t="str">
        <x:v>naive</x:v>
      </x:c>
      <x:c r="F2496" s="10" t="n">
        <x:v>115</x:v>
      </x:c>
      <x:c r="G2496" s="10" t="n">
        <x:v>157</x:v>
      </x:c>
      <x:c r="H2496" s="10" t="n">
        <x:f>ABS(G2496-F2496)</x:f>
        <x:v>42</x:v>
      </x:c>
      <x:c r="I2496" s="10" t="n">
        <x:f>G2496-F2496</x:f>
        <x:v>42</x:v>
      </x:c>
    </x:row>
    <x:row r="2497" ht="20" customHeight="1">
      <x:c r="A2497" s="1" t="str">
        <x:v>85123A</x:v>
      </x:c>
      <x:c r="B2497" s="10" t="n">
        <x:v>3</x:v>
      </x:c>
      <x:c r="C2497" s="9" t="d">
        <x:v>2011-11-16T00:00:00.000Z</x:v>
      </x:c>
      <x:c r="D2497" s="9" t="d">
        <x:v>2011-11-30T00:00:00.000Z</x:v>
      </x:c>
      <x:c r="E2497" s="1" t="str">
        <x:v>naive</x:v>
      </x:c>
      <x:c r="F2497" s="10" t="n">
        <x:v>311</x:v>
      </x:c>
      <x:c r="G2497" s="10" t="n">
        <x:v>157</x:v>
      </x:c>
      <x:c r="H2497" s="10" t="n">
        <x:f>ABS(G2497-F2497)</x:f>
        <x:v>154</x:v>
      </x:c>
      <x:c r="I2497" s="10" t="n">
        <x:f>G2497-F2497</x:f>
        <x:v>-154</x:v>
      </x:c>
    </x:row>
    <x:row r="2498" ht="20" customHeight="1">
      <x:c r="A2498" s="1" t="str">
        <x:v>85123A</x:v>
      </x:c>
      <x:c r="B2498" s="10" t="n">
        <x:v>3</x:v>
      </x:c>
      <x:c r="C2498" s="9" t="d">
        <x:v>2011-11-16T00:00:00.000Z</x:v>
      </x:c>
      <x:c r="D2498" s="9" t="d">
        <x:v>2011-11-17T00:00:00.000Z</x:v>
      </x:c>
      <x:c r="E2498" s="1" t="str">
        <x:v>seasonal_naive</x:v>
      </x:c>
      <x:c r="F2498" s="10" t="n">
        <x:v>102</x:v>
      </x:c>
      <x:c r="G2498" s="10" t="n">
        <x:v>71</x:v>
      </x:c>
      <x:c r="H2498" s="10" t="n">
        <x:f>ABS(G2498-F2498)</x:f>
        <x:v>31</x:v>
      </x:c>
      <x:c r="I2498" s="10" t="n">
        <x:f>G2498-F2498</x:f>
        <x:v>-31</x:v>
      </x:c>
    </x:row>
    <x:row r="2499" ht="20" customHeight="1">
      <x:c r="A2499" s="1" t="str">
        <x:v>85123A</x:v>
      </x:c>
      <x:c r="B2499" s="10" t="n">
        <x:v>3</x:v>
      </x:c>
      <x:c r="C2499" s="9" t="d">
        <x:v>2011-11-16T00:00:00.000Z</x:v>
      </x:c>
      <x:c r="D2499" s="9" t="d">
        <x:v>2011-11-18T00:00:00.000Z</x:v>
      </x:c>
      <x:c r="E2499" s="1" t="str">
        <x:v>seasonal_naive</x:v>
      </x:c>
      <x:c r="F2499" s="10" t="n">
        <x:v>125</x:v>
      </x:c>
      <x:c r="G2499" s="10" t="n">
        <x:v>134</x:v>
      </x:c>
      <x:c r="H2499" s="10" t="n">
        <x:f>ABS(G2499-F2499)</x:f>
        <x:v>9</x:v>
      </x:c>
      <x:c r="I2499" s="10" t="n">
        <x:f>G2499-F2499</x:f>
        <x:v>9</x:v>
      </x:c>
    </x:row>
    <x:row r="2500" ht="20" customHeight="1">
      <x:c r="A2500" s="1" t="str">
        <x:v>85123A</x:v>
      </x:c>
      <x:c r="B2500" s="10" t="n">
        <x:v>3</x:v>
      </x:c>
      <x:c r="C2500" s="9" t="d">
        <x:v>2011-11-16T00:00:00.000Z</x:v>
      </x:c>
      <x:c r="D2500" s="9" t="d">
        <x:v>2011-11-19T00:00:00.000Z</x:v>
      </x:c>
      <x:c r="E2500" s="1" t="str">
        <x:v>seasonal_naive</x:v>
      </x:c>
      <x:c r="F2500" s="10" t="n">
        <x:v>0</x:v>
      </x:c>
      <x:c r="G2500" s="10" t="n">
        <x:v>0</x:v>
      </x:c>
      <x:c r="H2500" s="10" t="n">
        <x:f>ABS(G2500-F2500)</x:f>
        <x:v>0</x:v>
      </x:c>
      <x:c r="I2500" s="10" t="n">
        <x:f>G2500-F2500</x:f>
        <x:v>0</x:v>
      </x:c>
    </x:row>
    <x:row r="2501" ht="20" customHeight="1">
      <x:c r="A2501" s="1" t="str">
        <x:v>85123A</x:v>
      </x:c>
      <x:c r="B2501" s="10" t="n">
        <x:v>3</x:v>
      </x:c>
      <x:c r="C2501" s="9" t="d">
        <x:v>2011-11-16T00:00:00.000Z</x:v>
      </x:c>
      <x:c r="D2501" s="9" t="d">
        <x:v>2011-11-20T00:00:00.000Z</x:v>
      </x:c>
      <x:c r="E2501" s="1" t="str">
        <x:v>seasonal_naive</x:v>
      </x:c>
      <x:c r="F2501" s="10" t="n">
        <x:v>101</x:v>
      </x:c>
      <x:c r="G2501" s="10" t="n">
        <x:v>65</x:v>
      </x:c>
      <x:c r="H2501" s="10" t="n">
        <x:f>ABS(G2501-F2501)</x:f>
        <x:v>36</x:v>
      </x:c>
      <x:c r="I2501" s="10" t="n">
        <x:f>G2501-F2501</x:f>
        <x:v>-36</x:v>
      </x:c>
    </x:row>
    <x:row r="2502" ht="20" customHeight="1">
      <x:c r="A2502" s="1" t="str">
        <x:v>85123A</x:v>
      </x:c>
      <x:c r="B2502" s="10" t="n">
        <x:v>3</x:v>
      </x:c>
      <x:c r="C2502" s="9" t="d">
        <x:v>2011-11-16T00:00:00.000Z</x:v>
      </x:c>
      <x:c r="D2502" s="9" t="d">
        <x:v>2011-11-21T00:00:00.000Z</x:v>
      </x:c>
      <x:c r="E2502" s="1" t="str">
        <x:v>seasonal_naive</x:v>
      </x:c>
      <x:c r="F2502" s="10" t="n">
        <x:v>36</x:v>
      </x:c>
      <x:c r="G2502" s="10" t="n">
        <x:v>380</x:v>
      </x:c>
      <x:c r="H2502" s="10" t="n">
        <x:f>ABS(G2502-F2502)</x:f>
        <x:v>344</x:v>
      </x:c>
      <x:c r="I2502" s="10" t="n">
        <x:f>G2502-F2502</x:f>
        <x:v>344</x:v>
      </x:c>
    </x:row>
    <x:row r="2503" ht="20" customHeight="1">
      <x:c r="A2503" s="1" t="str">
        <x:v>85123A</x:v>
      </x:c>
      <x:c r="B2503" s="10" t="n">
        <x:v>3</x:v>
      </x:c>
      <x:c r="C2503" s="9" t="d">
        <x:v>2011-11-16T00:00:00.000Z</x:v>
      </x:c>
      <x:c r="D2503" s="9" t="d">
        <x:v>2011-11-22T00:00:00.000Z</x:v>
      </x:c>
      <x:c r="E2503" s="1" t="str">
        <x:v>seasonal_naive</x:v>
      </x:c>
      <x:c r="F2503" s="10" t="n">
        <x:v>253</x:v>
      </x:c>
      <x:c r="G2503" s="10" t="n">
        <x:v>457</x:v>
      </x:c>
      <x:c r="H2503" s="10" t="n">
        <x:f>ABS(G2503-F2503)</x:f>
        <x:v>204</x:v>
      </x:c>
      <x:c r="I2503" s="10" t="n">
        <x:f>G2503-F2503</x:f>
        <x:v>204</x:v>
      </x:c>
    </x:row>
    <x:row r="2504" ht="20" customHeight="1">
      <x:c r="A2504" s="1" t="str">
        <x:v>85123A</x:v>
      </x:c>
      <x:c r="B2504" s="10" t="n">
        <x:v>3</x:v>
      </x:c>
      <x:c r="C2504" s="9" t="d">
        <x:v>2011-11-16T00:00:00.000Z</x:v>
      </x:c>
      <x:c r="D2504" s="9" t="d">
        <x:v>2011-11-23T00:00:00.000Z</x:v>
      </x:c>
      <x:c r="E2504" s="1" t="str">
        <x:v>seasonal_naive</x:v>
      </x:c>
      <x:c r="F2504" s="10" t="n">
        <x:v>247</x:v>
      </x:c>
      <x:c r="G2504" s="10" t="n">
        <x:v>157</x:v>
      </x:c>
      <x:c r="H2504" s="10" t="n">
        <x:f>ABS(G2504-F2504)</x:f>
        <x:v>90</x:v>
      </x:c>
      <x:c r="I2504" s="10" t="n">
        <x:f>G2504-F2504</x:f>
        <x:v>-90</x:v>
      </x:c>
    </x:row>
    <x:row r="2505" ht="20" customHeight="1">
      <x:c r="A2505" s="1" t="str">
        <x:v>85123A</x:v>
      </x:c>
      <x:c r="B2505" s="10" t="n">
        <x:v>3</x:v>
      </x:c>
      <x:c r="C2505" s="9" t="d">
        <x:v>2011-11-16T00:00:00.000Z</x:v>
      </x:c>
      <x:c r="D2505" s="9" t="d">
        <x:v>2011-11-24T00:00:00.000Z</x:v>
      </x:c>
      <x:c r="E2505" s="1" t="str">
        <x:v>seasonal_naive</x:v>
      </x:c>
      <x:c r="F2505" s="10" t="n">
        <x:v>131</x:v>
      </x:c>
      <x:c r="G2505" s="10" t="n">
        <x:v>71</x:v>
      </x:c>
      <x:c r="H2505" s="10" t="n">
        <x:f>ABS(G2505-F2505)</x:f>
        <x:v>60</x:v>
      </x:c>
      <x:c r="I2505" s="10" t="n">
        <x:f>G2505-F2505</x:f>
        <x:v>-60</x:v>
      </x:c>
    </x:row>
    <x:row r="2506" ht="20" customHeight="1">
      <x:c r="A2506" s="1" t="str">
        <x:v>85123A</x:v>
      </x:c>
      <x:c r="B2506" s="10" t="n">
        <x:v>3</x:v>
      </x:c>
      <x:c r="C2506" s="9" t="d">
        <x:v>2011-11-16T00:00:00.000Z</x:v>
      </x:c>
      <x:c r="D2506" s="9" t="d">
        <x:v>2011-11-25T00:00:00.000Z</x:v>
      </x:c>
      <x:c r="E2506" s="1" t="str">
        <x:v>seasonal_naive</x:v>
      </x:c>
      <x:c r="F2506" s="10" t="n">
        <x:v>222</x:v>
      </x:c>
      <x:c r="G2506" s="10" t="n">
        <x:v>134</x:v>
      </x:c>
      <x:c r="H2506" s="10" t="n">
        <x:f>ABS(G2506-F2506)</x:f>
        <x:v>88</x:v>
      </x:c>
      <x:c r="I2506" s="10" t="n">
        <x:f>G2506-F2506</x:f>
        <x:v>-88</x:v>
      </x:c>
    </x:row>
    <x:row r="2507" ht="20" customHeight="1">
      <x:c r="A2507" s="1" t="str">
        <x:v>85123A</x:v>
      </x:c>
      <x:c r="B2507" s="10" t="n">
        <x:v>3</x:v>
      </x:c>
      <x:c r="C2507" s="9" t="d">
        <x:v>2011-11-16T00:00:00.000Z</x:v>
      </x:c>
      <x:c r="D2507" s="9" t="d">
        <x:v>2011-11-26T00:00:00.000Z</x:v>
      </x:c>
      <x:c r="E2507" s="1" t="str">
        <x:v>seasonal_naive</x:v>
      </x:c>
      <x:c r="F2507" s="10" t="n">
        <x:v>0</x:v>
      </x:c>
      <x:c r="G2507" s="10" t="n">
        <x:v>0</x:v>
      </x:c>
      <x:c r="H2507" s="10" t="n">
        <x:f>ABS(G2507-F2507)</x:f>
        <x:v>0</x:v>
      </x:c>
      <x:c r="I2507" s="10" t="n">
        <x:f>G2507-F2507</x:f>
        <x:v>0</x:v>
      </x:c>
    </x:row>
    <x:row r="2508" ht="20" customHeight="1">
      <x:c r="A2508" s="1" t="str">
        <x:v>85123A</x:v>
      </x:c>
      <x:c r="B2508" s="10" t="n">
        <x:v>3</x:v>
      </x:c>
      <x:c r="C2508" s="9" t="d">
        <x:v>2011-11-16T00:00:00.000Z</x:v>
      </x:c>
      <x:c r="D2508" s="9" t="d">
        <x:v>2011-11-27T00:00:00.000Z</x:v>
      </x:c>
      <x:c r="E2508" s="1" t="str">
        <x:v>seasonal_naive</x:v>
      </x:c>
      <x:c r="F2508" s="10" t="n">
        <x:v>8</x:v>
      </x:c>
      <x:c r="G2508" s="10" t="n">
        <x:v>65</x:v>
      </x:c>
      <x:c r="H2508" s="10" t="n">
        <x:f>ABS(G2508-F2508)</x:f>
        <x:v>57</x:v>
      </x:c>
      <x:c r="I2508" s="10" t="n">
        <x:f>G2508-F2508</x:f>
        <x:v>57</x:v>
      </x:c>
    </x:row>
    <x:row r="2509" ht="20" customHeight="1">
      <x:c r="A2509" s="1" t="str">
        <x:v>85123A</x:v>
      </x:c>
      <x:c r="B2509" s="10" t="n">
        <x:v>3</x:v>
      </x:c>
      <x:c r="C2509" s="9" t="d">
        <x:v>2011-11-16T00:00:00.000Z</x:v>
      </x:c>
      <x:c r="D2509" s="9" t="d">
        <x:v>2011-11-28T00:00:00.000Z</x:v>
      </x:c>
      <x:c r="E2509" s="1" t="str">
        <x:v>seasonal_naive</x:v>
      </x:c>
      <x:c r="F2509" s="10" t="n">
        <x:v>133</x:v>
      </x:c>
      <x:c r="G2509" s="10" t="n">
        <x:v>380</x:v>
      </x:c>
      <x:c r="H2509" s="10" t="n">
        <x:f>ABS(G2509-F2509)</x:f>
        <x:v>247</x:v>
      </x:c>
      <x:c r="I2509" s="10" t="n">
        <x:f>G2509-F2509</x:f>
        <x:v>247</x:v>
      </x:c>
    </x:row>
    <x:row r="2510" ht="20" customHeight="1">
      <x:c r="A2510" s="1" t="str">
        <x:v>85123A</x:v>
      </x:c>
      <x:c r="B2510" s="10" t="n">
        <x:v>3</x:v>
      </x:c>
      <x:c r="C2510" s="9" t="d">
        <x:v>2011-11-16T00:00:00.000Z</x:v>
      </x:c>
      <x:c r="D2510" s="9" t="d">
        <x:v>2011-11-29T00:00:00.000Z</x:v>
      </x:c>
      <x:c r="E2510" s="1" t="str">
        <x:v>seasonal_naive</x:v>
      </x:c>
      <x:c r="F2510" s="10" t="n">
        <x:v>115</x:v>
      </x:c>
      <x:c r="G2510" s="10" t="n">
        <x:v>457</x:v>
      </x:c>
      <x:c r="H2510" s="10" t="n">
        <x:f>ABS(G2510-F2510)</x:f>
        <x:v>342</x:v>
      </x:c>
      <x:c r="I2510" s="10" t="n">
        <x:f>G2510-F2510</x:f>
        <x:v>342</x:v>
      </x:c>
    </x:row>
    <x:row r="2511" ht="20" customHeight="1">
      <x:c r="A2511" s="1" t="str">
        <x:v>85123A</x:v>
      </x:c>
      <x:c r="B2511" s="10" t="n">
        <x:v>3</x:v>
      </x:c>
      <x:c r="C2511" s="9" t="d">
        <x:v>2011-11-16T00:00:00.000Z</x:v>
      </x:c>
      <x:c r="D2511" s="9" t="d">
        <x:v>2011-11-30T00:00:00.000Z</x:v>
      </x:c>
      <x:c r="E2511" s="1" t="str">
        <x:v>seasonal_naive</x:v>
      </x:c>
      <x:c r="F2511" s="10" t="n">
        <x:v>311</x:v>
      </x:c>
      <x:c r="G2511" s="10" t="n">
        <x:v>157</x:v>
      </x:c>
      <x:c r="H2511" s="10" t="n">
        <x:f>ABS(G2511-F2511)</x:f>
        <x:v>154</x:v>
      </x:c>
      <x:c r="I2511" s="10" t="n">
        <x:f>G2511-F2511</x:f>
        <x:v>-154</x:v>
      </x:c>
    </x:row>
    <x:row r="2512" ht="20" customHeight="1">
      <x:c r="A2512" s="1" t="str">
        <x:v>85123A</x:v>
      </x:c>
      <x:c r="B2512" s="10" t="n">
        <x:v>3</x:v>
      </x:c>
      <x:c r="C2512" s="9" t="d">
        <x:v>2011-11-16T00:00:00.000Z</x:v>
      </x:c>
      <x:c r="D2512" s="9" t="d">
        <x:v>2011-11-17T00:00:00.000Z</x:v>
      </x:c>
      <x:c r="E2512" s="1" t="str">
        <x:v>ridge</x:v>
      </x:c>
      <x:c r="F2512" s="10" t="n">
        <x:v>102</x:v>
      </x:c>
      <x:c r="G2512" s="10" t="n">
        <x:v>60.0081167549</x:v>
      </x:c>
      <x:c r="H2512" s="10" t="n">
        <x:f>ABS(G2512-F2512)</x:f>
        <x:v>41.9918832451</x:v>
      </x:c>
      <x:c r="I2512" s="10" t="n">
        <x:f>G2512-F2512</x:f>
        <x:v>-41.9918832451</x:v>
      </x:c>
    </x:row>
    <x:row r="2513" ht="20" customHeight="1">
      <x:c r="A2513" s="1" t="str">
        <x:v>85123A</x:v>
      </x:c>
      <x:c r="B2513" s="10" t="n">
        <x:v>3</x:v>
      </x:c>
      <x:c r="C2513" s="9" t="d">
        <x:v>2011-11-16T00:00:00.000Z</x:v>
      </x:c>
      <x:c r="D2513" s="9" t="d">
        <x:v>2011-11-18T00:00:00.000Z</x:v>
      </x:c>
      <x:c r="E2513" s="1" t="str">
        <x:v>ridge</x:v>
      </x:c>
      <x:c r="F2513" s="10" t="n">
        <x:v>125</x:v>
      </x:c>
      <x:c r="G2513" s="10" t="n">
        <x:v>57.9255448804</x:v>
      </x:c>
      <x:c r="H2513" s="10" t="n">
        <x:f>ABS(G2513-F2513)</x:f>
        <x:v>67.0744551196</x:v>
      </x:c>
      <x:c r="I2513" s="10" t="n">
        <x:f>G2513-F2513</x:f>
        <x:v>-67.0744551196</x:v>
      </x:c>
    </x:row>
    <x:row r="2514" ht="20" customHeight="1">
      <x:c r="A2514" s="1" t="str">
        <x:v>85123A</x:v>
      </x:c>
      <x:c r="B2514" s="10" t="n">
        <x:v>3</x:v>
      </x:c>
      <x:c r="C2514" s="9" t="d">
        <x:v>2011-11-16T00:00:00.000Z</x:v>
      </x:c>
      <x:c r="D2514" s="9" t="d">
        <x:v>2011-11-19T00:00:00.000Z</x:v>
      </x:c>
      <x:c r="E2514" s="1" t="str">
        <x:v>ridge</x:v>
      </x:c>
      <x:c r="F2514" s="10" t="n">
        <x:v>0</x:v>
      </x:c>
      <x:c r="G2514" s="10" t="n">
        <x:v>41.8436611694</x:v>
      </x:c>
      <x:c r="H2514" s="10" t="n">
        <x:f>ABS(G2514-F2514)</x:f>
        <x:v>41.8436611694</x:v>
      </x:c>
      <x:c r="I2514" s="10" t="n">
        <x:f>G2514-F2514</x:f>
        <x:v>41.8436611694</x:v>
      </x:c>
    </x:row>
    <x:row r="2515" ht="20" customHeight="1">
      <x:c r="A2515" s="1" t="str">
        <x:v>85123A</x:v>
      </x:c>
      <x:c r="B2515" s="10" t="n">
        <x:v>3</x:v>
      </x:c>
      <x:c r="C2515" s="9" t="d">
        <x:v>2011-11-16T00:00:00.000Z</x:v>
      </x:c>
      <x:c r="D2515" s="9" t="d">
        <x:v>2011-11-20T00:00:00.000Z</x:v>
      </x:c>
      <x:c r="E2515" s="1" t="str">
        <x:v>ridge</x:v>
      </x:c>
      <x:c r="F2515" s="10" t="n">
        <x:v>101</x:v>
      </x:c>
      <x:c r="G2515" s="10" t="n">
        <x:v>65.6964595893</x:v>
      </x:c>
      <x:c r="H2515" s="10" t="n">
        <x:f>ABS(G2515-F2515)</x:f>
        <x:v>35.303540410699995</x:v>
      </x:c>
      <x:c r="I2515" s="10" t="n">
        <x:f>G2515-F2515</x:f>
        <x:v>-35.303540410699995</x:v>
      </x:c>
    </x:row>
    <x:row r="2516" ht="20" customHeight="1">
      <x:c r="A2516" s="1" t="str">
        <x:v>85123A</x:v>
      </x:c>
      <x:c r="B2516" s="10" t="n">
        <x:v>3</x:v>
      </x:c>
      <x:c r="C2516" s="9" t="d">
        <x:v>2011-11-16T00:00:00.000Z</x:v>
      </x:c>
      <x:c r="D2516" s="9" t="d">
        <x:v>2011-11-21T00:00:00.000Z</x:v>
      </x:c>
      <x:c r="E2516" s="1" t="str">
        <x:v>ridge</x:v>
      </x:c>
      <x:c r="F2516" s="10" t="n">
        <x:v>36</x:v>
      </x:c>
      <x:c r="G2516" s="10" t="n">
        <x:v>112.0592387597</x:v>
      </x:c>
      <x:c r="H2516" s="10" t="n">
        <x:f>ABS(G2516-F2516)</x:f>
        <x:v>76.0592387597</x:v>
      </x:c>
      <x:c r="I2516" s="10" t="n">
        <x:f>G2516-F2516</x:f>
        <x:v>76.0592387597</x:v>
      </x:c>
    </x:row>
    <x:row r="2517" ht="20" customHeight="1">
      <x:c r="A2517" s="1" t="str">
        <x:v>85123A</x:v>
      </x:c>
      <x:c r="B2517" s="10" t="n">
        <x:v>3</x:v>
      </x:c>
      <x:c r="C2517" s="9" t="d">
        <x:v>2011-11-16T00:00:00.000Z</x:v>
      </x:c>
      <x:c r="D2517" s="9" t="d">
        <x:v>2011-11-22T00:00:00.000Z</x:v>
      </x:c>
      <x:c r="E2517" s="1" t="str">
        <x:v>ridge</x:v>
      </x:c>
      <x:c r="F2517" s="10" t="n">
        <x:v>253</x:v>
      </x:c>
      <x:c r="G2517" s="10" t="n">
        <x:v>148.7862265689</x:v>
      </x:c>
      <x:c r="H2517" s="10" t="n">
        <x:f>ABS(G2517-F2517)</x:f>
        <x:v>104.21377343110001</x:v>
      </x:c>
      <x:c r="I2517" s="10" t="n">
        <x:f>G2517-F2517</x:f>
        <x:v>-104.21377343110001</x:v>
      </x:c>
    </x:row>
    <x:row r="2518" ht="20" customHeight="1">
      <x:c r="A2518" s="1" t="str">
        <x:v>85123A</x:v>
      </x:c>
      <x:c r="B2518" s="10" t="n">
        <x:v>3</x:v>
      </x:c>
      <x:c r="C2518" s="9" t="d">
        <x:v>2011-11-16T00:00:00.000Z</x:v>
      </x:c>
      <x:c r="D2518" s="9" t="d">
        <x:v>2011-11-23T00:00:00.000Z</x:v>
      </x:c>
      <x:c r="E2518" s="1" t="str">
        <x:v>ridge</x:v>
      </x:c>
      <x:c r="F2518" s="10" t="n">
        <x:v>247</x:v>
      </x:c>
      <x:c r="G2518" s="10" t="n">
        <x:v>150.6074259649</x:v>
      </x:c>
      <x:c r="H2518" s="10" t="n">
        <x:f>ABS(G2518-F2518)</x:f>
        <x:v>96.39257403510001</x:v>
      </x:c>
      <x:c r="I2518" s="10" t="n">
        <x:f>G2518-F2518</x:f>
        <x:v>-96.39257403510001</x:v>
      </x:c>
    </x:row>
    <x:row r="2519" ht="20" customHeight="1">
      <x:c r="A2519" s="1" t="str">
        <x:v>85123A</x:v>
      </x:c>
      <x:c r="B2519" s="10" t="n">
        <x:v>3</x:v>
      </x:c>
      <x:c r="C2519" s="9" t="d">
        <x:v>2011-11-16T00:00:00.000Z</x:v>
      </x:c>
      <x:c r="D2519" s="9" t="d">
        <x:v>2011-11-24T00:00:00.000Z</x:v>
      </x:c>
      <x:c r="E2519" s="1" t="str">
        <x:v>ridge</x:v>
      </x:c>
      <x:c r="F2519" s="10" t="n">
        <x:v>131</x:v>
      </x:c>
      <x:c r="G2519" s="10" t="n">
        <x:v>106.2362413826</x:v>
      </x:c>
      <x:c r="H2519" s="10" t="n">
        <x:f>ABS(G2519-F2519)</x:f>
        <x:v>24.7637586174</x:v>
      </x:c>
      <x:c r="I2519" s="10" t="n">
        <x:f>G2519-F2519</x:f>
        <x:v>-24.7637586174</x:v>
      </x:c>
    </x:row>
    <x:row r="2520" ht="20" customHeight="1">
      <x:c r="A2520" s="1" t="str">
        <x:v>85123A</x:v>
      </x:c>
      <x:c r="B2520" s="10" t="n">
        <x:v>3</x:v>
      </x:c>
      <x:c r="C2520" s="9" t="d">
        <x:v>2011-11-16T00:00:00.000Z</x:v>
      </x:c>
      <x:c r="D2520" s="9" t="d">
        <x:v>2011-11-25T00:00:00.000Z</x:v>
      </x:c>
      <x:c r="E2520" s="1" t="str">
        <x:v>ridge</x:v>
      </x:c>
      <x:c r="F2520" s="10" t="n">
        <x:v>222</x:v>
      </x:c>
      <x:c r="G2520" s="10" t="n">
        <x:v>46.6953063436</x:v>
      </x:c>
      <x:c r="H2520" s="10" t="n">
        <x:f>ABS(G2520-F2520)</x:f>
        <x:v>175.3046936564</x:v>
      </x:c>
      <x:c r="I2520" s="10" t="n">
        <x:f>G2520-F2520</x:f>
        <x:v>-175.3046936564</x:v>
      </x:c>
    </x:row>
    <x:row r="2521" ht="20" customHeight="1">
      <x:c r="A2521" s="1" t="str">
        <x:v>85123A</x:v>
      </x:c>
      <x:c r="B2521" s="10" t="n">
        <x:v>3</x:v>
      </x:c>
      <x:c r="C2521" s="9" t="d">
        <x:v>2011-11-16T00:00:00.000Z</x:v>
      </x:c>
      <x:c r="D2521" s="9" t="d">
        <x:v>2011-11-26T00:00:00.000Z</x:v>
      </x:c>
      <x:c r="E2521" s="1" t="str">
        <x:v>ridge</x:v>
      </x:c>
      <x:c r="F2521" s="10" t="n">
        <x:v>0</x:v>
      </x:c>
      <x:c r="G2521" s="10" t="n">
        <x:v>32.0448826514</x:v>
      </x:c>
      <x:c r="H2521" s="10" t="n">
        <x:f>ABS(G2521-F2521)</x:f>
        <x:v>32.0448826514</x:v>
      </x:c>
      <x:c r="I2521" s="10" t="n">
        <x:f>G2521-F2521</x:f>
        <x:v>32.0448826514</x:v>
      </x:c>
    </x:row>
    <x:row r="2522" ht="20" customHeight="1">
      <x:c r="A2522" s="1" t="str">
        <x:v>85123A</x:v>
      </x:c>
      <x:c r="B2522" s="10" t="n">
        <x:v>3</x:v>
      </x:c>
      <x:c r="C2522" s="9" t="d">
        <x:v>2011-11-16T00:00:00.000Z</x:v>
      </x:c>
      <x:c r="D2522" s="9" t="d">
        <x:v>2011-11-27T00:00:00.000Z</x:v>
      </x:c>
      <x:c r="E2522" s="1" t="str">
        <x:v>ridge</x:v>
      </x:c>
      <x:c r="F2522" s="10" t="n">
        <x:v>8</x:v>
      </x:c>
      <x:c r="G2522" s="10" t="n">
        <x:v>57.6744952003</x:v>
      </x:c>
      <x:c r="H2522" s="10" t="n">
        <x:f>ABS(G2522-F2522)</x:f>
        <x:v>49.6744952003</x:v>
      </x:c>
      <x:c r="I2522" s="10" t="n">
        <x:f>G2522-F2522</x:f>
        <x:v>49.6744952003</x:v>
      </x:c>
    </x:row>
    <x:row r="2523" ht="20" customHeight="1">
      <x:c r="A2523" s="1" t="str">
        <x:v>85123A</x:v>
      </x:c>
      <x:c r="B2523" s="10" t="n">
        <x:v>3</x:v>
      </x:c>
      <x:c r="C2523" s="9" t="d">
        <x:v>2011-11-16T00:00:00.000Z</x:v>
      </x:c>
      <x:c r="D2523" s="9" t="d">
        <x:v>2011-11-28T00:00:00.000Z</x:v>
      </x:c>
      <x:c r="E2523" s="1" t="str">
        <x:v>ridge</x:v>
      </x:c>
      <x:c r="F2523" s="10" t="n">
        <x:v>133</x:v>
      </x:c>
      <x:c r="G2523" s="10" t="n">
        <x:v>100.426307125</x:v>
      </x:c>
      <x:c r="H2523" s="10" t="n">
        <x:f>ABS(G2523-F2523)</x:f>
        <x:v>32.573692875000006</x:v>
      </x:c>
      <x:c r="I2523" s="10" t="n">
        <x:f>G2523-F2523</x:f>
        <x:v>-32.573692875000006</x:v>
      </x:c>
    </x:row>
    <x:row r="2524" ht="20" customHeight="1">
      <x:c r="A2524" s="1" t="str">
        <x:v>85123A</x:v>
      </x:c>
      <x:c r="B2524" s="10" t="n">
        <x:v>3</x:v>
      </x:c>
      <x:c r="C2524" s="9" t="d">
        <x:v>2011-11-16T00:00:00.000Z</x:v>
      </x:c>
      <x:c r="D2524" s="9" t="d">
        <x:v>2011-11-29T00:00:00.000Z</x:v>
      </x:c>
      <x:c r="E2524" s="1" t="str">
        <x:v>ridge</x:v>
      </x:c>
      <x:c r="F2524" s="10" t="n">
        <x:v>115</x:v>
      </x:c>
      <x:c r="G2524" s="10" t="n">
        <x:v>139.700068704</x:v>
      </x:c>
      <x:c r="H2524" s="10" t="n">
        <x:f>ABS(G2524-F2524)</x:f>
        <x:v>24.70006870399999</x:v>
      </x:c>
      <x:c r="I2524" s="10" t="n">
        <x:f>G2524-F2524</x:f>
        <x:v>24.70006870399999</x:v>
      </x:c>
    </x:row>
    <x:row r="2525" ht="20" customHeight="1">
      <x:c r="A2525" s="1" t="str">
        <x:v>85123A</x:v>
      </x:c>
      <x:c r="B2525" s="10" t="n">
        <x:v>3</x:v>
      </x:c>
      <x:c r="C2525" s="9" t="d">
        <x:v>2011-11-16T00:00:00.000Z</x:v>
      </x:c>
      <x:c r="D2525" s="9" t="d">
        <x:v>2011-11-30T00:00:00.000Z</x:v>
      </x:c>
      <x:c r="E2525" s="1" t="str">
        <x:v>ridge</x:v>
      </x:c>
      <x:c r="F2525" s="10" t="n">
        <x:v>311</x:v>
      </x:c>
      <x:c r="G2525" s="10" t="n">
        <x:v>148.9100713785</x:v>
      </x:c>
      <x:c r="H2525" s="10" t="n">
        <x:f>ABS(G2525-F2525)</x:f>
        <x:v>162.0899286215</x:v>
      </x:c>
      <x:c r="I2525" s="10" t="n">
        <x:f>G2525-F2525</x:f>
        <x:v>-162.0899286215</x:v>
      </x:c>
    </x:row>
  </x:sheetData>
  <x:pageMargins left="0.7" right="0.7" top="0.75" bottom="0.75" header="0.3" footer="0.3"/>
  <x:tableParts count="1">
    <x:tablePart xmlns:r="http://schemas.openxmlformats.org/officeDocument/2006/relationships" r:id="Rffe7592f439342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description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1" t="str">
        <x:v>LUNCH BAG RED RETROSPOT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21181</x:v>
      </x:c>
      <x:c r="B7" s="1" t="str">
        <x:v>PLEASE ONE PERSON METAL SIGN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21212</x:v>
      </x:c>
      <x:c r="B8" s="1" t="str">
        <x:v>PACK OF 72 RETROSPOT CAKE CASES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21733</x:v>
      </x:c>
      <x:c r="B9" s="1" t="str">
        <x:v>RED HANGING HEART T-LIGHT HOLDER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21754</x:v>
      </x:c>
      <x:c r="B10" s="1" t="str">
        <x:v>HOME BUILDING BLOCK WORD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22111</x:v>
      </x:c>
      <x:c r="B11" s="1" t="str">
        <x:v>SCOTTIE DOG HOT WATER BOTTLE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22197</x:v>
      </x:c>
      <x:c r="B12" s="1" t="str">
        <x:v>POPCORN HOLDER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22423</x:v>
      </x:c>
      <x:c r="B13" s="1" t="str">
        <x:v>REGENCY CAKESTAND 3 TIER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22457</x:v>
      </x:c>
      <x:c r="B14" s="1" t="str">
        <x:v>NATURAL SLATE HEART CHALKBOARD 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22469</x:v>
      </x:c>
      <x:c r="B15" s="1" t="str">
        <x:v>HEART OF WICKER SMALL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22470</x:v>
      </x:c>
      <x:c r="B16" s="1" t="str">
        <x:v>HEART OF WICKER LARGE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22666</x:v>
      </x:c>
      <x:c r="B17" s="1" t="str">
        <x:v>RECIPE BOX PANTRY YELLOW DESIGN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22720</x:v>
      </x:c>
      <x:c r="B18" s="1" t="str">
        <x:v>SET OF 3 CAKE TINS PANTRY DESIGN 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22722</x:v>
      </x:c>
      <x:c r="B19" s="1" t="str">
        <x:v>SET OF 6 SPICE TINS PANTRY DESIGN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22960</x:v>
      </x:c>
      <x:c r="B20" s="1" t="str">
        <x:v>JAM MAKING SET WITH JARS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22961</x:v>
      </x:c>
      <x:c r="B21" s="1" t="str">
        <x:v>JAM MAKING SET PRINTED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84378</x:v>
      </x:c>
      <x:c r="B22" s="1" t="str">
        <x:v>SET OF 3 HEART COOKIE CUTTERS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84879</x:v>
      </x:c>
      <x:c r="B23" s="1" t="str">
        <x:v>ASSORTED COLOUR BIRD ORNAMENT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85099B</x:v>
      </x:c>
      <x:c r="B24" s="1" t="str">
        <x:v>JUMBO BAG RED RETROSPOT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85123A</x:v>
      </x:c>
      <x:c r="B25" s="1" t="str">
        <x:v>WHITE HANGING HEART T-LIGHT HOLDER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  <x:tableParts count="1">
    <x:tablePart xmlns:r="http://schemas.openxmlformats.org/officeDocument/2006/relationships" r:id="Rf5ec59d9c292457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Demand History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Source: Chen (2015), UCI Online Retail, CC BY 4.0. doi.org/10.24432/C5BW33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product_id</x:v>
      </x:c>
      <x:c r="B5" s="8" t="str">
        <x:v>date</x:v>
      </x:c>
      <x:c r="C5" s="8" t="str">
        <x:v>units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20725</x:v>
      </x:c>
      <x:c r="B6" s="9" t="d">
        <x:v>2010-12-01T00:00:00.000Z</x:v>
      </x:c>
      <x:c r="C6" s="13" t="n">
        <x:v>78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20725</x:v>
      </x:c>
      <x:c r="B7" s="9" t="d">
        <x:v>2010-12-02T00:00:00.000Z</x:v>
      </x:c>
      <x:c r="C7" s="13" t="n">
        <x:v>11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20725</x:v>
      </x:c>
      <x:c r="B8" s="9" t="d">
        <x:v>2010-12-03T00:00:00.000Z</x:v>
      </x:c>
      <x:c r="C8" s="13" t="n">
        <x:v>93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20725</x:v>
      </x:c>
      <x:c r="B9" s="9" t="d">
        <x:v>2010-12-04T00:00:00.000Z</x:v>
      </x:c>
      <x:c r="C9" s="13" t="n"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20725</x:v>
      </x:c>
      <x:c r="B10" s="9" t="d">
        <x:v>2010-12-05T00:00:00.000Z</x:v>
      </x:c>
      <x:c r="C10" s="13" t="n">
        <x:v>36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20725</x:v>
      </x:c>
      <x:c r="B11" s="9" t="d">
        <x:v>2010-12-06T00:00:00.000Z</x:v>
      </x:c>
      <x:c r="C11" s="13" t="n">
        <x:v>34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20725</x:v>
      </x:c>
      <x:c r="B12" s="9" t="d">
        <x:v>2010-12-07T00:00:00.000Z</x:v>
      </x:c>
      <x:c r="C12" s="13" t="n">
        <x:v>33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20725</x:v>
      </x:c>
      <x:c r="B13" s="9" t="d">
        <x:v>2010-12-08T00:00:00.000Z</x:v>
      </x:c>
      <x:c r="C13" s="13" t="n">
        <x:v>117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20725</x:v>
      </x:c>
      <x:c r="B14" s="9" t="d">
        <x:v>2010-12-09T00:00:00.000Z</x:v>
      </x:c>
      <x:c r="C14" s="13" t="n">
        <x:v>33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20725</x:v>
      </x:c>
      <x:c r="B15" s="9" t="d">
        <x:v>2010-12-10T00:00:00.000Z</x:v>
      </x:c>
      <x:c r="C15" s="13" t="n">
        <x:v>47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20725</x:v>
      </x:c>
      <x:c r="B16" s="9" t="d">
        <x:v>2010-12-11T00:00:00.000Z</x:v>
      </x:c>
      <x:c r="C16" s="13" t="n">
        <x:v>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20725</x:v>
      </x:c>
      <x:c r="B17" s="9" t="d">
        <x:v>2010-12-12T00:00:00.000Z</x:v>
      </x:c>
      <x:c r="C17" s="13" t="n">
        <x:v>18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20725</x:v>
      </x:c>
      <x:c r="B18" s="9" t="d">
        <x:v>2010-12-13T00:00:00.000Z</x:v>
      </x:c>
      <x:c r="C18" s="13" t="n">
        <x:v>24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20725</x:v>
      </x:c>
      <x:c r="B19" s="9" t="d">
        <x:v>2010-12-14T00:00:00.000Z</x:v>
      </x:c>
      <x:c r="C19" s="13" t="n">
        <x:v>36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20725</x:v>
      </x:c>
      <x:c r="B20" s="9" t="d">
        <x:v>2010-12-15T00:00:00.000Z</x:v>
      </x:c>
      <x:c r="C20" s="13" t="n">
        <x:v>59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20725</x:v>
      </x:c>
      <x:c r="B21" s="9" t="d">
        <x:v>2010-12-16T00:00:00.000Z</x:v>
      </x:c>
      <x:c r="C21" s="13" t="n">
        <x:v>51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20725</x:v>
      </x:c>
      <x:c r="B22" s="9" t="d">
        <x:v>2010-12-17T00:00:00.000Z</x:v>
      </x:c>
      <x:c r="C22" s="13" t="n">
        <x:v>15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20725</x:v>
      </x:c>
      <x:c r="B23" s="9" t="d">
        <x:v>2010-12-18T00:00:00.000Z</x:v>
      </x:c>
      <x:c r="C23" s="13" t="n">
        <x:v>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20725</x:v>
      </x:c>
      <x:c r="B24" s="9" t="d">
        <x:v>2010-12-19T00:00:00.000Z</x:v>
      </x:c>
      <x:c r="C24" s="13" t="n">
        <x:v>2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20725</x:v>
      </x:c>
      <x:c r="B25" s="9" t="d">
        <x:v>2010-12-20T00:00:00.000Z</x:v>
      </x:c>
      <x:c r="C25" s="13" t="n">
        <x:v>12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20725</x:v>
      </x:c>
      <x:c r="B26" s="9" t="d">
        <x:v>2010-12-21T00:00:00.000Z</x:v>
      </x:c>
      <x:c r="C26" s="13" t="n">
        <x:v>21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20725</x:v>
      </x:c>
      <x:c r="B27" s="9" t="d">
        <x:v>2010-12-22T00:00:00.000Z</x:v>
      </x:c>
      <x:c r="C27" s="13" t="n">
        <x:v>10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20725</x:v>
      </x:c>
      <x:c r="B28" s="9" t="d">
        <x:v>2010-12-23T00:00:00.000Z</x:v>
      </x:c>
      <x:c r="C28" s="13" t="n">
        <x:v>1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20725</x:v>
      </x:c>
      <x:c r="B29" s="9" t="d">
        <x:v>2010-12-24T00:00:00.000Z</x:v>
      </x:c>
      <x:c r="C29" s="13" t="n">
        <x:v>0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20725</x:v>
      </x:c>
      <x:c r="B30" s="9" t="d">
        <x:v>2010-12-25T00:00:00.000Z</x:v>
      </x:c>
      <x:c r="C30" s="13" t="n">
        <x:v>0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20725</x:v>
      </x:c>
      <x:c r="B31" s="9" t="d">
        <x:v>2010-12-26T00:00:00.000Z</x:v>
      </x:c>
      <x:c r="C31" s="13" t="n">
        <x:v>0</x:v>
      </x:c>
    </x:row>
    <x:row r="32" ht="20" customHeight="1">
      <x:c r="A32" s="1" t="str">
        <x:v>20725</x:v>
      </x:c>
      <x:c r="B32" s="9" t="d">
        <x:v>2010-12-27T00:00:00.000Z</x:v>
      </x:c>
      <x:c r="C32" s="13" t="n">
        <x:v>0</x:v>
      </x:c>
    </x:row>
    <x:row r="33" ht="20" customHeight="1">
      <x:c r="A33" s="1" t="str">
        <x:v>20725</x:v>
      </x:c>
      <x:c r="B33" s="9" t="d">
        <x:v>2010-12-28T00:00:00.000Z</x:v>
      </x:c>
      <x:c r="C33" s="13" t="n">
        <x:v>0</x:v>
      </x:c>
    </x:row>
    <x:row r="34" ht="20" customHeight="1">
      <x:c r="A34" s="1" t="str">
        <x:v>20725</x:v>
      </x:c>
      <x:c r="B34" s="9" t="d">
        <x:v>2010-12-29T00:00:00.000Z</x:v>
      </x:c>
      <x:c r="C34" s="13" t="n">
        <x:v>0</x:v>
      </x:c>
    </x:row>
    <x:row r="35" ht="20" customHeight="1">
      <x:c r="A35" s="1" t="str">
        <x:v>20725</x:v>
      </x:c>
      <x:c r="B35" s="9" t="d">
        <x:v>2010-12-30T00:00:00.000Z</x:v>
      </x:c>
      <x:c r="C35" s="13" t="n">
        <x:v>0</x:v>
      </x:c>
    </x:row>
    <x:row r="36" ht="20" customHeight="1">
      <x:c r="A36" s="1" t="str">
        <x:v>20725</x:v>
      </x:c>
      <x:c r="B36" s="9" t="d">
        <x:v>2010-12-31T00:00:00.000Z</x:v>
      </x:c>
      <x:c r="C36" s="13" t="n">
        <x:v>0</x:v>
      </x:c>
    </x:row>
    <x:row r="37" ht="20" customHeight="1">
      <x:c r="A37" s="1" t="str">
        <x:v>20725</x:v>
      </x:c>
      <x:c r="B37" s="9" t="d">
        <x:v>2011-01-01T00:00:00.000Z</x:v>
      </x:c>
      <x:c r="C37" s="13" t="n">
        <x:v>0</x:v>
      </x:c>
    </x:row>
    <x:row r="38" ht="20" customHeight="1">
      <x:c r="A38" s="1" t="str">
        <x:v>20725</x:v>
      </x:c>
      <x:c r="B38" s="9" t="d">
        <x:v>2011-01-02T00:00:00.000Z</x:v>
      </x:c>
      <x:c r="C38" s="13" t="n">
        <x:v>0</x:v>
      </x:c>
    </x:row>
    <x:row r="39" ht="20" customHeight="1">
      <x:c r="A39" s="1" t="str">
        <x:v>20725</x:v>
      </x:c>
      <x:c r="B39" s="9" t="d">
        <x:v>2011-01-03T00:00:00.000Z</x:v>
      </x:c>
      <x:c r="C39" s="13" t="n">
        <x:v>0</x:v>
      </x:c>
    </x:row>
    <x:row r="40" ht="20" customHeight="1">
      <x:c r="A40" s="1" t="str">
        <x:v>20725</x:v>
      </x:c>
      <x:c r="B40" s="9" t="d">
        <x:v>2011-01-04T00:00:00.000Z</x:v>
      </x:c>
      <x:c r="C40" s="13" t="n">
        <x:v>20</x:v>
      </x:c>
    </x:row>
    <x:row r="41" ht="20" customHeight="1">
      <x:c r="A41" s="1" t="str">
        <x:v>20725</x:v>
      </x:c>
      <x:c r="B41" s="9" t="d">
        <x:v>2011-01-05T00:00:00.000Z</x:v>
      </x:c>
      <x:c r="C41" s="13" t="n">
        <x:v>100</x:v>
      </x:c>
    </x:row>
    <x:row r="42" ht="20" customHeight="1">
      <x:c r="A42" s="1" t="str">
        <x:v>20725</x:v>
      </x:c>
      <x:c r="B42" s="9" t="d">
        <x:v>2011-01-06T00:00:00.000Z</x:v>
      </x:c>
      <x:c r="C42" s="13" t="n">
        <x:v>294</x:v>
      </x:c>
    </x:row>
    <x:row r="43" ht="20" customHeight="1">
      <x:c r="A43" s="1" t="str">
        <x:v>20725</x:v>
      </x:c>
      <x:c r="B43" s="9" t="d">
        <x:v>2011-01-07T00:00:00.000Z</x:v>
      </x:c>
      <x:c r="C43" s="13" t="n">
        <x:v>25</x:v>
      </x:c>
    </x:row>
    <x:row r="44" ht="20" customHeight="1">
      <x:c r="A44" s="1" t="str">
        <x:v>20725</x:v>
      </x:c>
      <x:c r="B44" s="9" t="d">
        <x:v>2011-01-08T00:00:00.000Z</x:v>
      </x:c>
      <x:c r="C44" s="13" t="n">
        <x:v>0</x:v>
      </x:c>
    </x:row>
    <x:row r="45" ht="20" customHeight="1">
      <x:c r="A45" s="1" t="str">
        <x:v>20725</x:v>
      </x:c>
      <x:c r="B45" s="9" t="d">
        <x:v>2011-01-09T00:00:00.000Z</x:v>
      </x:c>
      <x:c r="C45" s="13" t="n">
        <x:v>23</x:v>
      </x:c>
    </x:row>
    <x:row r="46" ht="20" customHeight="1">
      <x:c r="A46" s="1" t="str">
        <x:v>20725</x:v>
      </x:c>
      <x:c r="B46" s="9" t="d">
        <x:v>2011-01-10T00:00:00.000Z</x:v>
      </x:c>
      <x:c r="C46" s="13" t="n">
        <x:v>30</x:v>
      </x:c>
    </x:row>
    <x:row r="47" ht="20" customHeight="1">
      <x:c r="A47" s="1" t="str">
        <x:v>20725</x:v>
      </x:c>
      <x:c r="B47" s="9" t="d">
        <x:v>2011-01-11T00:00:00.000Z</x:v>
      </x:c>
      <x:c r="C47" s="13" t="n">
        <x:v>21</x:v>
      </x:c>
    </x:row>
    <x:row r="48" ht="20" customHeight="1">
      <x:c r="A48" s="1" t="str">
        <x:v>20725</x:v>
      </x:c>
      <x:c r="B48" s="9" t="d">
        <x:v>2011-01-12T00:00:00.000Z</x:v>
      </x:c>
      <x:c r="C48" s="13" t="n">
        <x:v>4</x:v>
      </x:c>
    </x:row>
    <x:row r="49" ht="20" customHeight="1">
      <x:c r="A49" s="1" t="str">
        <x:v>20725</x:v>
      </x:c>
      <x:c r="B49" s="9" t="d">
        <x:v>2011-01-13T00:00:00.000Z</x:v>
      </x:c>
      <x:c r="C49" s="13" t="n">
        <x:v>134</x:v>
      </x:c>
    </x:row>
    <x:row r="50" ht="20" customHeight="1">
      <x:c r="A50" s="1" t="str">
        <x:v>20725</x:v>
      </x:c>
      <x:c r="B50" s="9" t="d">
        <x:v>2011-01-14T00:00:00.000Z</x:v>
      </x:c>
      <x:c r="C50" s="13" t="n">
        <x:v>341</x:v>
      </x:c>
    </x:row>
    <x:row r="51" ht="20" customHeight="1">
      <x:c r="A51" s="1" t="str">
        <x:v>20725</x:v>
      </x:c>
      <x:c r="B51" s="9" t="d">
        <x:v>2011-01-15T00:00:00.000Z</x:v>
      </x:c>
      <x:c r="C51" s="13" t="n">
        <x:v>0</x:v>
      </x:c>
    </x:row>
    <x:row r="52" ht="20" customHeight="1">
      <x:c r="A52" s="1" t="str">
        <x:v>20725</x:v>
      </x:c>
      <x:c r="B52" s="9" t="d">
        <x:v>2011-01-16T00:00:00.000Z</x:v>
      </x:c>
      <x:c r="C52" s="13" t="n">
        <x:v>112</x:v>
      </x:c>
    </x:row>
    <x:row r="53" ht="20" customHeight="1">
      <x:c r="A53" s="1" t="str">
        <x:v>20725</x:v>
      </x:c>
      <x:c r="B53" s="9" t="d">
        <x:v>2011-01-17T00:00:00.000Z</x:v>
      </x:c>
      <x:c r="C53" s="13" t="n">
        <x:v>6</x:v>
      </x:c>
    </x:row>
    <x:row r="54" ht="20" customHeight="1">
      <x:c r="A54" s="1" t="str">
        <x:v>20725</x:v>
      </x:c>
      <x:c r="B54" s="9" t="d">
        <x:v>2011-01-18T00:00:00.000Z</x:v>
      </x:c>
      <x:c r="C54" s="13" t="n">
        <x:v>5</x:v>
      </x:c>
    </x:row>
    <x:row r="55" ht="20" customHeight="1">
      <x:c r="A55" s="1" t="str">
        <x:v>20725</x:v>
      </x:c>
      <x:c r="B55" s="9" t="d">
        <x:v>2011-01-19T00:00:00.000Z</x:v>
      </x:c>
      <x:c r="C55" s="13" t="n">
        <x:v>102</x:v>
      </x:c>
    </x:row>
    <x:row r="56" ht="20" customHeight="1">
      <x:c r="A56" s="1" t="str">
        <x:v>20725</x:v>
      </x:c>
      <x:c r="B56" s="9" t="d">
        <x:v>2011-01-20T00:00:00.000Z</x:v>
      </x:c>
      <x:c r="C56" s="13" t="n">
        <x:v>15</x:v>
      </x:c>
    </x:row>
    <x:row r="57" ht="20" customHeight="1">
      <x:c r="A57" s="1" t="str">
        <x:v>20725</x:v>
      </x:c>
      <x:c r="B57" s="9" t="d">
        <x:v>2011-01-21T00:00:00.000Z</x:v>
      </x:c>
      <x:c r="C57" s="13" t="n">
        <x:v>0</x:v>
      </x:c>
    </x:row>
    <x:row r="58" ht="20" customHeight="1">
      <x:c r="A58" s="1" t="str">
        <x:v>20725</x:v>
      </x:c>
      <x:c r="B58" s="9" t="d">
        <x:v>2011-01-22T00:00:00.000Z</x:v>
      </x:c>
      <x:c r="C58" s="13" t="n">
        <x:v>0</x:v>
      </x:c>
    </x:row>
    <x:row r="59" ht="20" customHeight="1">
      <x:c r="A59" s="1" t="str">
        <x:v>20725</x:v>
      </x:c>
      <x:c r="B59" s="9" t="d">
        <x:v>2011-01-23T00:00:00.000Z</x:v>
      </x:c>
      <x:c r="C59" s="13" t="n">
        <x:v>0</x:v>
      </x:c>
    </x:row>
    <x:row r="60" ht="20" customHeight="1">
      <x:c r="A60" s="1" t="str">
        <x:v>20725</x:v>
      </x:c>
      <x:c r="B60" s="9" t="d">
        <x:v>2011-01-24T00:00:00.000Z</x:v>
      </x:c>
      <x:c r="C60" s="13" t="n">
        <x:v>33</x:v>
      </x:c>
    </x:row>
    <x:row r="61" ht="20" customHeight="1">
      <x:c r="A61" s="1" t="str">
        <x:v>20725</x:v>
      </x:c>
      <x:c r="B61" s="9" t="d">
        <x:v>2011-01-25T00:00:00.000Z</x:v>
      </x:c>
      <x:c r="C61" s="13" t="n">
        <x:v>38</x:v>
      </x:c>
    </x:row>
    <x:row r="62" ht="20" customHeight="1">
      <x:c r="A62" s="1" t="str">
        <x:v>20725</x:v>
      </x:c>
      <x:c r="B62" s="9" t="d">
        <x:v>2011-01-26T00:00:00.000Z</x:v>
      </x:c>
      <x:c r="C62" s="13" t="n">
        <x:v>38</x:v>
      </x:c>
    </x:row>
    <x:row r="63" ht="20" customHeight="1">
      <x:c r="A63" s="1" t="str">
        <x:v>20725</x:v>
      </x:c>
      <x:c r="B63" s="9" t="d">
        <x:v>2011-01-27T00:00:00.000Z</x:v>
      </x:c>
      <x:c r="C63" s="13" t="n">
        <x:v>42</x:v>
      </x:c>
    </x:row>
    <x:row r="64" ht="20" customHeight="1">
      <x:c r="A64" s="1" t="str">
        <x:v>20725</x:v>
      </x:c>
      <x:c r="B64" s="9" t="d">
        <x:v>2011-01-28T00:00:00.000Z</x:v>
      </x:c>
      <x:c r="C64" s="13" t="n">
        <x:v>20</x:v>
      </x:c>
    </x:row>
    <x:row r="65" ht="20" customHeight="1">
      <x:c r="A65" s="1" t="str">
        <x:v>20725</x:v>
      </x:c>
      <x:c r="B65" s="9" t="d">
        <x:v>2011-01-29T00:00:00.000Z</x:v>
      </x:c>
      <x:c r="C65" s="13" t="n">
        <x:v>0</x:v>
      </x:c>
    </x:row>
    <x:row r="66" ht="20" customHeight="1">
      <x:c r="A66" s="1" t="str">
        <x:v>20725</x:v>
      </x:c>
      <x:c r="B66" s="9" t="d">
        <x:v>2011-01-30T00:00:00.000Z</x:v>
      </x:c>
      <x:c r="C66" s="13" t="n">
        <x:v>0</x:v>
      </x:c>
    </x:row>
    <x:row r="67" ht="20" customHeight="1">
      <x:c r="A67" s="1" t="str">
        <x:v>20725</x:v>
      </x:c>
      <x:c r="B67" s="9" t="d">
        <x:v>2011-01-31T00:00:00.000Z</x:v>
      </x:c>
      <x:c r="C67" s="13" t="n">
        <x:v>185</x:v>
      </x:c>
    </x:row>
    <x:row r="68" ht="20" customHeight="1">
      <x:c r="A68" s="1" t="str">
        <x:v>20725</x:v>
      </x:c>
      <x:c r="B68" s="9" t="d">
        <x:v>2011-02-01T00:00:00.000Z</x:v>
      </x:c>
      <x:c r="C68" s="13" t="n">
        <x:v>129</x:v>
      </x:c>
    </x:row>
    <x:row r="69" ht="20" customHeight="1">
      <x:c r="A69" s="1" t="str">
        <x:v>20725</x:v>
      </x:c>
      <x:c r="B69" s="9" t="d">
        <x:v>2011-02-02T00:00:00.000Z</x:v>
      </x:c>
      <x:c r="C69" s="13" t="n">
        <x:v>35</x:v>
      </x:c>
    </x:row>
    <x:row r="70" ht="20" customHeight="1">
      <x:c r="A70" s="1" t="str">
        <x:v>20725</x:v>
      </x:c>
      <x:c r="B70" s="9" t="d">
        <x:v>2011-02-03T00:00:00.000Z</x:v>
      </x:c>
      <x:c r="C70" s="13" t="n">
        <x:v>16</x:v>
      </x:c>
    </x:row>
    <x:row r="71" ht="20" customHeight="1">
      <x:c r="A71" s="1" t="str">
        <x:v>20725</x:v>
      </x:c>
      <x:c r="B71" s="9" t="d">
        <x:v>2011-02-04T00:00:00.000Z</x:v>
      </x:c>
      <x:c r="C71" s="13" t="n">
        <x:v>52</x:v>
      </x:c>
    </x:row>
    <x:row r="72" ht="20" customHeight="1">
      <x:c r="A72" s="1" t="str">
        <x:v>20725</x:v>
      </x:c>
      <x:c r="B72" s="9" t="d">
        <x:v>2011-02-05T00:00:00.000Z</x:v>
      </x:c>
      <x:c r="C72" s="13" t="n">
        <x:v>0</x:v>
      </x:c>
    </x:row>
    <x:row r="73" ht="20" customHeight="1">
      <x:c r="A73" s="1" t="str">
        <x:v>20725</x:v>
      </x:c>
      <x:c r="B73" s="9" t="d">
        <x:v>2011-02-06T00:00:00.000Z</x:v>
      </x:c>
      <x:c r="C73" s="13" t="n">
        <x:v>0</x:v>
      </x:c>
    </x:row>
    <x:row r="74" ht="20" customHeight="1">
      <x:c r="A74" s="1" t="str">
        <x:v>20725</x:v>
      </x:c>
      <x:c r="B74" s="9" t="d">
        <x:v>2011-02-07T00:00:00.000Z</x:v>
      </x:c>
      <x:c r="C74" s="13" t="n">
        <x:v>22</x:v>
      </x:c>
    </x:row>
    <x:row r="75" ht="20" customHeight="1">
      <x:c r="A75" s="1" t="str">
        <x:v>20725</x:v>
      </x:c>
      <x:c r="B75" s="9" t="d">
        <x:v>2011-02-08T00:00:00.000Z</x:v>
      </x:c>
      <x:c r="C75" s="13" t="n">
        <x:v>24</x:v>
      </x:c>
    </x:row>
    <x:row r="76" ht="20" customHeight="1">
      <x:c r="A76" s="1" t="str">
        <x:v>20725</x:v>
      </x:c>
      <x:c r="B76" s="9" t="d">
        <x:v>2011-02-09T00:00:00.000Z</x:v>
      </x:c>
      <x:c r="C76" s="13" t="n">
        <x:v>140</x:v>
      </x:c>
    </x:row>
    <x:row r="77" ht="20" customHeight="1">
      <x:c r="A77" s="1" t="str">
        <x:v>20725</x:v>
      </x:c>
      <x:c r="B77" s="9" t="d">
        <x:v>2011-02-10T00:00:00.000Z</x:v>
      </x:c>
      <x:c r="C77" s="13" t="n">
        <x:v>14</x:v>
      </x:c>
    </x:row>
    <x:row r="78" ht="20" customHeight="1">
      <x:c r="A78" s="1" t="str">
        <x:v>20725</x:v>
      </x:c>
      <x:c r="B78" s="9" t="d">
        <x:v>2011-02-11T00:00:00.000Z</x:v>
      </x:c>
      <x:c r="C78" s="13" t="n">
        <x:v>42</x:v>
      </x:c>
    </x:row>
    <x:row r="79" ht="20" customHeight="1">
      <x:c r="A79" s="1" t="str">
        <x:v>20725</x:v>
      </x:c>
      <x:c r="B79" s="9" t="d">
        <x:v>2011-02-12T00:00:00.000Z</x:v>
      </x:c>
      <x:c r="C79" s="13" t="n">
        <x:v>0</x:v>
      </x:c>
    </x:row>
    <x:row r="80" ht="20" customHeight="1">
      <x:c r="A80" s="1" t="str">
        <x:v>20725</x:v>
      </x:c>
      <x:c r="B80" s="9" t="d">
        <x:v>2011-02-13T00:00:00.000Z</x:v>
      </x:c>
      <x:c r="C80" s="13" t="n">
        <x:v>13</x:v>
      </x:c>
    </x:row>
    <x:row r="81" ht="20" customHeight="1">
      <x:c r="A81" s="1" t="str">
        <x:v>20725</x:v>
      </x:c>
      <x:c r="B81" s="9" t="d">
        <x:v>2011-02-14T00:00:00.000Z</x:v>
      </x:c>
      <x:c r="C81" s="13" t="n">
        <x:v>46</x:v>
      </x:c>
    </x:row>
    <x:row r="82" ht="20" customHeight="1">
      <x:c r="A82" s="1" t="str">
        <x:v>20725</x:v>
      </x:c>
      <x:c r="B82" s="9" t="d">
        <x:v>2011-02-15T00:00:00.000Z</x:v>
      </x:c>
      <x:c r="C82" s="13" t="n">
        <x:v>21</x:v>
      </x:c>
    </x:row>
    <x:row r="83" ht="20" customHeight="1">
      <x:c r="A83" s="1" t="str">
        <x:v>20725</x:v>
      </x:c>
      <x:c r="B83" s="9" t="d">
        <x:v>2011-02-16T00:00:00.000Z</x:v>
      </x:c>
      <x:c r="C83" s="13" t="n">
        <x:v>60</x:v>
      </x:c>
    </x:row>
    <x:row r="84" ht="20" customHeight="1">
      <x:c r="A84" s="1" t="str">
        <x:v>20725</x:v>
      </x:c>
      <x:c r="B84" s="9" t="d">
        <x:v>2011-02-17T00:00:00.000Z</x:v>
      </x:c>
      <x:c r="C84" s="13" t="n">
        <x:v>53</x:v>
      </x:c>
    </x:row>
    <x:row r="85" ht="20" customHeight="1">
      <x:c r="A85" s="1" t="str">
        <x:v>20725</x:v>
      </x:c>
      <x:c r="B85" s="9" t="d">
        <x:v>2011-02-18T00:00:00.000Z</x:v>
      </x:c>
      <x:c r="C85" s="13" t="n">
        <x:v>107</x:v>
      </x:c>
    </x:row>
    <x:row r="86" ht="20" customHeight="1">
      <x:c r="A86" s="1" t="str">
        <x:v>20725</x:v>
      </x:c>
      <x:c r="B86" s="9" t="d">
        <x:v>2011-02-19T00:00:00.000Z</x:v>
      </x:c>
      <x:c r="C86" s="13" t="n">
        <x:v>0</x:v>
      </x:c>
    </x:row>
    <x:row r="87" ht="20" customHeight="1">
      <x:c r="A87" s="1" t="str">
        <x:v>20725</x:v>
      </x:c>
      <x:c r="B87" s="9" t="d">
        <x:v>2011-02-20T00:00:00.000Z</x:v>
      </x:c>
      <x:c r="C87" s="13" t="n">
        <x:v>4</x:v>
      </x:c>
    </x:row>
    <x:row r="88" ht="20" customHeight="1">
      <x:c r="A88" s="1" t="str">
        <x:v>20725</x:v>
      </x:c>
      <x:c r="B88" s="9" t="d">
        <x:v>2011-02-21T00:00:00.000Z</x:v>
      </x:c>
      <x:c r="C88" s="13" t="n">
        <x:v>111</x:v>
      </x:c>
    </x:row>
    <x:row r="89" ht="20" customHeight="1">
      <x:c r="A89" s="1" t="str">
        <x:v>20725</x:v>
      </x:c>
      <x:c r="B89" s="9" t="d">
        <x:v>2011-02-22T00:00:00.000Z</x:v>
      </x:c>
      <x:c r="C89" s="13" t="n">
        <x:v>25</x:v>
      </x:c>
    </x:row>
    <x:row r="90" ht="20" customHeight="1">
      <x:c r="A90" s="1" t="str">
        <x:v>20725</x:v>
      </x:c>
      <x:c r="B90" s="9" t="d">
        <x:v>2011-02-23T00:00:00.000Z</x:v>
      </x:c>
      <x:c r="C90" s="13" t="n">
        <x:v>23</x:v>
      </x:c>
    </x:row>
    <x:row r="91" ht="20" customHeight="1">
      <x:c r="A91" s="1" t="str">
        <x:v>20725</x:v>
      </x:c>
      <x:c r="B91" s="9" t="d">
        <x:v>2011-02-24T00:00:00.000Z</x:v>
      </x:c>
      <x:c r="C91" s="13" t="n">
        <x:v>31</x:v>
      </x:c>
    </x:row>
    <x:row r="92" ht="20" customHeight="1">
      <x:c r="A92" s="1" t="str">
        <x:v>20725</x:v>
      </x:c>
      <x:c r="B92" s="9" t="d">
        <x:v>2011-02-25T00:00:00.000Z</x:v>
      </x:c>
      <x:c r="C92" s="13" t="n">
        <x:v>177</x:v>
      </x:c>
    </x:row>
    <x:row r="93" ht="20" customHeight="1">
      <x:c r="A93" s="1" t="str">
        <x:v>20725</x:v>
      </x:c>
      <x:c r="B93" s="9" t="d">
        <x:v>2011-02-26T00:00:00.000Z</x:v>
      </x:c>
      <x:c r="C93" s="13" t="n">
        <x:v>0</x:v>
      </x:c>
    </x:row>
    <x:row r="94" ht="20" customHeight="1">
      <x:c r="A94" s="1" t="str">
        <x:v>20725</x:v>
      </x:c>
      <x:c r="B94" s="9" t="d">
        <x:v>2011-02-27T00:00:00.000Z</x:v>
      </x:c>
      <x:c r="C94" s="13" t="n">
        <x:v>2</x:v>
      </x:c>
    </x:row>
    <x:row r="95" ht="20" customHeight="1">
      <x:c r="A95" s="1" t="str">
        <x:v>20725</x:v>
      </x:c>
      <x:c r="B95" s="9" t="d">
        <x:v>2011-02-28T00:00:00.000Z</x:v>
      </x:c>
      <x:c r="C95" s="13" t="n">
        <x:v>11</x:v>
      </x:c>
    </x:row>
    <x:row r="96" ht="20" customHeight="1">
      <x:c r="A96" s="1" t="str">
        <x:v>20725</x:v>
      </x:c>
      <x:c r="B96" s="9" t="d">
        <x:v>2011-03-01T00:00:00.000Z</x:v>
      </x:c>
      <x:c r="C96" s="13" t="n">
        <x:v>102</x:v>
      </x:c>
    </x:row>
    <x:row r="97" ht="20" customHeight="1">
      <x:c r="A97" s="1" t="str">
        <x:v>20725</x:v>
      </x:c>
      <x:c r="B97" s="9" t="d">
        <x:v>2011-03-02T00:00:00.000Z</x:v>
      </x:c>
      <x:c r="C97" s="13" t="n">
        <x:v>10</x:v>
      </x:c>
    </x:row>
    <x:row r="98" ht="20" customHeight="1">
      <x:c r="A98" s="1" t="str">
        <x:v>20725</x:v>
      </x:c>
      <x:c r="B98" s="9" t="d">
        <x:v>2011-03-03T00:00:00.000Z</x:v>
      </x:c>
      <x:c r="C98" s="13" t="n">
        <x:v>26</x:v>
      </x:c>
    </x:row>
    <x:row r="99" ht="20" customHeight="1">
      <x:c r="A99" s="1" t="str">
        <x:v>20725</x:v>
      </x:c>
      <x:c r="B99" s="9" t="d">
        <x:v>2011-03-04T00:00:00.000Z</x:v>
      </x:c>
      <x:c r="C99" s="13" t="n">
        <x:v>20</x:v>
      </x:c>
    </x:row>
    <x:row r="100" ht="20" customHeight="1">
      <x:c r="A100" s="1" t="str">
        <x:v>20725</x:v>
      </x:c>
      <x:c r="B100" s="9" t="d">
        <x:v>2011-03-05T00:00:00.000Z</x:v>
      </x:c>
      <x:c r="C100" s="13" t="n">
        <x:v>0</x:v>
      </x:c>
    </x:row>
    <x:row r="101" ht="20" customHeight="1">
      <x:c r="A101" s="1" t="str">
        <x:v>20725</x:v>
      </x:c>
      <x:c r="B101" s="9" t="d">
        <x:v>2011-03-06T00:00:00.000Z</x:v>
      </x:c>
      <x:c r="C101" s="13" t="n">
        <x:v>6</x:v>
      </x:c>
    </x:row>
    <x:row r="102" ht="20" customHeight="1">
      <x:c r="A102" s="1" t="str">
        <x:v>20725</x:v>
      </x:c>
      <x:c r="B102" s="9" t="d">
        <x:v>2011-03-07T00:00:00.000Z</x:v>
      </x:c>
      <x:c r="C102" s="13" t="n">
        <x:v>1</x:v>
      </x:c>
    </x:row>
    <x:row r="103" ht="20" customHeight="1">
      <x:c r="A103" s="1" t="str">
        <x:v>20725</x:v>
      </x:c>
      <x:c r="B103" s="9" t="d">
        <x:v>2011-03-08T00:00:00.000Z</x:v>
      </x:c>
      <x:c r="C103" s="13" t="n">
        <x:v>65</x:v>
      </x:c>
    </x:row>
    <x:row r="104" ht="20" customHeight="1">
      <x:c r="A104" s="1" t="str">
        <x:v>20725</x:v>
      </x:c>
      <x:c r="B104" s="9" t="d">
        <x:v>2011-03-09T00:00:00.000Z</x:v>
      </x:c>
      <x:c r="C104" s="13" t="n">
        <x:v>21</x:v>
      </x:c>
    </x:row>
    <x:row r="105" ht="20" customHeight="1">
      <x:c r="A105" s="1" t="str">
        <x:v>20725</x:v>
      </x:c>
      <x:c r="B105" s="9" t="d">
        <x:v>2011-03-10T00:00:00.000Z</x:v>
      </x:c>
      <x:c r="C105" s="13" t="n">
        <x:v>36</x:v>
      </x:c>
    </x:row>
    <x:row r="106" ht="20" customHeight="1">
      <x:c r="A106" s="1" t="str">
        <x:v>20725</x:v>
      </x:c>
      <x:c r="B106" s="9" t="d">
        <x:v>2011-03-11T00:00:00.000Z</x:v>
      </x:c>
      <x:c r="C106" s="13" t="n">
        <x:v>25</x:v>
      </x:c>
    </x:row>
    <x:row r="107" ht="20" customHeight="1">
      <x:c r="A107" s="1" t="str">
        <x:v>20725</x:v>
      </x:c>
      <x:c r="B107" s="9" t="d">
        <x:v>2011-03-12T00:00:00.000Z</x:v>
      </x:c>
      <x:c r="C107" s="13" t="n">
        <x:v>0</x:v>
      </x:c>
    </x:row>
    <x:row r="108" ht="20" customHeight="1">
      <x:c r="A108" s="1" t="str">
        <x:v>20725</x:v>
      </x:c>
      <x:c r="B108" s="9" t="d">
        <x:v>2011-03-13T00:00:00.000Z</x:v>
      </x:c>
      <x:c r="C108" s="13" t="n">
        <x:v>0</x:v>
      </x:c>
    </x:row>
    <x:row r="109" ht="20" customHeight="1">
      <x:c r="A109" s="1" t="str">
        <x:v>20725</x:v>
      </x:c>
      <x:c r="B109" s="9" t="d">
        <x:v>2011-03-14T00:00:00.000Z</x:v>
      </x:c>
      <x:c r="C109" s="13" t="n">
        <x:v>152</x:v>
      </x:c>
    </x:row>
    <x:row r="110" ht="20" customHeight="1">
      <x:c r="A110" s="1" t="str">
        <x:v>20725</x:v>
      </x:c>
      <x:c r="B110" s="9" t="d">
        <x:v>2011-03-15T00:00:00.000Z</x:v>
      </x:c>
      <x:c r="C110" s="13" t="n">
        <x:v>12</x:v>
      </x:c>
    </x:row>
    <x:row r="111" ht="20" customHeight="1">
      <x:c r="A111" s="1" t="str">
        <x:v>20725</x:v>
      </x:c>
      <x:c r="B111" s="9" t="d">
        <x:v>2011-03-16T00:00:00.000Z</x:v>
      </x:c>
      <x:c r="C111" s="13" t="n">
        <x:v>4</x:v>
      </x:c>
    </x:row>
    <x:row r="112" ht="20" customHeight="1">
      <x:c r="A112" s="1" t="str">
        <x:v>20725</x:v>
      </x:c>
      <x:c r="B112" s="9" t="d">
        <x:v>2011-03-17T00:00:00.000Z</x:v>
      </x:c>
      <x:c r="C112" s="13" t="n">
        <x:v>42</x:v>
      </x:c>
    </x:row>
    <x:row r="113" ht="20" customHeight="1">
      <x:c r="A113" s="1" t="str">
        <x:v>20725</x:v>
      </x:c>
      <x:c r="B113" s="9" t="d">
        <x:v>2011-03-18T00:00:00.000Z</x:v>
      </x:c>
      <x:c r="C113" s="13" t="n">
        <x:v>14</x:v>
      </x:c>
    </x:row>
    <x:row r="114" ht="20" customHeight="1">
      <x:c r="A114" s="1" t="str">
        <x:v>20725</x:v>
      </x:c>
      <x:c r="B114" s="9" t="d">
        <x:v>2011-03-19T00:00:00.000Z</x:v>
      </x:c>
      <x:c r="C114" s="13" t="n">
        <x:v>0</x:v>
      </x:c>
    </x:row>
    <x:row r="115" ht="20" customHeight="1">
      <x:c r="A115" s="1" t="str">
        <x:v>20725</x:v>
      </x:c>
      <x:c r="B115" s="9" t="d">
        <x:v>2011-03-20T00:00:00.000Z</x:v>
      </x:c>
      <x:c r="C115" s="13" t="n">
        <x:v>53</x:v>
      </x:c>
    </x:row>
    <x:row r="116" ht="20" customHeight="1">
      <x:c r="A116" s="1" t="str">
        <x:v>20725</x:v>
      </x:c>
      <x:c r="B116" s="9" t="d">
        <x:v>2011-03-21T00:00:00.000Z</x:v>
      </x:c>
      <x:c r="C116" s="13" t="n">
        <x:v>75</x:v>
      </x:c>
    </x:row>
    <x:row r="117" ht="20" customHeight="1">
      <x:c r="A117" s="1" t="str">
        <x:v>20725</x:v>
      </x:c>
      <x:c r="B117" s="9" t="d">
        <x:v>2011-03-22T00:00:00.000Z</x:v>
      </x:c>
      <x:c r="C117" s="13" t="n">
        <x:v>43</x:v>
      </x:c>
    </x:row>
    <x:row r="118" ht="20" customHeight="1">
      <x:c r="A118" s="1" t="str">
        <x:v>20725</x:v>
      </x:c>
      <x:c r="B118" s="9" t="d">
        <x:v>2011-03-23T00:00:00.000Z</x:v>
      </x:c>
      <x:c r="C118" s="13" t="n">
        <x:v>21</x:v>
      </x:c>
    </x:row>
    <x:row r="119" ht="20" customHeight="1">
      <x:c r="A119" s="1" t="str">
        <x:v>20725</x:v>
      </x:c>
      <x:c r="B119" s="9" t="d">
        <x:v>2011-03-24T00:00:00.000Z</x:v>
      </x:c>
      <x:c r="C119" s="13" t="n">
        <x:v>35</x:v>
      </x:c>
    </x:row>
    <x:row r="120" ht="20" customHeight="1">
      <x:c r="A120" s="1" t="str">
        <x:v>20725</x:v>
      </x:c>
      <x:c r="B120" s="9" t="d">
        <x:v>2011-03-25T00:00:00.000Z</x:v>
      </x:c>
      <x:c r="C120" s="13" t="n">
        <x:v>205</x:v>
      </x:c>
    </x:row>
    <x:row r="121" ht="20" customHeight="1">
      <x:c r="A121" s="1" t="str">
        <x:v>20725</x:v>
      </x:c>
      <x:c r="B121" s="9" t="d">
        <x:v>2011-03-26T00:00:00.000Z</x:v>
      </x:c>
      <x:c r="C121" s="13" t="n">
        <x:v>0</x:v>
      </x:c>
    </x:row>
    <x:row r="122" ht="20" customHeight="1">
      <x:c r="A122" s="1" t="str">
        <x:v>20725</x:v>
      </x:c>
      <x:c r="B122" s="9" t="d">
        <x:v>2011-03-27T00:00:00.000Z</x:v>
      </x:c>
      <x:c r="C122" s="13" t="n">
        <x:v>0</x:v>
      </x:c>
    </x:row>
    <x:row r="123" ht="20" customHeight="1">
      <x:c r="A123" s="1" t="str">
        <x:v>20725</x:v>
      </x:c>
      <x:c r="B123" s="9" t="d">
        <x:v>2011-03-28T00:00:00.000Z</x:v>
      </x:c>
      <x:c r="C123" s="13" t="n">
        <x:v>76</x:v>
      </x:c>
    </x:row>
    <x:row r="124" ht="20" customHeight="1">
      <x:c r="A124" s="1" t="str">
        <x:v>20725</x:v>
      </x:c>
      <x:c r="B124" s="9" t="d">
        <x:v>2011-03-29T00:00:00.000Z</x:v>
      </x:c>
      <x:c r="C124" s="13" t="n">
        <x:v>206</x:v>
      </x:c>
    </x:row>
    <x:row r="125" ht="20" customHeight="1">
      <x:c r="A125" s="1" t="str">
        <x:v>20725</x:v>
      </x:c>
      <x:c r="B125" s="9" t="d">
        <x:v>2011-03-30T00:00:00.000Z</x:v>
      </x:c>
      <x:c r="C125" s="13" t="n">
        <x:v>157</x:v>
      </x:c>
    </x:row>
    <x:row r="126" ht="20" customHeight="1">
      <x:c r="A126" s="1" t="str">
        <x:v>20725</x:v>
      </x:c>
      <x:c r="B126" s="9" t="d">
        <x:v>2011-03-31T00:00:00.000Z</x:v>
      </x:c>
      <x:c r="C126" s="13" t="n">
        <x:v>97</x:v>
      </x:c>
    </x:row>
    <x:row r="127" ht="20" customHeight="1">
      <x:c r="A127" s="1" t="str">
        <x:v>20725</x:v>
      </x:c>
      <x:c r="B127" s="9" t="d">
        <x:v>2011-04-01T00:00:00.000Z</x:v>
      </x:c>
      <x:c r="C127" s="13" t="n">
        <x:v>40</x:v>
      </x:c>
    </x:row>
    <x:row r="128" ht="20" customHeight="1">
      <x:c r="A128" s="1" t="str">
        <x:v>20725</x:v>
      </x:c>
      <x:c r="B128" s="9" t="d">
        <x:v>2011-04-02T00:00:00.000Z</x:v>
      </x:c>
      <x:c r="C128" s="13" t="n">
        <x:v>0</x:v>
      </x:c>
    </x:row>
    <x:row r="129" ht="20" customHeight="1">
      <x:c r="A129" s="1" t="str">
        <x:v>20725</x:v>
      </x:c>
      <x:c r="B129" s="9" t="d">
        <x:v>2011-04-03T00:00:00.000Z</x:v>
      </x:c>
      <x:c r="C129" s="13" t="n">
        <x:v>11</x:v>
      </x:c>
    </x:row>
    <x:row r="130" ht="20" customHeight="1">
      <x:c r="A130" s="1" t="str">
        <x:v>20725</x:v>
      </x:c>
      <x:c r="B130" s="9" t="d">
        <x:v>2011-04-04T00:00:00.000Z</x:v>
      </x:c>
      <x:c r="C130" s="13" t="n">
        <x:v>42</x:v>
      </x:c>
    </x:row>
    <x:row r="131" ht="20" customHeight="1">
      <x:c r="A131" s="1" t="str">
        <x:v>20725</x:v>
      </x:c>
      <x:c r="B131" s="9" t="d">
        <x:v>2011-04-05T00:00:00.000Z</x:v>
      </x:c>
      <x:c r="C131" s="13" t="n">
        <x:v>2</x:v>
      </x:c>
    </x:row>
    <x:row r="132" ht="20" customHeight="1">
      <x:c r="A132" s="1" t="str">
        <x:v>20725</x:v>
      </x:c>
      <x:c r="B132" s="9" t="d">
        <x:v>2011-04-06T00:00:00.000Z</x:v>
      </x:c>
      <x:c r="C132" s="13" t="n">
        <x:v>84</x:v>
      </x:c>
    </x:row>
    <x:row r="133" ht="20" customHeight="1">
      <x:c r="A133" s="1" t="str">
        <x:v>20725</x:v>
      </x:c>
      <x:c r="B133" s="9" t="d">
        <x:v>2011-04-07T00:00:00.000Z</x:v>
      </x:c>
      <x:c r="C133" s="13" t="n">
        <x:v>17</x:v>
      </x:c>
    </x:row>
    <x:row r="134" ht="20" customHeight="1">
      <x:c r="A134" s="1" t="str">
        <x:v>20725</x:v>
      </x:c>
      <x:c r="B134" s="9" t="d">
        <x:v>2011-04-08T00:00:00.000Z</x:v>
      </x:c>
      <x:c r="C134" s="13" t="n">
        <x:v>80</x:v>
      </x:c>
    </x:row>
    <x:row r="135" ht="20" customHeight="1">
      <x:c r="A135" s="1" t="str">
        <x:v>20725</x:v>
      </x:c>
      <x:c r="B135" s="9" t="d">
        <x:v>2011-04-09T00:00:00.000Z</x:v>
      </x:c>
      <x:c r="C135" s="13" t="n">
        <x:v>0</x:v>
      </x:c>
    </x:row>
    <x:row r="136" ht="20" customHeight="1">
      <x:c r="A136" s="1" t="str">
        <x:v>20725</x:v>
      </x:c>
      <x:c r="B136" s="9" t="d">
        <x:v>2011-04-10T00:00:00.000Z</x:v>
      </x:c>
      <x:c r="C136" s="13" t="n">
        <x:v>22</x:v>
      </x:c>
    </x:row>
    <x:row r="137" ht="20" customHeight="1">
      <x:c r="A137" s="1" t="str">
        <x:v>20725</x:v>
      </x:c>
      <x:c r="B137" s="9" t="d">
        <x:v>2011-04-11T00:00:00.000Z</x:v>
      </x:c>
      <x:c r="C137" s="13" t="n">
        <x:v>94</x:v>
      </x:c>
    </x:row>
    <x:row r="138" ht="20" customHeight="1">
      <x:c r="A138" s="1" t="str">
        <x:v>20725</x:v>
      </x:c>
      <x:c r="B138" s="9" t="d">
        <x:v>2011-04-12T00:00:00.000Z</x:v>
      </x:c>
      <x:c r="C138" s="13" t="n">
        <x:v>61</x:v>
      </x:c>
    </x:row>
    <x:row r="139" ht="20" customHeight="1">
      <x:c r="A139" s="1" t="str">
        <x:v>20725</x:v>
      </x:c>
      <x:c r="B139" s="9" t="d">
        <x:v>2011-04-13T00:00:00.000Z</x:v>
      </x:c>
      <x:c r="C139" s="13" t="n">
        <x:v>34</x:v>
      </x:c>
    </x:row>
    <x:row r="140" ht="20" customHeight="1">
      <x:c r="A140" s="1" t="str">
        <x:v>20725</x:v>
      </x:c>
      <x:c r="B140" s="9" t="d">
        <x:v>2011-04-14T00:00:00.000Z</x:v>
      </x:c>
      <x:c r="C140" s="13" t="n">
        <x:v>40</x:v>
      </x:c>
    </x:row>
    <x:row r="141" ht="20" customHeight="1">
      <x:c r="A141" s="1" t="str">
        <x:v>20725</x:v>
      </x:c>
      <x:c r="B141" s="9" t="d">
        <x:v>2011-04-15T00:00:00.000Z</x:v>
      </x:c>
      <x:c r="C141" s="13" t="n">
        <x:v>73</x:v>
      </x:c>
    </x:row>
    <x:row r="142" ht="20" customHeight="1">
      <x:c r="A142" s="1" t="str">
        <x:v>20725</x:v>
      </x:c>
      <x:c r="B142" s="9" t="d">
        <x:v>2011-04-16T00:00:00.000Z</x:v>
      </x:c>
      <x:c r="C142" s="13" t="n">
        <x:v>0</x:v>
      </x:c>
    </x:row>
    <x:row r="143" ht="20" customHeight="1">
      <x:c r="A143" s="1" t="str">
        <x:v>20725</x:v>
      </x:c>
      <x:c r="B143" s="9" t="d">
        <x:v>2011-04-17T00:00:00.000Z</x:v>
      </x:c>
      <x:c r="C143" s="13" t="n">
        <x:v>3</x:v>
      </x:c>
    </x:row>
    <x:row r="144" ht="20" customHeight="1">
      <x:c r="A144" s="1" t="str">
        <x:v>20725</x:v>
      </x:c>
      <x:c r="B144" s="9" t="d">
        <x:v>2011-04-18T00:00:00.000Z</x:v>
      </x:c>
      <x:c r="C144" s="13" t="n">
        <x:v>143</x:v>
      </x:c>
    </x:row>
    <x:row r="145" ht="20" customHeight="1">
      <x:c r="A145" s="1" t="str">
        <x:v>20725</x:v>
      </x:c>
      <x:c r="B145" s="9" t="d">
        <x:v>2011-04-19T00:00:00.000Z</x:v>
      </x:c>
      <x:c r="C145" s="13" t="n">
        <x:v>36</x:v>
      </x:c>
    </x:row>
    <x:row r="146" ht="20" customHeight="1">
      <x:c r="A146" s="1" t="str">
        <x:v>20725</x:v>
      </x:c>
      <x:c r="B146" s="9" t="d">
        <x:v>2011-04-20T00:00:00.000Z</x:v>
      </x:c>
      <x:c r="C146" s="13" t="n">
        <x:v>85</x:v>
      </x:c>
    </x:row>
    <x:row r="147" ht="20" customHeight="1">
      <x:c r="A147" s="1" t="str">
        <x:v>20725</x:v>
      </x:c>
      <x:c r="B147" s="9" t="d">
        <x:v>2011-04-21T00:00:00.000Z</x:v>
      </x:c>
      <x:c r="C147" s="13" t="n">
        <x:v>104</x:v>
      </x:c>
    </x:row>
    <x:row r="148" ht="20" customHeight="1">
      <x:c r="A148" s="1" t="str">
        <x:v>20725</x:v>
      </x:c>
      <x:c r="B148" s="9" t="d">
        <x:v>2011-04-22T00:00:00.000Z</x:v>
      </x:c>
      <x:c r="C148" s="13" t="n">
        <x:v>0</x:v>
      </x:c>
    </x:row>
    <x:row r="149" ht="20" customHeight="1">
      <x:c r="A149" s="1" t="str">
        <x:v>20725</x:v>
      </x:c>
      <x:c r="B149" s="9" t="d">
        <x:v>2011-04-23T00:00:00.000Z</x:v>
      </x:c>
      <x:c r="C149" s="13" t="n">
        <x:v>0</x:v>
      </x:c>
    </x:row>
    <x:row r="150" ht="20" customHeight="1">
      <x:c r="A150" s="1" t="str">
        <x:v>20725</x:v>
      </x:c>
      <x:c r="B150" s="9" t="d">
        <x:v>2011-04-24T00:00:00.000Z</x:v>
      </x:c>
      <x:c r="C150" s="13" t="n">
        <x:v>0</x:v>
      </x:c>
    </x:row>
    <x:row r="151" ht="20" customHeight="1">
      <x:c r="A151" s="1" t="str">
        <x:v>20725</x:v>
      </x:c>
      <x:c r="B151" s="9" t="d">
        <x:v>2011-04-25T00:00:00.000Z</x:v>
      </x:c>
      <x:c r="C151" s="13" t="n">
        <x:v>0</x:v>
      </x:c>
    </x:row>
    <x:row r="152" ht="20" customHeight="1">
      <x:c r="A152" s="1" t="str">
        <x:v>20725</x:v>
      </x:c>
      <x:c r="B152" s="9" t="d">
        <x:v>2011-04-26T00:00:00.000Z</x:v>
      </x:c>
      <x:c r="C152" s="13" t="n">
        <x:v>62</x:v>
      </x:c>
    </x:row>
    <x:row r="153" ht="20" customHeight="1">
      <x:c r="A153" s="1" t="str">
        <x:v>20725</x:v>
      </x:c>
      <x:c r="B153" s="9" t="d">
        <x:v>2011-04-27T00:00:00.000Z</x:v>
      </x:c>
      <x:c r="C153" s="13" t="n">
        <x:v>69</x:v>
      </x:c>
    </x:row>
    <x:row r="154" ht="20" customHeight="1">
      <x:c r="A154" s="1" t="str">
        <x:v>20725</x:v>
      </x:c>
      <x:c r="B154" s="9" t="d">
        <x:v>2011-04-28T00:00:00.000Z</x:v>
      </x:c>
      <x:c r="C154" s="13" t="n">
        <x:v>23</x:v>
      </x:c>
    </x:row>
    <x:row r="155" ht="20" customHeight="1">
      <x:c r="A155" s="1" t="str">
        <x:v>20725</x:v>
      </x:c>
      <x:c r="B155" s="9" t="d">
        <x:v>2011-04-29T00:00:00.000Z</x:v>
      </x:c>
      <x:c r="C155" s="13" t="n">
        <x:v>0</x:v>
      </x:c>
    </x:row>
    <x:row r="156" ht="20" customHeight="1">
      <x:c r="A156" s="1" t="str">
        <x:v>20725</x:v>
      </x:c>
      <x:c r="B156" s="9" t="d">
        <x:v>2011-04-30T00:00:00.000Z</x:v>
      </x:c>
      <x:c r="C156" s="13" t="n">
        <x:v>0</x:v>
      </x:c>
    </x:row>
    <x:row r="157" ht="20" customHeight="1">
      <x:c r="A157" s="1" t="str">
        <x:v>20725</x:v>
      </x:c>
      <x:c r="B157" s="9" t="d">
        <x:v>2011-05-01T00:00:00.000Z</x:v>
      </x:c>
      <x:c r="C157" s="13" t="n">
        <x:v>10</x:v>
      </x:c>
    </x:row>
    <x:row r="158" ht="20" customHeight="1">
      <x:c r="A158" s="1" t="str">
        <x:v>20725</x:v>
      </x:c>
      <x:c r="B158" s="9" t="d">
        <x:v>2011-05-02T00:00:00.000Z</x:v>
      </x:c>
      <x:c r="C158" s="13" t="n">
        <x:v>0</x:v>
      </x:c>
    </x:row>
    <x:row r="159" ht="20" customHeight="1">
      <x:c r="A159" s="1" t="str">
        <x:v>20725</x:v>
      </x:c>
      <x:c r="B159" s="9" t="d">
        <x:v>2011-05-03T00:00:00.000Z</x:v>
      </x:c>
      <x:c r="C159" s="13" t="n">
        <x:v>75</x:v>
      </x:c>
    </x:row>
    <x:row r="160" ht="20" customHeight="1">
      <x:c r="A160" s="1" t="str">
        <x:v>20725</x:v>
      </x:c>
      <x:c r="B160" s="9" t="d">
        <x:v>2011-05-04T00:00:00.000Z</x:v>
      </x:c>
      <x:c r="C160" s="13" t="n">
        <x:v>1</x:v>
      </x:c>
    </x:row>
    <x:row r="161" ht="20" customHeight="1">
      <x:c r="A161" s="1" t="str">
        <x:v>20725</x:v>
      </x:c>
      <x:c r="B161" s="9" t="d">
        <x:v>2011-05-05T00:00:00.000Z</x:v>
      </x:c>
      <x:c r="C161" s="13" t="n">
        <x:v>38</x:v>
      </x:c>
    </x:row>
    <x:row r="162" ht="20" customHeight="1">
      <x:c r="A162" s="1" t="str">
        <x:v>20725</x:v>
      </x:c>
      <x:c r="B162" s="9" t="d">
        <x:v>2011-05-06T00:00:00.000Z</x:v>
      </x:c>
      <x:c r="C162" s="13" t="n">
        <x:v>140</x:v>
      </x:c>
    </x:row>
    <x:row r="163" ht="20" customHeight="1">
      <x:c r="A163" s="1" t="str">
        <x:v>20725</x:v>
      </x:c>
      <x:c r="B163" s="9" t="d">
        <x:v>2011-05-07T00:00:00.000Z</x:v>
      </x:c>
      <x:c r="C163" s="13" t="n">
        <x:v>0</x:v>
      </x:c>
    </x:row>
    <x:row r="164" ht="20" customHeight="1">
      <x:c r="A164" s="1" t="str">
        <x:v>20725</x:v>
      </x:c>
      <x:c r="B164" s="9" t="d">
        <x:v>2011-05-08T00:00:00.000Z</x:v>
      </x:c>
      <x:c r="C164" s="13" t="n">
        <x:v>35</x:v>
      </x:c>
    </x:row>
    <x:row r="165" ht="20" customHeight="1">
      <x:c r="A165" s="1" t="str">
        <x:v>20725</x:v>
      </x:c>
      <x:c r="B165" s="9" t="d">
        <x:v>2011-05-09T00:00:00.000Z</x:v>
      </x:c>
      <x:c r="C165" s="13" t="n">
        <x:v>113</x:v>
      </x:c>
    </x:row>
    <x:row r="166" ht="20" customHeight="1">
      <x:c r="A166" s="1" t="str">
        <x:v>20725</x:v>
      </x:c>
      <x:c r="B166" s="9" t="d">
        <x:v>2011-05-10T00:00:00.000Z</x:v>
      </x:c>
      <x:c r="C166" s="13" t="n">
        <x:v>73</x:v>
      </x:c>
    </x:row>
    <x:row r="167" ht="20" customHeight="1">
      <x:c r="A167" s="1" t="str">
        <x:v>20725</x:v>
      </x:c>
      <x:c r="B167" s="9" t="d">
        <x:v>2011-05-11T00:00:00.000Z</x:v>
      </x:c>
      <x:c r="C167" s="13" t="n">
        <x:v>160</x:v>
      </x:c>
    </x:row>
    <x:row r="168" ht="20" customHeight="1">
      <x:c r="A168" s="1" t="str">
        <x:v>20725</x:v>
      </x:c>
      <x:c r="B168" s="9" t="d">
        <x:v>2011-05-12T00:00:00.000Z</x:v>
      </x:c>
      <x:c r="C168" s="13" t="n">
        <x:v>432</x:v>
      </x:c>
    </x:row>
    <x:row r="169" ht="20" customHeight="1">
      <x:c r="A169" s="1" t="str">
        <x:v>20725</x:v>
      </x:c>
      <x:c r="B169" s="9" t="d">
        <x:v>2011-05-13T00:00:00.000Z</x:v>
      </x:c>
      <x:c r="C169" s="13" t="n">
        <x:v>91</x:v>
      </x:c>
    </x:row>
    <x:row r="170" ht="20" customHeight="1">
      <x:c r="A170" s="1" t="str">
        <x:v>20725</x:v>
      </x:c>
      <x:c r="B170" s="9" t="d">
        <x:v>2011-05-14T00:00:00.000Z</x:v>
      </x:c>
      <x:c r="C170" s="13" t="n">
        <x:v>0</x:v>
      </x:c>
    </x:row>
    <x:row r="171" ht="20" customHeight="1">
      <x:c r="A171" s="1" t="str">
        <x:v>20725</x:v>
      </x:c>
      <x:c r="B171" s="9" t="d">
        <x:v>2011-05-15T00:00:00.000Z</x:v>
      </x:c>
      <x:c r="C171" s="13" t="n">
        <x:v>16</x:v>
      </x:c>
    </x:row>
    <x:row r="172" ht="20" customHeight="1">
      <x:c r="A172" s="1" t="str">
        <x:v>20725</x:v>
      </x:c>
      <x:c r="B172" s="9" t="d">
        <x:v>2011-05-16T00:00:00.000Z</x:v>
      </x:c>
      <x:c r="C172" s="13" t="n">
        <x:v>108</x:v>
      </x:c>
    </x:row>
    <x:row r="173" ht="20" customHeight="1">
      <x:c r="A173" s="1" t="str">
        <x:v>20725</x:v>
      </x:c>
      <x:c r="B173" s="9" t="d">
        <x:v>2011-05-17T00:00:00.000Z</x:v>
      </x:c>
      <x:c r="C173" s="13" t="n">
        <x:v>59</x:v>
      </x:c>
    </x:row>
    <x:row r="174" ht="20" customHeight="1">
      <x:c r="A174" s="1" t="str">
        <x:v>20725</x:v>
      </x:c>
      <x:c r="B174" s="9" t="d">
        <x:v>2011-05-18T00:00:00.000Z</x:v>
      </x:c>
      <x:c r="C174" s="13" t="n">
        <x:v>22</x:v>
      </x:c>
    </x:row>
    <x:row r="175" ht="20" customHeight="1">
      <x:c r="A175" s="1" t="str">
        <x:v>20725</x:v>
      </x:c>
      <x:c r="B175" s="9" t="d">
        <x:v>2011-05-19T00:00:00.000Z</x:v>
      </x:c>
      <x:c r="C175" s="13" t="n">
        <x:v>83</x:v>
      </x:c>
    </x:row>
    <x:row r="176" ht="20" customHeight="1">
      <x:c r="A176" s="1" t="str">
        <x:v>20725</x:v>
      </x:c>
      <x:c r="B176" s="9" t="d">
        <x:v>2011-05-20T00:00:00.000Z</x:v>
      </x:c>
      <x:c r="C176" s="13" t="n">
        <x:v>120</x:v>
      </x:c>
    </x:row>
    <x:row r="177" ht="20" customHeight="1">
      <x:c r="A177" s="1" t="str">
        <x:v>20725</x:v>
      </x:c>
      <x:c r="B177" s="9" t="d">
        <x:v>2011-05-21T00:00:00.000Z</x:v>
      </x:c>
      <x:c r="C177" s="13" t="n">
        <x:v>0</x:v>
      </x:c>
    </x:row>
    <x:row r="178" ht="20" customHeight="1">
      <x:c r="A178" s="1" t="str">
        <x:v>20725</x:v>
      </x:c>
      <x:c r="B178" s="9" t="d">
        <x:v>2011-05-22T00:00:00.000Z</x:v>
      </x:c>
      <x:c r="C178" s="13" t="n">
        <x:v>53</x:v>
      </x:c>
    </x:row>
    <x:row r="179" ht="20" customHeight="1">
      <x:c r="A179" s="1" t="str">
        <x:v>20725</x:v>
      </x:c>
      <x:c r="B179" s="9" t="d">
        <x:v>2011-05-23T00:00:00.000Z</x:v>
      </x:c>
      <x:c r="C179" s="13" t="n">
        <x:v>64</x:v>
      </x:c>
    </x:row>
    <x:row r="180" ht="20" customHeight="1">
      <x:c r="A180" s="1" t="str">
        <x:v>20725</x:v>
      </x:c>
      <x:c r="B180" s="9" t="d">
        <x:v>2011-05-24T00:00:00.000Z</x:v>
      </x:c>
      <x:c r="C180" s="13" t="n">
        <x:v>66</x:v>
      </x:c>
    </x:row>
    <x:row r="181" ht="20" customHeight="1">
      <x:c r="A181" s="1" t="str">
        <x:v>20725</x:v>
      </x:c>
      <x:c r="B181" s="9" t="d">
        <x:v>2011-05-25T00:00:00.000Z</x:v>
      </x:c>
      <x:c r="C181" s="13" t="n">
        <x:v>107</x:v>
      </x:c>
    </x:row>
    <x:row r="182" ht="20" customHeight="1">
      <x:c r="A182" s="1" t="str">
        <x:v>20725</x:v>
      </x:c>
      <x:c r="B182" s="9" t="d">
        <x:v>2011-05-26T00:00:00.000Z</x:v>
      </x:c>
      <x:c r="C182" s="13" t="n">
        <x:v>263</x:v>
      </x:c>
    </x:row>
    <x:row r="183" ht="20" customHeight="1">
      <x:c r="A183" s="1" t="str">
        <x:v>20725</x:v>
      </x:c>
      <x:c r="B183" s="9" t="d">
        <x:v>2011-05-27T00:00:00.000Z</x:v>
      </x:c>
      <x:c r="C183" s="13" t="n">
        <x:v>176</x:v>
      </x:c>
    </x:row>
    <x:row r="184" ht="20" customHeight="1">
      <x:c r="A184" s="1" t="str">
        <x:v>20725</x:v>
      </x:c>
      <x:c r="B184" s="9" t="d">
        <x:v>2011-05-28T00:00:00.000Z</x:v>
      </x:c>
      <x:c r="C184" s="13" t="n">
        <x:v>0</x:v>
      </x:c>
    </x:row>
    <x:row r="185" ht="20" customHeight="1">
      <x:c r="A185" s="1" t="str">
        <x:v>20725</x:v>
      </x:c>
      <x:c r="B185" s="9" t="d">
        <x:v>2011-05-29T00:00:00.000Z</x:v>
      </x:c>
      <x:c r="C185" s="13" t="n">
        <x:v>8</x:v>
      </x:c>
    </x:row>
    <x:row r="186" ht="20" customHeight="1">
      <x:c r="A186" s="1" t="str">
        <x:v>20725</x:v>
      </x:c>
      <x:c r="B186" s="9" t="d">
        <x:v>2011-05-30T00:00:00.000Z</x:v>
      </x:c>
      <x:c r="C186" s="13" t="n">
        <x:v>0</x:v>
      </x:c>
    </x:row>
    <x:row r="187" ht="20" customHeight="1">
      <x:c r="A187" s="1" t="str">
        <x:v>20725</x:v>
      </x:c>
      <x:c r="B187" s="9" t="d">
        <x:v>2011-05-31T00:00:00.000Z</x:v>
      </x:c>
      <x:c r="C187" s="13" t="n">
        <x:v>42</x:v>
      </x:c>
    </x:row>
    <x:row r="188" ht="20" customHeight="1">
      <x:c r="A188" s="1" t="str">
        <x:v>20725</x:v>
      </x:c>
      <x:c r="B188" s="9" t="d">
        <x:v>2011-06-01T00:00:00.000Z</x:v>
      </x:c>
      <x:c r="C188" s="13" t="n">
        <x:v>11</x:v>
      </x:c>
    </x:row>
    <x:row r="189" ht="20" customHeight="1">
      <x:c r="A189" s="1" t="str">
        <x:v>20725</x:v>
      </x:c>
      <x:c r="B189" s="9" t="d">
        <x:v>2011-06-02T00:00:00.000Z</x:v>
      </x:c>
      <x:c r="C189" s="13" t="n">
        <x:v>26</x:v>
      </x:c>
    </x:row>
    <x:row r="190" ht="20" customHeight="1">
      <x:c r="A190" s="1" t="str">
        <x:v>20725</x:v>
      </x:c>
      <x:c r="B190" s="9" t="d">
        <x:v>2011-06-03T00:00:00.000Z</x:v>
      </x:c>
      <x:c r="C190" s="13" t="n">
        <x:v>41</x:v>
      </x:c>
    </x:row>
    <x:row r="191" ht="20" customHeight="1">
      <x:c r="A191" s="1" t="str">
        <x:v>20725</x:v>
      </x:c>
      <x:c r="B191" s="9" t="d">
        <x:v>2011-06-04T00:00:00.000Z</x:v>
      </x:c>
      <x:c r="C191" s="13" t="n">
        <x:v>0</x:v>
      </x:c>
    </x:row>
    <x:row r="192" ht="20" customHeight="1">
      <x:c r="A192" s="1" t="str">
        <x:v>20725</x:v>
      </x:c>
      <x:c r="B192" s="9" t="d">
        <x:v>2011-06-05T00:00:00.000Z</x:v>
      </x:c>
      <x:c r="C192" s="13" t="n">
        <x:v>63</x:v>
      </x:c>
    </x:row>
    <x:row r="193" ht="20" customHeight="1">
      <x:c r="A193" s="1" t="str">
        <x:v>20725</x:v>
      </x:c>
      <x:c r="B193" s="9" t="d">
        <x:v>2011-06-06T00:00:00.000Z</x:v>
      </x:c>
      <x:c r="C193" s="13" t="n">
        <x:v>20</x:v>
      </x:c>
    </x:row>
    <x:row r="194" ht="20" customHeight="1">
      <x:c r="A194" s="1" t="str">
        <x:v>20725</x:v>
      </x:c>
      <x:c r="B194" s="9" t="d">
        <x:v>2011-06-07T00:00:00.000Z</x:v>
      </x:c>
      <x:c r="C194" s="13" t="n">
        <x:v>195</x:v>
      </x:c>
    </x:row>
    <x:row r="195" ht="20" customHeight="1">
      <x:c r="A195" s="1" t="str">
        <x:v>20725</x:v>
      </x:c>
      <x:c r="B195" s="9" t="d">
        <x:v>2011-06-08T00:00:00.000Z</x:v>
      </x:c>
      <x:c r="C195" s="13" t="n">
        <x:v>235</x:v>
      </x:c>
    </x:row>
    <x:row r="196" ht="20" customHeight="1">
      <x:c r="A196" s="1" t="str">
        <x:v>20725</x:v>
      </x:c>
      <x:c r="B196" s="9" t="d">
        <x:v>2011-06-09T00:00:00.000Z</x:v>
      </x:c>
      <x:c r="C196" s="13" t="n">
        <x:v>54</x:v>
      </x:c>
    </x:row>
    <x:row r="197" ht="20" customHeight="1">
      <x:c r="A197" s="1" t="str">
        <x:v>20725</x:v>
      </x:c>
      <x:c r="B197" s="9" t="d">
        <x:v>2011-06-10T00:00:00.000Z</x:v>
      </x:c>
      <x:c r="C197" s="13" t="n">
        <x:v>55</x:v>
      </x:c>
    </x:row>
    <x:row r="198" ht="20" customHeight="1">
      <x:c r="A198" s="1" t="str">
        <x:v>20725</x:v>
      </x:c>
      <x:c r="B198" s="9" t="d">
        <x:v>2011-06-11T00:00:00.000Z</x:v>
      </x:c>
      <x:c r="C198" s="13" t="n">
        <x:v>0</x:v>
      </x:c>
    </x:row>
    <x:row r="199" ht="20" customHeight="1">
      <x:c r="A199" s="1" t="str">
        <x:v>20725</x:v>
      </x:c>
      <x:c r="B199" s="9" t="d">
        <x:v>2011-06-12T00:00:00.000Z</x:v>
      </x:c>
      <x:c r="C199" s="13" t="n">
        <x:v>25</x:v>
      </x:c>
    </x:row>
    <x:row r="200" ht="20" customHeight="1">
      <x:c r="A200" s="1" t="str">
        <x:v>20725</x:v>
      </x:c>
      <x:c r="B200" s="9" t="d">
        <x:v>2011-06-13T00:00:00.000Z</x:v>
      </x:c>
      <x:c r="C200" s="13" t="n">
        <x:v>11</x:v>
      </x:c>
    </x:row>
    <x:row r="201" ht="20" customHeight="1">
      <x:c r="A201" s="1" t="str">
        <x:v>20725</x:v>
      </x:c>
      <x:c r="B201" s="9" t="d">
        <x:v>2011-06-14T00:00:00.000Z</x:v>
      </x:c>
      <x:c r="C201" s="13" t="n">
        <x:v>25</x:v>
      </x:c>
    </x:row>
    <x:row r="202" ht="20" customHeight="1">
      <x:c r="A202" s="1" t="str">
        <x:v>20725</x:v>
      </x:c>
      <x:c r="B202" s="9" t="d">
        <x:v>2011-06-15T00:00:00.000Z</x:v>
      </x:c>
      <x:c r="C202" s="13" t="n">
        <x:v>167</x:v>
      </x:c>
    </x:row>
    <x:row r="203" ht="20" customHeight="1">
      <x:c r="A203" s="1" t="str">
        <x:v>20725</x:v>
      </x:c>
      <x:c r="B203" s="9" t="d">
        <x:v>2011-06-16T00:00:00.000Z</x:v>
      </x:c>
      <x:c r="C203" s="13" t="n">
        <x:v>47</x:v>
      </x:c>
    </x:row>
    <x:row r="204" ht="20" customHeight="1">
      <x:c r="A204" s="1" t="str">
        <x:v>20725</x:v>
      </x:c>
      <x:c r="B204" s="9" t="d">
        <x:v>2011-06-17T00:00:00.000Z</x:v>
      </x:c>
      <x:c r="C204" s="13" t="n">
        <x:v>84</x:v>
      </x:c>
    </x:row>
    <x:row r="205" ht="20" customHeight="1">
      <x:c r="A205" s="1" t="str">
        <x:v>20725</x:v>
      </x:c>
      <x:c r="B205" s="9" t="d">
        <x:v>2011-06-18T00:00:00.000Z</x:v>
      </x:c>
      <x:c r="C205" s="13" t="n">
        <x:v>0</x:v>
      </x:c>
    </x:row>
    <x:row r="206" ht="20" customHeight="1">
      <x:c r="A206" s="1" t="str">
        <x:v>20725</x:v>
      </x:c>
      <x:c r="B206" s="9" t="d">
        <x:v>2011-06-19T00:00:00.000Z</x:v>
      </x:c>
      <x:c r="C206" s="13" t="n">
        <x:v>113</x:v>
      </x:c>
    </x:row>
    <x:row r="207" ht="20" customHeight="1">
      <x:c r="A207" s="1" t="str">
        <x:v>20725</x:v>
      </x:c>
      <x:c r="B207" s="9" t="d">
        <x:v>2011-06-20T00:00:00.000Z</x:v>
      </x:c>
      <x:c r="C207" s="13" t="n">
        <x:v>27</x:v>
      </x:c>
    </x:row>
    <x:row r="208" ht="20" customHeight="1">
      <x:c r="A208" s="1" t="str">
        <x:v>20725</x:v>
      </x:c>
      <x:c r="B208" s="9" t="d">
        <x:v>2011-06-21T00:00:00.000Z</x:v>
      </x:c>
      <x:c r="C208" s="13" t="n">
        <x:v>65</x:v>
      </x:c>
    </x:row>
    <x:row r="209" ht="20" customHeight="1">
      <x:c r="A209" s="1" t="str">
        <x:v>20725</x:v>
      </x:c>
      <x:c r="B209" s="9" t="d">
        <x:v>2011-06-22T00:00:00.000Z</x:v>
      </x:c>
      <x:c r="C209" s="13" t="n">
        <x:v>22</x:v>
      </x:c>
    </x:row>
    <x:row r="210" ht="20" customHeight="1">
      <x:c r="A210" s="1" t="str">
        <x:v>20725</x:v>
      </x:c>
      <x:c r="B210" s="9" t="d">
        <x:v>2011-06-23T00:00:00.000Z</x:v>
      </x:c>
      <x:c r="C210" s="13" t="n">
        <x:v>50</x:v>
      </x:c>
    </x:row>
    <x:row r="211" ht="20" customHeight="1">
      <x:c r="A211" s="1" t="str">
        <x:v>20725</x:v>
      </x:c>
      <x:c r="B211" s="9" t="d">
        <x:v>2011-06-24T00:00:00.000Z</x:v>
      </x:c>
      <x:c r="C211" s="13" t="n">
        <x:v>41</x:v>
      </x:c>
    </x:row>
    <x:row r="212" ht="20" customHeight="1">
      <x:c r="A212" s="1" t="str">
        <x:v>20725</x:v>
      </x:c>
      <x:c r="B212" s="9" t="d">
        <x:v>2011-06-25T00:00:00.000Z</x:v>
      </x:c>
      <x:c r="C212" s="13" t="n">
        <x:v>0</x:v>
      </x:c>
    </x:row>
    <x:row r="213" ht="20" customHeight="1">
      <x:c r="A213" s="1" t="str">
        <x:v>20725</x:v>
      </x:c>
      <x:c r="B213" s="9" t="d">
        <x:v>2011-06-26T00:00:00.000Z</x:v>
      </x:c>
      <x:c r="C213" s="13" t="n">
        <x:v>33</x:v>
      </x:c>
    </x:row>
    <x:row r="214" ht="20" customHeight="1">
      <x:c r="A214" s="1" t="str">
        <x:v>20725</x:v>
      </x:c>
      <x:c r="B214" s="9" t="d">
        <x:v>2011-06-27T00:00:00.000Z</x:v>
      </x:c>
      <x:c r="C214" s="13" t="n">
        <x:v>25</x:v>
      </x:c>
    </x:row>
    <x:row r="215" ht="20" customHeight="1">
      <x:c r="A215" s="1" t="str">
        <x:v>20725</x:v>
      </x:c>
      <x:c r="B215" s="9" t="d">
        <x:v>2011-06-28T00:00:00.000Z</x:v>
      </x:c>
      <x:c r="C215" s="13" t="n">
        <x:v>139</x:v>
      </x:c>
    </x:row>
    <x:row r="216" ht="20" customHeight="1">
      <x:c r="A216" s="1" t="str">
        <x:v>20725</x:v>
      </x:c>
      <x:c r="B216" s="9" t="d">
        <x:v>2011-06-29T00:00:00.000Z</x:v>
      </x:c>
      <x:c r="C216" s="13" t="n">
        <x:v>3</x:v>
      </x:c>
    </x:row>
    <x:row r="217" ht="20" customHeight="1">
      <x:c r="A217" s="1" t="str">
        <x:v>20725</x:v>
      </x:c>
      <x:c r="B217" s="9" t="d">
        <x:v>2011-06-30T00:00:00.000Z</x:v>
      </x:c>
      <x:c r="C217" s="13" t="n">
        <x:v>58</x:v>
      </x:c>
    </x:row>
    <x:row r="218" ht="20" customHeight="1">
      <x:c r="A218" s="1" t="str">
        <x:v>20725</x:v>
      </x:c>
      <x:c r="B218" s="9" t="d">
        <x:v>2011-07-01T00:00:00.000Z</x:v>
      </x:c>
      <x:c r="C218" s="13" t="n">
        <x:v>32</x:v>
      </x:c>
    </x:row>
    <x:row r="219" ht="20" customHeight="1">
      <x:c r="A219" s="1" t="str">
        <x:v>20725</x:v>
      </x:c>
      <x:c r="B219" s="9" t="d">
        <x:v>2011-07-02T00:00:00.000Z</x:v>
      </x:c>
      <x:c r="C219" s="13" t="n">
        <x:v>0</x:v>
      </x:c>
    </x:row>
    <x:row r="220" ht="20" customHeight="1">
      <x:c r="A220" s="1" t="str">
        <x:v>20725</x:v>
      </x:c>
      <x:c r="B220" s="9" t="d">
        <x:v>2011-07-03T00:00:00.000Z</x:v>
      </x:c>
      <x:c r="C220" s="13" t="n">
        <x:v>46</x:v>
      </x:c>
    </x:row>
    <x:row r="221" ht="20" customHeight="1">
      <x:c r="A221" s="1" t="str">
        <x:v>20725</x:v>
      </x:c>
      <x:c r="B221" s="9" t="d">
        <x:v>2011-07-04T00:00:00.000Z</x:v>
      </x:c>
      <x:c r="C221" s="13" t="n">
        <x:v>194</x:v>
      </x:c>
    </x:row>
    <x:row r="222" ht="20" customHeight="1">
      <x:c r="A222" s="1" t="str">
        <x:v>20725</x:v>
      </x:c>
      <x:c r="B222" s="9" t="d">
        <x:v>2011-07-05T00:00:00.000Z</x:v>
      </x:c>
      <x:c r="C222" s="13" t="n">
        <x:v>27</x:v>
      </x:c>
    </x:row>
    <x:row r="223" ht="20" customHeight="1">
      <x:c r="A223" s="1" t="str">
        <x:v>20725</x:v>
      </x:c>
      <x:c r="B223" s="9" t="d">
        <x:v>2011-07-06T00:00:00.000Z</x:v>
      </x:c>
      <x:c r="C223" s="13" t="n">
        <x:v>39</x:v>
      </x:c>
    </x:row>
    <x:row r="224" ht="20" customHeight="1">
      <x:c r="A224" s="1" t="str">
        <x:v>20725</x:v>
      </x:c>
      <x:c r="B224" s="9" t="d">
        <x:v>2011-07-07T00:00:00.000Z</x:v>
      </x:c>
      <x:c r="C224" s="13" t="n">
        <x:v>10</x:v>
      </x:c>
    </x:row>
    <x:row r="225" ht="20" customHeight="1">
      <x:c r="A225" s="1" t="str">
        <x:v>20725</x:v>
      </x:c>
      <x:c r="B225" s="9" t="d">
        <x:v>2011-07-08T00:00:00.000Z</x:v>
      </x:c>
      <x:c r="C225" s="13" t="n">
        <x:v>158</x:v>
      </x:c>
    </x:row>
    <x:row r="226" ht="20" customHeight="1">
      <x:c r="A226" s="1" t="str">
        <x:v>20725</x:v>
      </x:c>
      <x:c r="B226" s="9" t="d">
        <x:v>2011-07-09T00:00:00.000Z</x:v>
      </x:c>
      <x:c r="C226" s="13" t="n">
        <x:v>0</x:v>
      </x:c>
    </x:row>
    <x:row r="227" ht="20" customHeight="1">
      <x:c r="A227" s="1" t="str">
        <x:v>20725</x:v>
      </x:c>
      <x:c r="B227" s="9" t="d">
        <x:v>2011-07-10T00:00:00.000Z</x:v>
      </x:c>
      <x:c r="C227" s="13" t="n">
        <x:v>12</x:v>
      </x:c>
    </x:row>
    <x:row r="228" ht="20" customHeight="1">
      <x:c r="A228" s="1" t="str">
        <x:v>20725</x:v>
      </x:c>
      <x:c r="B228" s="9" t="d">
        <x:v>2011-07-11T00:00:00.000Z</x:v>
      </x:c>
      <x:c r="C228" s="13" t="n">
        <x:v>45</x:v>
      </x:c>
    </x:row>
    <x:row r="229" ht="20" customHeight="1">
      <x:c r="A229" s="1" t="str">
        <x:v>20725</x:v>
      </x:c>
      <x:c r="B229" s="9" t="d">
        <x:v>2011-07-12T00:00:00.000Z</x:v>
      </x:c>
      <x:c r="C229" s="13" t="n">
        <x:v>40</x:v>
      </x:c>
    </x:row>
    <x:row r="230" ht="20" customHeight="1">
      <x:c r="A230" s="1" t="str">
        <x:v>20725</x:v>
      </x:c>
      <x:c r="B230" s="9" t="d">
        <x:v>2011-07-13T00:00:00.000Z</x:v>
      </x:c>
      <x:c r="C230" s="13" t="n">
        <x:v>38</x:v>
      </x:c>
    </x:row>
    <x:row r="231" ht="20" customHeight="1">
      <x:c r="A231" s="1" t="str">
        <x:v>20725</x:v>
      </x:c>
      <x:c r="B231" s="9" t="d">
        <x:v>2011-07-14T00:00:00.000Z</x:v>
      </x:c>
      <x:c r="C231" s="13" t="n">
        <x:v>43</x:v>
      </x:c>
    </x:row>
    <x:row r="232" ht="20" customHeight="1">
      <x:c r="A232" s="1" t="str">
        <x:v>20725</x:v>
      </x:c>
      <x:c r="B232" s="9" t="d">
        <x:v>2011-07-15T00:00:00.000Z</x:v>
      </x:c>
      <x:c r="C232" s="13" t="n">
        <x:v>12</x:v>
      </x:c>
    </x:row>
    <x:row r="233" ht="20" customHeight="1">
      <x:c r="A233" s="1" t="str">
        <x:v>20725</x:v>
      </x:c>
      <x:c r="B233" s="9" t="d">
        <x:v>2011-07-16T00:00:00.000Z</x:v>
      </x:c>
      <x:c r="C233" s="13" t="n">
        <x:v>0</x:v>
      </x:c>
    </x:row>
    <x:row r="234" ht="20" customHeight="1">
      <x:c r="A234" s="1" t="str">
        <x:v>20725</x:v>
      </x:c>
      <x:c r="B234" s="9" t="d">
        <x:v>2011-07-17T00:00:00.000Z</x:v>
      </x:c>
      <x:c r="C234" s="13" t="n">
        <x:v>53</x:v>
      </x:c>
    </x:row>
    <x:row r="235" ht="20" customHeight="1">
      <x:c r="A235" s="1" t="str">
        <x:v>20725</x:v>
      </x:c>
      <x:c r="B235" s="9" t="d">
        <x:v>2011-07-18T00:00:00.000Z</x:v>
      </x:c>
      <x:c r="C235" s="13" t="n">
        <x:v>63</x:v>
      </x:c>
    </x:row>
    <x:row r="236" ht="20" customHeight="1">
      <x:c r="A236" s="1" t="str">
        <x:v>20725</x:v>
      </x:c>
      <x:c r="B236" s="9" t="d">
        <x:v>2011-07-19T00:00:00.000Z</x:v>
      </x:c>
      <x:c r="C236" s="13" t="n">
        <x:v>286</x:v>
      </x:c>
    </x:row>
    <x:row r="237" ht="20" customHeight="1">
      <x:c r="A237" s="1" t="str">
        <x:v>20725</x:v>
      </x:c>
      <x:c r="B237" s="9" t="d">
        <x:v>2011-07-20T00:00:00.000Z</x:v>
      </x:c>
      <x:c r="C237" s="13" t="n">
        <x:v>25</x:v>
      </x:c>
    </x:row>
    <x:row r="238" ht="20" customHeight="1">
      <x:c r="A238" s="1" t="str">
        <x:v>20725</x:v>
      </x:c>
      <x:c r="B238" s="9" t="d">
        <x:v>2011-07-21T00:00:00.000Z</x:v>
      </x:c>
      <x:c r="C238" s="13" t="n">
        <x:v>30</x:v>
      </x:c>
    </x:row>
    <x:row r="239" ht="20" customHeight="1">
      <x:c r="A239" s="1" t="str">
        <x:v>20725</x:v>
      </x:c>
      <x:c r="B239" s="9" t="d">
        <x:v>2011-07-22T00:00:00.000Z</x:v>
      </x:c>
      <x:c r="C239" s="13" t="n">
        <x:v>68</x:v>
      </x:c>
    </x:row>
    <x:row r="240" ht="20" customHeight="1">
      <x:c r="A240" s="1" t="str">
        <x:v>20725</x:v>
      </x:c>
      <x:c r="B240" s="9" t="d">
        <x:v>2011-07-23T00:00:00.000Z</x:v>
      </x:c>
      <x:c r="C240" s="13" t="n">
        <x:v>0</x:v>
      </x:c>
    </x:row>
    <x:row r="241" ht="20" customHeight="1">
      <x:c r="A241" s="1" t="str">
        <x:v>20725</x:v>
      </x:c>
      <x:c r="B241" s="9" t="d">
        <x:v>2011-07-24T00:00:00.000Z</x:v>
      </x:c>
      <x:c r="C241" s="13" t="n">
        <x:v>124</x:v>
      </x:c>
    </x:row>
    <x:row r="242" ht="20" customHeight="1">
      <x:c r="A242" s="1" t="str">
        <x:v>20725</x:v>
      </x:c>
      <x:c r="B242" s="9" t="d">
        <x:v>2011-07-25T00:00:00.000Z</x:v>
      </x:c>
      <x:c r="C242" s="13" t="n">
        <x:v>42</x:v>
      </x:c>
    </x:row>
    <x:row r="243" ht="20" customHeight="1">
      <x:c r="A243" s="1" t="str">
        <x:v>20725</x:v>
      </x:c>
      <x:c r="B243" s="9" t="d">
        <x:v>2011-07-26T00:00:00.000Z</x:v>
      </x:c>
      <x:c r="C243" s="13" t="n">
        <x:v>59</x:v>
      </x:c>
    </x:row>
    <x:row r="244" ht="20" customHeight="1">
      <x:c r="A244" s="1" t="str">
        <x:v>20725</x:v>
      </x:c>
      <x:c r="B244" s="9" t="d">
        <x:v>2011-07-27T00:00:00.000Z</x:v>
      </x:c>
      <x:c r="C244" s="13" t="n">
        <x:v>70</x:v>
      </x:c>
    </x:row>
    <x:row r="245" ht="20" customHeight="1">
      <x:c r="A245" s="1" t="str">
        <x:v>20725</x:v>
      </x:c>
      <x:c r="B245" s="9" t="d">
        <x:v>2011-07-28T00:00:00.000Z</x:v>
      </x:c>
      <x:c r="C245" s="13" t="n">
        <x:v>141</x:v>
      </x:c>
    </x:row>
    <x:row r="246" ht="20" customHeight="1">
      <x:c r="A246" s="1" t="str">
        <x:v>20725</x:v>
      </x:c>
      <x:c r="B246" s="9" t="d">
        <x:v>2011-07-29T00:00:00.000Z</x:v>
      </x:c>
      <x:c r="C246" s="13" t="n">
        <x:v>49</x:v>
      </x:c>
    </x:row>
    <x:row r="247" ht="20" customHeight="1">
      <x:c r="A247" s="1" t="str">
        <x:v>20725</x:v>
      </x:c>
      <x:c r="B247" s="9" t="d">
        <x:v>2011-07-30T00:00:00.000Z</x:v>
      </x:c>
      <x:c r="C247" s="13" t="n">
        <x:v>0</x:v>
      </x:c>
    </x:row>
    <x:row r="248" ht="20" customHeight="1">
      <x:c r="A248" s="1" t="str">
        <x:v>20725</x:v>
      </x:c>
      <x:c r="B248" s="9" t="d">
        <x:v>2011-07-31T00:00:00.000Z</x:v>
      </x:c>
      <x:c r="C248" s="13" t="n">
        <x:v>24</x:v>
      </x:c>
    </x:row>
    <x:row r="249" ht="20" customHeight="1">
      <x:c r="A249" s="1" t="str">
        <x:v>20725</x:v>
      </x:c>
      <x:c r="B249" s="9" t="d">
        <x:v>2011-08-01T00:00:00.000Z</x:v>
      </x:c>
      <x:c r="C249" s="13" t="n">
        <x:v>54</x:v>
      </x:c>
    </x:row>
    <x:row r="250" ht="20" customHeight="1">
      <x:c r="A250" s="1" t="str">
        <x:v>20725</x:v>
      </x:c>
      <x:c r="B250" s="9" t="d">
        <x:v>2011-08-02T00:00:00.000Z</x:v>
      </x:c>
      <x:c r="C250" s="13" t="n">
        <x:v>259</x:v>
      </x:c>
    </x:row>
    <x:row r="251" ht="20" customHeight="1">
      <x:c r="A251" s="1" t="str">
        <x:v>20725</x:v>
      </x:c>
      <x:c r="B251" s="9" t="d">
        <x:v>2011-08-03T00:00:00.000Z</x:v>
      </x:c>
      <x:c r="C251" s="13" t="n">
        <x:v>34</x:v>
      </x:c>
    </x:row>
    <x:row r="252" ht="20" customHeight="1">
      <x:c r="A252" s="1" t="str">
        <x:v>20725</x:v>
      </x:c>
      <x:c r="B252" s="9" t="d">
        <x:v>2011-08-04T00:00:00.000Z</x:v>
      </x:c>
      <x:c r="C252" s="13" t="n">
        <x:v>246</x:v>
      </x:c>
    </x:row>
    <x:row r="253" ht="20" customHeight="1">
      <x:c r="A253" s="1" t="str">
        <x:v>20725</x:v>
      </x:c>
      <x:c r="B253" s="9" t="d">
        <x:v>2011-08-05T00:00:00.000Z</x:v>
      </x:c>
      <x:c r="C253" s="13" t="n">
        <x:v>5</x:v>
      </x:c>
    </x:row>
    <x:row r="254" ht="20" customHeight="1">
      <x:c r="A254" s="1" t="str">
        <x:v>20725</x:v>
      </x:c>
      <x:c r="B254" s="9" t="d">
        <x:v>2011-08-06T00:00:00.000Z</x:v>
      </x:c>
      <x:c r="C254" s="13" t="n">
        <x:v>0</x:v>
      </x:c>
    </x:row>
    <x:row r="255" ht="20" customHeight="1">
      <x:c r="A255" s="1" t="str">
        <x:v>20725</x:v>
      </x:c>
      <x:c r="B255" s="9" t="d">
        <x:v>2011-08-07T00:00:00.000Z</x:v>
      </x:c>
      <x:c r="C255" s="13" t="n">
        <x:v>4</x:v>
      </x:c>
    </x:row>
    <x:row r="256" ht="20" customHeight="1">
      <x:c r="A256" s="1" t="str">
        <x:v>20725</x:v>
      </x:c>
      <x:c r="B256" s="9" t="d">
        <x:v>2011-08-08T00:00:00.000Z</x:v>
      </x:c>
      <x:c r="C256" s="13" t="n">
        <x:v>157</x:v>
      </x:c>
    </x:row>
    <x:row r="257" ht="20" customHeight="1">
      <x:c r="A257" s="1" t="str">
        <x:v>20725</x:v>
      </x:c>
      <x:c r="B257" s="9" t="d">
        <x:v>2011-08-09T00:00:00.000Z</x:v>
      </x:c>
      <x:c r="C257" s="13" t="n">
        <x:v>91</x:v>
      </x:c>
    </x:row>
    <x:row r="258" ht="20" customHeight="1">
      <x:c r="A258" s="1" t="str">
        <x:v>20725</x:v>
      </x:c>
      <x:c r="B258" s="9" t="d">
        <x:v>2011-08-10T00:00:00.000Z</x:v>
      </x:c>
      <x:c r="C258" s="13" t="n">
        <x:v>175</x:v>
      </x:c>
    </x:row>
    <x:row r="259" ht="20" customHeight="1">
      <x:c r="A259" s="1" t="str">
        <x:v>20725</x:v>
      </x:c>
      <x:c r="B259" s="9" t="d">
        <x:v>2011-08-11T00:00:00.000Z</x:v>
      </x:c>
      <x:c r="C259" s="13" t="n">
        <x:v>218</x:v>
      </x:c>
    </x:row>
    <x:row r="260" ht="20" customHeight="1">
      <x:c r="A260" s="1" t="str">
        <x:v>20725</x:v>
      </x:c>
      <x:c r="B260" s="9" t="d">
        <x:v>2011-08-12T00:00:00.000Z</x:v>
      </x:c>
      <x:c r="C260" s="13" t="n">
        <x:v>71</x:v>
      </x:c>
    </x:row>
    <x:row r="261" ht="20" customHeight="1">
      <x:c r="A261" s="1" t="str">
        <x:v>20725</x:v>
      </x:c>
      <x:c r="B261" s="9" t="d">
        <x:v>2011-08-13T00:00:00.000Z</x:v>
      </x:c>
      <x:c r="C261" s="13" t="n">
        <x:v>0</x:v>
      </x:c>
    </x:row>
    <x:row r="262" ht="20" customHeight="1">
      <x:c r="A262" s="1" t="str">
        <x:v>20725</x:v>
      </x:c>
      <x:c r="B262" s="9" t="d">
        <x:v>2011-08-14T00:00:00.000Z</x:v>
      </x:c>
      <x:c r="C262" s="13" t="n">
        <x:v>13</x:v>
      </x:c>
    </x:row>
    <x:row r="263" ht="20" customHeight="1">
      <x:c r="A263" s="1" t="str">
        <x:v>20725</x:v>
      </x:c>
      <x:c r="B263" s="9" t="d">
        <x:v>2011-08-15T00:00:00.000Z</x:v>
      </x:c>
      <x:c r="C263" s="13" t="n">
        <x:v>40</x:v>
      </x:c>
    </x:row>
    <x:row r="264" ht="20" customHeight="1">
      <x:c r="A264" s="1" t="str">
        <x:v>20725</x:v>
      </x:c>
      <x:c r="B264" s="9" t="d">
        <x:v>2011-08-16T00:00:00.000Z</x:v>
      </x:c>
      <x:c r="C264" s="13" t="n">
        <x:v>119</x:v>
      </x:c>
    </x:row>
    <x:row r="265" ht="20" customHeight="1">
      <x:c r="A265" s="1" t="str">
        <x:v>20725</x:v>
      </x:c>
      <x:c r="B265" s="9" t="d">
        <x:v>2011-08-17T00:00:00.000Z</x:v>
      </x:c>
      <x:c r="C265" s="13" t="n">
        <x:v>122</x:v>
      </x:c>
    </x:row>
    <x:row r="266" ht="20" customHeight="1">
      <x:c r="A266" s="1" t="str">
        <x:v>20725</x:v>
      </x:c>
      <x:c r="B266" s="9" t="d">
        <x:v>2011-08-18T00:00:00.000Z</x:v>
      </x:c>
      <x:c r="C266" s="13" t="n">
        <x:v>95</x:v>
      </x:c>
    </x:row>
    <x:row r="267" ht="20" customHeight="1">
      <x:c r="A267" s="1" t="str">
        <x:v>20725</x:v>
      </x:c>
      <x:c r="B267" s="9" t="d">
        <x:v>2011-08-19T00:00:00.000Z</x:v>
      </x:c>
      <x:c r="C267" s="13" t="n">
        <x:v>30</x:v>
      </x:c>
    </x:row>
    <x:row r="268" ht="20" customHeight="1">
      <x:c r="A268" s="1" t="str">
        <x:v>20725</x:v>
      </x:c>
      <x:c r="B268" s="9" t="d">
        <x:v>2011-08-20T00:00:00.000Z</x:v>
      </x:c>
      <x:c r="C268" s="13" t="n">
        <x:v>0</x:v>
      </x:c>
    </x:row>
    <x:row r="269" ht="20" customHeight="1">
      <x:c r="A269" s="1" t="str">
        <x:v>20725</x:v>
      </x:c>
      <x:c r="B269" s="9" t="d">
        <x:v>2011-08-21T00:00:00.000Z</x:v>
      </x:c>
      <x:c r="C269" s="13" t="n">
        <x:v>26</x:v>
      </x:c>
    </x:row>
    <x:row r="270" ht="20" customHeight="1">
      <x:c r="A270" s="1" t="str">
        <x:v>20725</x:v>
      </x:c>
      <x:c r="B270" s="9" t="d">
        <x:v>2011-08-22T00:00:00.000Z</x:v>
      </x:c>
      <x:c r="C270" s="13" t="n">
        <x:v>55</x:v>
      </x:c>
    </x:row>
    <x:row r="271" ht="20" customHeight="1">
      <x:c r="A271" s="1" t="str">
        <x:v>20725</x:v>
      </x:c>
      <x:c r="B271" s="9" t="d">
        <x:v>2011-08-23T00:00:00.000Z</x:v>
      </x:c>
      <x:c r="C271" s="13" t="n">
        <x:v>127</x:v>
      </x:c>
    </x:row>
    <x:row r="272" ht="20" customHeight="1">
      <x:c r="A272" s="1" t="str">
        <x:v>20725</x:v>
      </x:c>
      <x:c r="B272" s="9" t="d">
        <x:v>2011-08-24T00:00:00.000Z</x:v>
      </x:c>
      <x:c r="C272" s="13" t="n">
        <x:v>40</x:v>
      </x:c>
    </x:row>
    <x:row r="273" ht="20" customHeight="1">
      <x:c r="A273" s="1" t="str">
        <x:v>20725</x:v>
      </x:c>
      <x:c r="B273" s="9" t="d">
        <x:v>2011-08-25T00:00:00.000Z</x:v>
      </x:c>
      <x:c r="C273" s="13" t="n">
        <x:v>80</x:v>
      </x:c>
    </x:row>
    <x:row r="274" ht="20" customHeight="1">
      <x:c r="A274" s="1" t="str">
        <x:v>20725</x:v>
      </x:c>
      <x:c r="B274" s="9" t="d">
        <x:v>2011-08-26T00:00:00.000Z</x:v>
      </x:c>
      <x:c r="C274" s="13" t="n">
        <x:v>20</x:v>
      </x:c>
    </x:row>
    <x:row r="275" ht="20" customHeight="1">
      <x:c r="A275" s="1" t="str">
        <x:v>20725</x:v>
      </x:c>
      <x:c r="B275" s="9" t="d">
        <x:v>2011-08-27T00:00:00.000Z</x:v>
      </x:c>
      <x:c r="C275" s="13" t="n">
        <x:v>0</x:v>
      </x:c>
    </x:row>
    <x:row r="276" ht="20" customHeight="1">
      <x:c r="A276" s="1" t="str">
        <x:v>20725</x:v>
      </x:c>
      <x:c r="B276" s="9" t="d">
        <x:v>2011-08-28T00:00:00.000Z</x:v>
      </x:c>
      <x:c r="C276" s="13" t="n">
        <x:v>19</x:v>
      </x:c>
    </x:row>
    <x:row r="277" ht="20" customHeight="1">
      <x:c r="A277" s="1" t="str">
        <x:v>20725</x:v>
      </x:c>
      <x:c r="B277" s="9" t="d">
        <x:v>2011-08-29T00:00:00.000Z</x:v>
      </x:c>
      <x:c r="C277" s="13" t="n">
        <x:v>0</x:v>
      </x:c>
    </x:row>
    <x:row r="278" ht="20" customHeight="1">
      <x:c r="A278" s="1" t="str">
        <x:v>20725</x:v>
      </x:c>
      <x:c r="B278" s="9" t="d">
        <x:v>2011-08-30T00:00:00.000Z</x:v>
      </x:c>
      <x:c r="C278" s="13" t="n">
        <x:v>21</x:v>
      </x:c>
    </x:row>
    <x:row r="279" ht="20" customHeight="1">
      <x:c r="A279" s="1" t="str">
        <x:v>20725</x:v>
      </x:c>
      <x:c r="B279" s="9" t="d">
        <x:v>2011-08-31T00:00:00.000Z</x:v>
      </x:c>
      <x:c r="C279" s="13" t="n">
        <x:v>31</x:v>
      </x:c>
    </x:row>
    <x:row r="280" ht="20" customHeight="1">
      <x:c r="A280" s="1" t="str">
        <x:v>20725</x:v>
      </x:c>
      <x:c r="B280" s="9" t="d">
        <x:v>2011-09-01T00:00:00.000Z</x:v>
      </x:c>
      <x:c r="C280" s="13" t="n">
        <x:v>54</x:v>
      </x:c>
    </x:row>
    <x:row r="281" ht="20" customHeight="1">
      <x:c r="A281" s="1" t="str">
        <x:v>20725</x:v>
      </x:c>
      <x:c r="B281" s="9" t="d">
        <x:v>2011-09-02T00:00:00.000Z</x:v>
      </x:c>
      <x:c r="C281" s="13" t="n">
        <x:v>57</x:v>
      </x:c>
    </x:row>
    <x:row r="282" ht="20" customHeight="1">
      <x:c r="A282" s="1" t="str">
        <x:v>20725</x:v>
      </x:c>
      <x:c r="B282" s="9" t="d">
        <x:v>2011-09-03T00:00:00.000Z</x:v>
      </x:c>
      <x:c r="C282" s="13" t="n">
        <x:v>0</x:v>
      </x:c>
    </x:row>
    <x:row r="283" ht="20" customHeight="1">
      <x:c r="A283" s="1" t="str">
        <x:v>20725</x:v>
      </x:c>
      <x:c r="B283" s="9" t="d">
        <x:v>2011-09-04T00:00:00.000Z</x:v>
      </x:c>
      <x:c r="C283" s="13" t="n">
        <x:v>38</x:v>
      </x:c>
    </x:row>
    <x:row r="284" ht="20" customHeight="1">
      <x:c r="A284" s="1" t="str">
        <x:v>20725</x:v>
      </x:c>
      <x:c r="B284" s="9" t="d">
        <x:v>2011-09-05T00:00:00.000Z</x:v>
      </x:c>
      <x:c r="C284" s="13" t="n">
        <x:v>109</x:v>
      </x:c>
    </x:row>
    <x:row r="285" ht="20" customHeight="1">
      <x:c r="A285" s="1" t="str">
        <x:v>20725</x:v>
      </x:c>
      <x:c r="B285" s="9" t="d">
        <x:v>2011-09-06T00:00:00.000Z</x:v>
      </x:c>
      <x:c r="C285" s="13" t="n">
        <x:v>66</x:v>
      </x:c>
    </x:row>
    <x:row r="286" ht="20" customHeight="1">
      <x:c r="A286" s="1" t="str">
        <x:v>20725</x:v>
      </x:c>
      <x:c r="B286" s="9" t="d">
        <x:v>2011-09-07T00:00:00.000Z</x:v>
      </x:c>
      <x:c r="C286" s="13" t="n">
        <x:v>160</x:v>
      </x:c>
    </x:row>
    <x:row r="287" ht="20" customHeight="1">
      <x:c r="A287" s="1" t="str">
        <x:v>20725</x:v>
      </x:c>
      <x:c r="B287" s="9" t="d">
        <x:v>2011-09-08T00:00:00.000Z</x:v>
      </x:c>
      <x:c r="C287" s="13" t="n">
        <x:v>10</x:v>
      </x:c>
    </x:row>
    <x:row r="288" ht="20" customHeight="1">
      <x:c r="A288" s="1" t="str">
        <x:v>20725</x:v>
      </x:c>
      <x:c r="B288" s="9" t="d">
        <x:v>2011-09-09T00:00:00.000Z</x:v>
      </x:c>
      <x:c r="C288" s="13" t="n">
        <x:v>56</x:v>
      </x:c>
    </x:row>
    <x:row r="289" ht="20" customHeight="1">
      <x:c r="A289" s="1" t="str">
        <x:v>20725</x:v>
      </x:c>
      <x:c r="B289" s="9" t="d">
        <x:v>2011-09-10T00:00:00.000Z</x:v>
      </x:c>
      <x:c r="C289" s="13" t="n">
        <x:v>0</x:v>
      </x:c>
    </x:row>
    <x:row r="290" ht="20" customHeight="1">
      <x:c r="A290" s="1" t="str">
        <x:v>20725</x:v>
      </x:c>
      <x:c r="B290" s="9" t="d">
        <x:v>2011-09-11T00:00:00.000Z</x:v>
      </x:c>
      <x:c r="C290" s="13" t="n">
        <x:v>22</x:v>
      </x:c>
    </x:row>
    <x:row r="291" ht="20" customHeight="1">
      <x:c r="A291" s="1" t="str">
        <x:v>20725</x:v>
      </x:c>
      <x:c r="B291" s="9" t="d">
        <x:v>2011-09-12T00:00:00.000Z</x:v>
      </x:c>
      <x:c r="C291" s="13" t="n">
        <x:v>42</x:v>
      </x:c>
    </x:row>
    <x:row r="292" ht="20" customHeight="1">
      <x:c r="A292" s="1" t="str">
        <x:v>20725</x:v>
      </x:c>
      <x:c r="B292" s="9" t="d">
        <x:v>2011-09-13T00:00:00.000Z</x:v>
      </x:c>
      <x:c r="C292" s="13" t="n">
        <x:v>51</x:v>
      </x:c>
    </x:row>
    <x:row r="293" ht="20" customHeight="1">
      <x:c r="A293" s="1" t="str">
        <x:v>20725</x:v>
      </x:c>
      <x:c r="B293" s="9" t="d">
        <x:v>2011-09-14T00:00:00.000Z</x:v>
      </x:c>
      <x:c r="C293" s="13" t="n">
        <x:v>122</x:v>
      </x:c>
    </x:row>
    <x:row r="294" ht="20" customHeight="1">
      <x:c r="A294" s="1" t="str">
        <x:v>20725</x:v>
      </x:c>
      <x:c r="B294" s="9" t="d">
        <x:v>2011-09-15T00:00:00.000Z</x:v>
      </x:c>
      <x:c r="C294" s="13" t="n">
        <x:v>87</x:v>
      </x:c>
    </x:row>
    <x:row r="295" ht="20" customHeight="1">
      <x:c r="A295" s="1" t="str">
        <x:v>20725</x:v>
      </x:c>
      <x:c r="B295" s="9" t="d">
        <x:v>2011-09-16T00:00:00.000Z</x:v>
      </x:c>
      <x:c r="C295" s="13" t="n">
        <x:v>25</x:v>
      </x:c>
    </x:row>
    <x:row r="296" ht="20" customHeight="1">
      <x:c r="A296" s="1" t="str">
        <x:v>20725</x:v>
      </x:c>
      <x:c r="B296" s="9" t="d">
        <x:v>2011-09-17T00:00:00.000Z</x:v>
      </x:c>
      <x:c r="C296" s="13" t="n">
        <x:v>0</x:v>
      </x:c>
    </x:row>
    <x:row r="297" ht="20" customHeight="1">
      <x:c r="A297" s="1" t="str">
        <x:v>20725</x:v>
      </x:c>
      <x:c r="B297" s="9" t="d">
        <x:v>2011-09-18T00:00:00.000Z</x:v>
      </x:c>
      <x:c r="C297" s="13" t="n">
        <x:v>2</x:v>
      </x:c>
    </x:row>
    <x:row r="298" ht="20" customHeight="1">
      <x:c r="A298" s="1" t="str">
        <x:v>20725</x:v>
      </x:c>
      <x:c r="B298" s="9" t="d">
        <x:v>2011-09-19T00:00:00.000Z</x:v>
      </x:c>
      <x:c r="C298" s="13" t="n">
        <x:v>301</x:v>
      </x:c>
    </x:row>
    <x:row r="299" ht="20" customHeight="1">
      <x:c r="A299" s="1" t="str">
        <x:v>20725</x:v>
      </x:c>
      <x:c r="B299" s="9" t="d">
        <x:v>2011-09-20T00:00:00.000Z</x:v>
      </x:c>
      <x:c r="C299" s="13" t="n">
        <x:v>36</x:v>
      </x:c>
    </x:row>
    <x:row r="300" ht="20" customHeight="1">
      <x:c r="A300" s="1" t="str">
        <x:v>20725</x:v>
      </x:c>
      <x:c r="B300" s="9" t="d">
        <x:v>2011-09-21T00:00:00.000Z</x:v>
      </x:c>
      <x:c r="C300" s="13" t="n">
        <x:v>15</x:v>
      </x:c>
    </x:row>
    <x:row r="301" ht="20" customHeight="1">
      <x:c r="A301" s="1" t="str">
        <x:v>20725</x:v>
      </x:c>
      <x:c r="B301" s="9" t="d">
        <x:v>2011-09-22T00:00:00.000Z</x:v>
      </x:c>
      <x:c r="C301" s="13" t="n">
        <x:v>53</x:v>
      </x:c>
    </x:row>
    <x:row r="302" ht="20" customHeight="1">
      <x:c r="A302" s="1" t="str">
        <x:v>20725</x:v>
      </x:c>
      <x:c r="B302" s="9" t="d">
        <x:v>2011-09-23T00:00:00.000Z</x:v>
      </x:c>
      <x:c r="C302" s="13" t="n">
        <x:v>46</x:v>
      </x:c>
    </x:row>
    <x:row r="303" ht="20" customHeight="1">
      <x:c r="A303" s="1" t="str">
        <x:v>20725</x:v>
      </x:c>
      <x:c r="B303" s="9" t="d">
        <x:v>2011-09-24T00:00:00.000Z</x:v>
      </x:c>
      <x:c r="C303" s="13" t="n">
        <x:v>0</x:v>
      </x:c>
    </x:row>
    <x:row r="304" ht="20" customHeight="1">
      <x:c r="A304" s="1" t="str">
        <x:v>20725</x:v>
      </x:c>
      <x:c r="B304" s="9" t="d">
        <x:v>2011-09-25T00:00:00.000Z</x:v>
      </x:c>
      <x:c r="C304" s="13" t="n">
        <x:v>40</x:v>
      </x:c>
    </x:row>
    <x:row r="305" ht="20" customHeight="1">
      <x:c r="A305" s="1" t="str">
        <x:v>20725</x:v>
      </x:c>
      <x:c r="B305" s="9" t="d">
        <x:v>2011-09-26T00:00:00.000Z</x:v>
      </x:c>
      <x:c r="C305" s="13" t="n">
        <x:v>3</x:v>
      </x:c>
    </x:row>
    <x:row r="306" ht="20" customHeight="1">
      <x:c r="A306" s="1" t="str">
        <x:v>20725</x:v>
      </x:c>
      <x:c r="B306" s="9" t="d">
        <x:v>2011-09-27T00:00:00.000Z</x:v>
      </x:c>
      <x:c r="C306" s="13" t="n">
        <x:v>57</x:v>
      </x:c>
    </x:row>
    <x:row r="307" ht="20" customHeight="1">
      <x:c r="A307" s="1" t="str">
        <x:v>20725</x:v>
      </x:c>
      <x:c r="B307" s="9" t="d">
        <x:v>2011-09-28T00:00:00.000Z</x:v>
      </x:c>
      <x:c r="C307" s="13" t="n">
        <x:v>89</x:v>
      </x:c>
    </x:row>
    <x:row r="308" ht="20" customHeight="1">
      <x:c r="A308" s="1" t="str">
        <x:v>20725</x:v>
      </x:c>
      <x:c r="B308" s="9" t="d">
        <x:v>2011-09-29T00:00:00.000Z</x:v>
      </x:c>
      <x:c r="C308" s="13" t="n">
        <x:v>105</x:v>
      </x:c>
    </x:row>
    <x:row r="309" ht="20" customHeight="1">
      <x:c r="A309" s="1" t="str">
        <x:v>20725</x:v>
      </x:c>
      <x:c r="B309" s="9" t="d">
        <x:v>2011-09-30T00:00:00.000Z</x:v>
      </x:c>
      <x:c r="C309" s="13" t="n">
        <x:v>64</x:v>
      </x:c>
    </x:row>
    <x:row r="310" ht="20" customHeight="1">
      <x:c r="A310" s="1" t="str">
        <x:v>20725</x:v>
      </x:c>
      <x:c r="B310" s="9" t="d">
        <x:v>2011-10-01T00:00:00.000Z</x:v>
      </x:c>
      <x:c r="C310" s="13" t="n">
        <x:v>0</x:v>
      </x:c>
    </x:row>
    <x:row r="311" ht="20" customHeight="1">
      <x:c r="A311" s="1" t="str">
        <x:v>20725</x:v>
      </x:c>
      <x:c r="B311" s="9" t="d">
        <x:v>2011-10-02T00:00:00.000Z</x:v>
      </x:c>
      <x:c r="C311" s="13" t="n">
        <x:v>0</x:v>
      </x:c>
    </x:row>
    <x:row r="312" ht="20" customHeight="1">
      <x:c r="A312" s="1" t="str">
        <x:v>20725</x:v>
      </x:c>
      <x:c r="B312" s="9" t="d">
        <x:v>2011-10-03T00:00:00.000Z</x:v>
      </x:c>
      <x:c r="C312" s="13" t="n">
        <x:v>41</x:v>
      </x:c>
    </x:row>
    <x:row r="313" ht="20" customHeight="1">
      <x:c r="A313" s="1" t="str">
        <x:v>20725</x:v>
      </x:c>
      <x:c r="B313" s="9" t="d">
        <x:v>2011-10-04T00:00:00.000Z</x:v>
      </x:c>
      <x:c r="C313" s="13" t="n">
        <x:v>79</x:v>
      </x:c>
    </x:row>
    <x:row r="314" ht="20" customHeight="1">
      <x:c r="A314" s="1" t="str">
        <x:v>20725</x:v>
      </x:c>
      <x:c r="B314" s="9" t="d">
        <x:v>2011-10-05T00:00:00.000Z</x:v>
      </x:c>
      <x:c r="C314" s="13" t="n">
        <x:v>90</x:v>
      </x:c>
    </x:row>
    <x:row r="315" ht="20" customHeight="1">
      <x:c r="A315" s="1" t="str">
        <x:v>20725</x:v>
      </x:c>
      <x:c r="B315" s="9" t="d">
        <x:v>2011-10-06T00:00:00.000Z</x:v>
      </x:c>
      <x:c r="C315" s="13" t="n">
        <x:v>60</x:v>
      </x:c>
    </x:row>
    <x:row r="316" ht="20" customHeight="1">
      <x:c r="A316" s="1" t="str">
        <x:v>20725</x:v>
      </x:c>
      <x:c r="B316" s="9" t="d">
        <x:v>2011-10-07T00:00:00.000Z</x:v>
      </x:c>
      <x:c r="C316" s="13" t="n">
        <x:v>50</x:v>
      </x:c>
    </x:row>
    <x:row r="317" ht="20" customHeight="1">
      <x:c r="A317" s="1" t="str">
        <x:v>20725</x:v>
      </x:c>
      <x:c r="B317" s="9" t="d">
        <x:v>2011-10-08T00:00:00.000Z</x:v>
      </x:c>
      <x:c r="C317" s="13" t="n">
        <x:v>0</x:v>
      </x:c>
    </x:row>
    <x:row r="318" ht="20" customHeight="1">
      <x:c r="A318" s="1" t="str">
        <x:v>20725</x:v>
      </x:c>
      <x:c r="B318" s="9" t="d">
        <x:v>2011-10-09T00:00:00.000Z</x:v>
      </x:c>
      <x:c r="C318" s="13" t="n">
        <x:v>2</x:v>
      </x:c>
    </x:row>
    <x:row r="319" ht="20" customHeight="1">
      <x:c r="A319" s="1" t="str">
        <x:v>20725</x:v>
      </x:c>
      <x:c r="B319" s="9" t="d">
        <x:v>2011-10-10T00:00:00.000Z</x:v>
      </x:c>
      <x:c r="C319" s="13" t="n">
        <x:v>36</x:v>
      </x:c>
    </x:row>
    <x:row r="320" ht="20" customHeight="1">
      <x:c r="A320" s="1" t="str">
        <x:v>20725</x:v>
      </x:c>
      <x:c r="B320" s="9" t="d">
        <x:v>2011-10-11T00:00:00.000Z</x:v>
      </x:c>
      <x:c r="C320" s="13" t="n">
        <x:v>114</x:v>
      </x:c>
    </x:row>
    <x:row r="321" ht="20" customHeight="1">
      <x:c r="A321" s="1" t="str">
        <x:v>20725</x:v>
      </x:c>
      <x:c r="B321" s="9" t="d">
        <x:v>2011-10-12T00:00:00.000Z</x:v>
      </x:c>
      <x:c r="C321" s="13" t="n">
        <x:v>42</x:v>
      </x:c>
    </x:row>
    <x:row r="322" ht="20" customHeight="1">
      <x:c r="A322" s="1" t="str">
        <x:v>20725</x:v>
      </x:c>
      <x:c r="B322" s="9" t="d">
        <x:v>2011-10-13T00:00:00.000Z</x:v>
      </x:c>
      <x:c r="C322" s="13" t="n">
        <x:v>75</x:v>
      </x:c>
    </x:row>
    <x:row r="323" ht="20" customHeight="1">
      <x:c r="A323" s="1" t="str">
        <x:v>20725</x:v>
      </x:c>
      <x:c r="B323" s="9" t="d">
        <x:v>2011-10-14T00:00:00.000Z</x:v>
      </x:c>
      <x:c r="C323" s="13" t="n">
        <x:v>160</x:v>
      </x:c>
    </x:row>
    <x:row r="324" ht="20" customHeight="1">
      <x:c r="A324" s="1" t="str">
        <x:v>20725</x:v>
      </x:c>
      <x:c r="B324" s="9" t="d">
        <x:v>2011-10-15T00:00:00.000Z</x:v>
      </x:c>
      <x:c r="C324" s="13" t="n">
        <x:v>0</x:v>
      </x:c>
    </x:row>
    <x:row r="325" ht="20" customHeight="1">
      <x:c r="A325" s="1" t="str">
        <x:v>20725</x:v>
      </x:c>
      <x:c r="B325" s="9" t="d">
        <x:v>2011-10-16T00:00:00.000Z</x:v>
      </x:c>
      <x:c r="C325" s="13" t="n">
        <x:v>6</x:v>
      </x:c>
    </x:row>
    <x:row r="326" ht="20" customHeight="1">
      <x:c r="A326" s="1" t="str">
        <x:v>20725</x:v>
      </x:c>
      <x:c r="B326" s="9" t="d">
        <x:v>2011-10-17T00:00:00.000Z</x:v>
      </x:c>
      <x:c r="C326" s="13" t="n">
        <x:v>22</x:v>
      </x:c>
    </x:row>
    <x:row r="327" ht="20" customHeight="1">
      <x:c r="A327" s="1" t="str">
        <x:v>20725</x:v>
      </x:c>
      <x:c r="B327" s="9" t="d">
        <x:v>2011-10-18T00:00:00.000Z</x:v>
      </x:c>
      <x:c r="C327" s="13" t="n">
        <x:v>65</x:v>
      </x:c>
    </x:row>
    <x:row r="328" ht="20" customHeight="1">
      <x:c r="A328" s="1" t="str">
        <x:v>20725</x:v>
      </x:c>
      <x:c r="B328" s="9" t="d">
        <x:v>2011-10-19T00:00:00.000Z</x:v>
      </x:c>
      <x:c r="C328" s="13" t="n">
        <x:v>26</x:v>
      </x:c>
    </x:row>
    <x:row r="329" ht="20" customHeight="1">
      <x:c r="A329" s="1" t="str">
        <x:v>20725</x:v>
      </x:c>
      <x:c r="B329" s="9" t="d">
        <x:v>2011-10-20T00:00:00.000Z</x:v>
      </x:c>
      <x:c r="C329" s="13" t="n">
        <x:v>110</x:v>
      </x:c>
    </x:row>
    <x:row r="330" ht="20" customHeight="1">
      <x:c r="A330" s="1" t="str">
        <x:v>20725</x:v>
      </x:c>
      <x:c r="B330" s="9" t="d">
        <x:v>2011-10-21T00:00:00.000Z</x:v>
      </x:c>
      <x:c r="C330" s="13" t="n">
        <x:v>39</x:v>
      </x:c>
    </x:row>
    <x:row r="331" ht="20" customHeight="1">
      <x:c r="A331" s="1" t="str">
        <x:v>20725</x:v>
      </x:c>
      <x:c r="B331" s="9" t="d">
        <x:v>2011-10-22T00:00:00.000Z</x:v>
      </x:c>
      <x:c r="C331" s="13" t="n">
        <x:v>0</x:v>
      </x:c>
    </x:row>
    <x:row r="332" ht="20" customHeight="1">
      <x:c r="A332" s="1" t="str">
        <x:v>20725</x:v>
      </x:c>
      <x:c r="B332" s="9" t="d">
        <x:v>2011-10-23T00:00:00.000Z</x:v>
      </x:c>
      <x:c r="C332" s="13" t="n">
        <x:v>14</x:v>
      </x:c>
    </x:row>
    <x:row r="333" ht="20" customHeight="1">
      <x:c r="A333" s="1" t="str">
        <x:v>20725</x:v>
      </x:c>
      <x:c r="B333" s="9" t="d">
        <x:v>2011-10-24T00:00:00.000Z</x:v>
      </x:c>
      <x:c r="C333" s="13" t="n">
        <x:v>8</x:v>
      </x:c>
    </x:row>
    <x:row r="334" ht="20" customHeight="1">
      <x:c r="A334" s="1" t="str">
        <x:v>20725</x:v>
      </x:c>
      <x:c r="B334" s="9" t="d">
        <x:v>2011-10-25T00:00:00.000Z</x:v>
      </x:c>
      <x:c r="C334" s="13" t="n">
        <x:v>37</x:v>
      </x:c>
    </x:row>
    <x:row r="335" ht="20" customHeight="1">
      <x:c r="A335" s="1" t="str">
        <x:v>20725</x:v>
      </x:c>
      <x:c r="B335" s="9" t="d">
        <x:v>2011-10-26T00:00:00.000Z</x:v>
      </x:c>
      <x:c r="C335" s="13" t="n">
        <x:v>52</x:v>
      </x:c>
    </x:row>
    <x:row r="336" ht="20" customHeight="1">
      <x:c r="A336" s="1" t="str">
        <x:v>20725</x:v>
      </x:c>
      <x:c r="B336" s="9" t="d">
        <x:v>2011-10-27T00:00:00.000Z</x:v>
      </x:c>
      <x:c r="C336" s="13" t="n">
        <x:v>45</x:v>
      </x:c>
    </x:row>
    <x:row r="337" ht="20" customHeight="1">
      <x:c r="A337" s="1" t="str">
        <x:v>20725</x:v>
      </x:c>
      <x:c r="B337" s="9" t="d">
        <x:v>2011-10-28T00:00:00.000Z</x:v>
      </x:c>
      <x:c r="C337" s="13" t="n">
        <x:v>94</x:v>
      </x:c>
    </x:row>
    <x:row r="338" ht="20" customHeight="1">
      <x:c r="A338" s="1" t="str">
        <x:v>20725</x:v>
      </x:c>
      <x:c r="B338" s="9" t="d">
        <x:v>2011-10-29T00:00:00.000Z</x:v>
      </x:c>
      <x:c r="C338" s="13" t="n">
        <x:v>0</x:v>
      </x:c>
    </x:row>
    <x:row r="339" ht="20" customHeight="1">
      <x:c r="A339" s="1" t="str">
        <x:v>20725</x:v>
      </x:c>
      <x:c r="B339" s="9" t="d">
        <x:v>2011-10-30T00:00:00.000Z</x:v>
      </x:c>
      <x:c r="C339" s="13" t="n">
        <x:v>78</x:v>
      </x:c>
    </x:row>
    <x:row r="340" ht="20" customHeight="1">
      <x:c r="A340" s="1" t="str">
        <x:v>20725</x:v>
      </x:c>
      <x:c r="B340" s="9" t="d">
        <x:v>2011-10-31T00:00:00.000Z</x:v>
      </x:c>
      <x:c r="C340" s="13" t="n">
        <x:v>10</x:v>
      </x:c>
    </x:row>
    <x:row r="341" ht="20" customHeight="1">
      <x:c r="A341" s="1" t="str">
        <x:v>20725</x:v>
      </x:c>
      <x:c r="B341" s="9" t="d">
        <x:v>2011-11-01T00:00:00.000Z</x:v>
      </x:c>
      <x:c r="C341" s="13" t="n">
        <x:v>6</x:v>
      </x:c>
    </x:row>
    <x:row r="342" ht="20" customHeight="1">
      <x:c r="A342" s="1" t="str">
        <x:v>20725</x:v>
      </x:c>
      <x:c r="B342" s="9" t="d">
        <x:v>2011-11-02T00:00:00.000Z</x:v>
      </x:c>
      <x:c r="C342" s="13" t="n">
        <x:v>117</x:v>
      </x:c>
    </x:row>
    <x:row r="343" ht="20" customHeight="1">
      <x:c r="A343" s="1" t="str">
        <x:v>20725</x:v>
      </x:c>
      <x:c r="B343" s="9" t="d">
        <x:v>2011-11-03T00:00:00.000Z</x:v>
      </x:c>
      <x:c r="C343" s="13" t="n">
        <x:v>30</x:v>
      </x:c>
    </x:row>
    <x:row r="344" ht="20" customHeight="1">
      <x:c r="A344" s="1" t="str">
        <x:v>20725</x:v>
      </x:c>
      <x:c r="B344" s="9" t="d">
        <x:v>2011-11-04T00:00:00.000Z</x:v>
      </x:c>
      <x:c r="C344" s="13" t="n">
        <x:v>38</x:v>
      </x:c>
    </x:row>
    <x:row r="345" ht="20" customHeight="1">
      <x:c r="A345" s="1" t="str">
        <x:v>20725</x:v>
      </x:c>
      <x:c r="B345" s="9" t="d">
        <x:v>2011-11-05T00:00:00.000Z</x:v>
      </x:c>
      <x:c r="C345" s="13" t="n">
        <x:v>0</x:v>
      </x:c>
    </x:row>
    <x:row r="346" ht="20" customHeight="1">
      <x:c r="A346" s="1" t="str">
        <x:v>20725</x:v>
      </x:c>
      <x:c r="B346" s="9" t="d">
        <x:v>2011-11-06T00:00:00.000Z</x:v>
      </x:c>
      <x:c r="C346" s="13" t="n">
        <x:v>122</x:v>
      </x:c>
    </x:row>
    <x:row r="347" ht="20" customHeight="1">
      <x:c r="A347" s="1" t="str">
        <x:v>20725</x:v>
      </x:c>
      <x:c r="B347" s="9" t="d">
        <x:v>2011-11-07T00:00:00.000Z</x:v>
      </x:c>
      <x:c r="C347" s="13" t="n">
        <x:v>130</x:v>
      </x:c>
    </x:row>
    <x:row r="348" ht="20" customHeight="1">
      <x:c r="A348" s="1" t="str">
        <x:v>20725</x:v>
      </x:c>
      <x:c r="B348" s="9" t="d">
        <x:v>2011-11-08T00:00:00.000Z</x:v>
      </x:c>
      <x:c r="C348" s="13" t="n">
        <x:v>61</x:v>
      </x:c>
    </x:row>
    <x:row r="349" ht="20" customHeight="1">
      <x:c r="A349" s="1" t="str">
        <x:v>20725</x:v>
      </x:c>
      <x:c r="B349" s="9" t="d">
        <x:v>2011-11-09T00:00:00.000Z</x:v>
      </x:c>
      <x:c r="C349" s="13" t="n">
        <x:v>161</x:v>
      </x:c>
    </x:row>
    <x:row r="350" ht="20" customHeight="1">
      <x:c r="A350" s="1" t="str">
        <x:v>20725</x:v>
      </x:c>
      <x:c r="B350" s="9" t="d">
        <x:v>2011-11-10T00:00:00.000Z</x:v>
      </x:c>
      <x:c r="C350" s="13" t="n">
        <x:v>93</x:v>
      </x:c>
    </x:row>
    <x:row r="351" ht="20" customHeight="1">
      <x:c r="A351" s="1" t="str">
        <x:v>20725</x:v>
      </x:c>
      <x:c r="B351" s="9" t="d">
        <x:v>2011-11-11T00:00:00.000Z</x:v>
      </x:c>
      <x:c r="C351" s="13" t="n">
        <x:v>88</x:v>
      </x:c>
    </x:row>
    <x:row r="352" ht="20" customHeight="1">
      <x:c r="A352" s="1" t="str">
        <x:v>20725</x:v>
      </x:c>
      <x:c r="B352" s="9" t="d">
        <x:v>2011-11-12T00:00:00.000Z</x:v>
      </x:c>
      <x:c r="C352" s="13" t="n">
        <x:v>0</x:v>
      </x:c>
    </x:row>
    <x:row r="353" ht="20" customHeight="1">
      <x:c r="A353" s="1" t="str">
        <x:v>20725</x:v>
      </x:c>
      <x:c r="B353" s="9" t="d">
        <x:v>2011-11-13T00:00:00.000Z</x:v>
      </x:c>
      <x:c r="C353" s="13" t="n">
        <x:v>23</x:v>
      </x:c>
    </x:row>
    <x:row r="354" ht="20" customHeight="1">
      <x:c r="A354" s="1" t="str">
        <x:v>20725</x:v>
      </x:c>
      <x:c r="B354" s="9" t="d">
        <x:v>2011-11-14T00:00:00.000Z</x:v>
      </x:c>
      <x:c r="C354" s="13" t="n">
        <x:v>155</x:v>
      </x:c>
    </x:row>
    <x:row r="355" ht="20" customHeight="1">
      <x:c r="A355" s="1" t="str">
        <x:v>20725</x:v>
      </x:c>
      <x:c r="B355" s="9" t="d">
        <x:v>2011-11-15T00:00:00.000Z</x:v>
      </x:c>
      <x:c r="C355" s="13" t="n">
        <x:v>232</x:v>
      </x:c>
    </x:row>
    <x:row r="356" ht="20" customHeight="1">
      <x:c r="A356" s="1" t="str">
        <x:v>20725</x:v>
      </x:c>
      <x:c r="B356" s="9" t="d">
        <x:v>2011-11-16T00:00:00.000Z</x:v>
      </x:c>
      <x:c r="C356" s="13" t="n">
        <x:v>66</x:v>
      </x:c>
    </x:row>
    <x:row r="357" ht="20" customHeight="1">
      <x:c r="A357" s="1" t="str">
        <x:v>20725</x:v>
      </x:c>
      <x:c r="B357" s="9" t="d">
        <x:v>2011-11-17T00:00:00.000Z</x:v>
      </x:c>
      <x:c r="C357" s="13" t="n">
        <x:v>71</x:v>
      </x:c>
    </x:row>
    <x:row r="358" ht="20" customHeight="1">
      <x:c r="A358" s="1" t="str">
        <x:v>20725</x:v>
      </x:c>
      <x:c r="B358" s="9" t="d">
        <x:v>2011-11-18T00:00:00.000Z</x:v>
      </x:c>
      <x:c r="C358" s="13" t="n">
        <x:v>76</x:v>
      </x:c>
    </x:row>
    <x:row r="359" ht="20" customHeight="1">
      <x:c r="A359" s="1" t="str">
        <x:v>20725</x:v>
      </x:c>
      <x:c r="B359" s="9" t="d">
        <x:v>2011-11-19T00:00:00.000Z</x:v>
      </x:c>
      <x:c r="C359" s="13" t="n">
        <x:v>0</x:v>
      </x:c>
    </x:row>
    <x:row r="360" ht="20" customHeight="1">
      <x:c r="A360" s="1" t="str">
        <x:v>20725</x:v>
      </x:c>
      <x:c r="B360" s="9" t="d">
        <x:v>2011-11-20T00:00:00.000Z</x:v>
      </x:c>
      <x:c r="C360" s="13" t="n">
        <x:v>49</x:v>
      </x:c>
    </x:row>
    <x:row r="361" ht="20" customHeight="1">
      <x:c r="A361" s="1" t="str">
        <x:v>20725</x:v>
      </x:c>
      <x:c r="B361" s="9" t="d">
        <x:v>2011-11-21T00:00:00.000Z</x:v>
      </x:c>
      <x:c r="C361" s="13" t="n">
        <x:v>37</x:v>
      </x:c>
    </x:row>
    <x:row r="362" ht="20" customHeight="1">
      <x:c r="A362" s="1" t="str">
        <x:v>20725</x:v>
      </x:c>
      <x:c r="B362" s="9" t="d">
        <x:v>2011-11-22T00:00:00.000Z</x:v>
      </x:c>
      <x:c r="C362" s="13" t="n">
        <x:v>47</x:v>
      </x:c>
    </x:row>
    <x:row r="363" ht="20" customHeight="1">
      <x:c r="A363" s="1" t="str">
        <x:v>20725</x:v>
      </x:c>
      <x:c r="B363" s="9" t="d">
        <x:v>2011-11-23T00:00:00.000Z</x:v>
      </x:c>
      <x:c r="C363" s="13" t="n">
        <x:v>37</x:v>
      </x:c>
    </x:row>
    <x:row r="364" ht="20" customHeight="1">
      <x:c r="A364" s="1" t="str">
        <x:v>20725</x:v>
      </x:c>
      <x:c r="B364" s="9" t="d">
        <x:v>2011-11-24T00:00:00.000Z</x:v>
      </x:c>
      <x:c r="C364" s="13" t="n">
        <x:v>44</x:v>
      </x:c>
    </x:row>
    <x:row r="365" ht="20" customHeight="1">
      <x:c r="A365" s="1" t="str">
        <x:v>20725</x:v>
      </x:c>
      <x:c r="B365" s="9" t="d">
        <x:v>2011-11-25T00:00:00.000Z</x:v>
      </x:c>
      <x:c r="C365" s="13" t="n">
        <x:v>93</x:v>
      </x:c>
    </x:row>
    <x:row r="366" ht="20" customHeight="1">
      <x:c r="A366" s="1" t="str">
        <x:v>20725</x:v>
      </x:c>
      <x:c r="B366" s="9" t="d">
        <x:v>2011-11-26T00:00:00.000Z</x:v>
      </x:c>
      <x:c r="C366" s="13" t="n">
        <x:v>0</x:v>
      </x:c>
    </x:row>
    <x:row r="367" ht="20" customHeight="1">
      <x:c r="A367" s="1" t="str">
        <x:v>20725</x:v>
      </x:c>
      <x:c r="B367" s="9" t="d">
        <x:v>2011-11-27T00:00:00.000Z</x:v>
      </x:c>
      <x:c r="C367" s="13" t="n">
        <x:v>18</x:v>
      </x:c>
    </x:row>
    <x:row r="368" ht="20" customHeight="1">
      <x:c r="A368" s="1" t="str">
        <x:v>20725</x:v>
      </x:c>
      <x:c r="B368" s="9" t="d">
        <x:v>2011-11-28T00:00:00.000Z</x:v>
      </x:c>
      <x:c r="C368" s="13" t="n">
        <x:v>58</x:v>
      </x:c>
    </x:row>
    <x:row r="369" ht="20" customHeight="1">
      <x:c r="A369" s="1" t="str">
        <x:v>20725</x:v>
      </x:c>
      <x:c r="B369" s="9" t="d">
        <x:v>2011-11-29T00:00:00.000Z</x:v>
      </x:c>
      <x:c r="C369" s="13" t="n">
        <x:v>49</x:v>
      </x:c>
    </x:row>
    <x:row r="370" ht="20" customHeight="1">
      <x:c r="A370" s="1" t="str">
        <x:v>20725</x:v>
      </x:c>
      <x:c r="B370" s="9" t="d">
        <x:v>2011-11-30T00:00:00.000Z</x:v>
      </x:c>
      <x:c r="C370" s="13" t="n">
        <x:v>91</x:v>
      </x:c>
    </x:row>
    <x:row r="371" ht="20" customHeight="1">
      <x:c r="A371" s="1" t="str">
        <x:v>21181</x:v>
      </x:c>
      <x:c r="B371" s="9" t="d">
        <x:v>2010-12-01T00:00:00.000Z</x:v>
      </x:c>
      <x:c r="C371" s="13" t="n">
        <x:v>14</x:v>
      </x:c>
    </x:row>
    <x:row r="372" ht="20" customHeight="1">
      <x:c r="A372" s="1" t="str">
        <x:v>21181</x:v>
      </x:c>
      <x:c r="B372" s="9" t="d">
        <x:v>2010-12-02T00:00:00.000Z</x:v>
      </x:c>
      <x:c r="C372" s="13" t="n">
        <x:v>38</x:v>
      </x:c>
    </x:row>
    <x:row r="373" ht="20" customHeight="1">
      <x:c r="A373" s="1" t="str">
        <x:v>21181</x:v>
      </x:c>
      <x:c r="B373" s="9" t="d">
        <x:v>2010-12-03T00:00:00.000Z</x:v>
      </x:c>
      <x:c r="C373" s="13" t="n">
        <x:v>16</x:v>
      </x:c>
    </x:row>
    <x:row r="374" ht="20" customHeight="1">
      <x:c r="A374" s="1" t="str">
        <x:v>21181</x:v>
      </x:c>
      <x:c r="B374" s="9" t="d">
        <x:v>2010-12-04T00:00:00.000Z</x:v>
      </x:c>
      <x:c r="C374" s="13" t="n">
        <x:v>0</x:v>
      </x:c>
    </x:row>
    <x:row r="375" ht="20" customHeight="1">
      <x:c r="A375" s="1" t="str">
        <x:v>21181</x:v>
      </x:c>
      <x:c r="B375" s="9" t="d">
        <x:v>2010-12-05T00:00:00.000Z</x:v>
      </x:c>
      <x:c r="C375" s="13" t="n">
        <x:v>6</x:v>
      </x:c>
    </x:row>
    <x:row r="376" ht="20" customHeight="1">
      <x:c r="A376" s="1" t="str">
        <x:v>21181</x:v>
      </x:c>
      <x:c r="B376" s="9" t="d">
        <x:v>2010-12-06T00:00:00.000Z</x:v>
      </x:c>
      <x:c r="C376" s="13" t="n">
        <x:v>63</x:v>
      </x:c>
    </x:row>
    <x:row r="377" ht="20" customHeight="1">
      <x:c r="A377" s="1" t="str">
        <x:v>21181</x:v>
      </x:c>
      <x:c r="B377" s="9" t="d">
        <x:v>2010-12-07T00:00:00.000Z</x:v>
      </x:c>
      <x:c r="C377" s="13" t="n">
        <x:v>6</x:v>
      </x:c>
    </x:row>
    <x:row r="378" ht="20" customHeight="1">
      <x:c r="A378" s="1" t="str">
        <x:v>21181</x:v>
      </x:c>
      <x:c r="B378" s="9" t="d">
        <x:v>2010-12-08T00:00:00.000Z</x:v>
      </x:c>
      <x:c r="C378" s="13" t="n">
        <x:v>71</x:v>
      </x:c>
    </x:row>
    <x:row r="379" ht="20" customHeight="1">
      <x:c r="A379" s="1" t="str">
        <x:v>21181</x:v>
      </x:c>
      <x:c r="B379" s="9" t="d">
        <x:v>2010-12-09T00:00:00.000Z</x:v>
      </x:c>
      <x:c r="C379" s="13" t="n">
        <x:v>82</x:v>
      </x:c>
    </x:row>
    <x:row r="380" ht="20" customHeight="1">
      <x:c r="A380" s="1" t="str">
        <x:v>21181</x:v>
      </x:c>
      <x:c r="B380" s="9" t="d">
        <x:v>2010-12-10T00:00:00.000Z</x:v>
      </x:c>
      <x:c r="C380" s="13" t="n">
        <x:v>176</x:v>
      </x:c>
    </x:row>
    <x:row r="381" ht="20" customHeight="1">
      <x:c r="A381" s="1" t="str">
        <x:v>21181</x:v>
      </x:c>
      <x:c r="B381" s="9" t="d">
        <x:v>2010-12-11T00:00:00.000Z</x:v>
      </x:c>
      <x:c r="C381" s="13" t="n">
        <x:v>0</x:v>
      </x:c>
    </x:row>
    <x:row r="382" ht="20" customHeight="1">
      <x:c r="A382" s="1" t="str">
        <x:v>21181</x:v>
      </x:c>
      <x:c r="B382" s="9" t="d">
        <x:v>2010-12-12T00:00:00.000Z</x:v>
      </x:c>
      <x:c r="C382" s="13" t="n">
        <x:v>19</x:v>
      </x:c>
    </x:row>
    <x:row r="383" ht="20" customHeight="1">
      <x:c r="A383" s="1" t="str">
        <x:v>21181</x:v>
      </x:c>
      <x:c r="B383" s="9" t="d">
        <x:v>2010-12-13T00:00:00.000Z</x:v>
      </x:c>
      <x:c r="C383" s="13" t="n">
        <x:v>39</x:v>
      </x:c>
    </x:row>
    <x:row r="384" ht="20" customHeight="1">
      <x:c r="A384" s="1" t="str">
        <x:v>21181</x:v>
      </x:c>
      <x:c r="B384" s="9" t="d">
        <x:v>2010-12-14T00:00:00.000Z</x:v>
      </x:c>
      <x:c r="C384" s="13" t="n">
        <x:v>17</x:v>
      </x:c>
    </x:row>
    <x:row r="385" ht="20" customHeight="1">
      <x:c r="A385" s="1" t="str">
        <x:v>21181</x:v>
      </x:c>
      <x:c r="B385" s="9" t="d">
        <x:v>2010-12-15T00:00:00.000Z</x:v>
      </x:c>
      <x:c r="C385" s="13" t="n">
        <x:v>55</x:v>
      </x:c>
    </x:row>
    <x:row r="386" ht="20" customHeight="1">
      <x:c r="A386" s="1" t="str">
        <x:v>21181</x:v>
      </x:c>
      <x:c r="B386" s="9" t="d">
        <x:v>2010-12-16T00:00:00.000Z</x:v>
      </x:c>
      <x:c r="C386" s="13" t="n">
        <x:v>508</x:v>
      </x:c>
    </x:row>
    <x:row r="387" ht="20" customHeight="1">
      <x:c r="A387" s="1" t="str">
        <x:v>21181</x:v>
      </x:c>
      <x:c r="B387" s="9" t="d">
        <x:v>2010-12-17T00:00:00.000Z</x:v>
      </x:c>
      <x:c r="C387" s="13" t="n">
        <x:v>12</x:v>
      </x:c>
    </x:row>
    <x:row r="388" ht="20" customHeight="1">
      <x:c r="A388" s="1" t="str">
        <x:v>21181</x:v>
      </x:c>
      <x:c r="B388" s="9" t="d">
        <x:v>2010-12-18T00:00:00.000Z</x:v>
      </x:c>
      <x:c r="C388" s="13" t="n">
        <x:v>0</x:v>
      </x:c>
    </x:row>
    <x:row r="389" ht="20" customHeight="1">
      <x:c r="A389" s="1" t="str">
        <x:v>21181</x:v>
      </x:c>
      <x:c r="B389" s="9" t="d">
        <x:v>2010-12-19T00:00:00.000Z</x:v>
      </x:c>
      <x:c r="C389" s="13" t="n">
        <x:v>12</x:v>
      </x:c>
    </x:row>
    <x:row r="390" ht="20" customHeight="1">
      <x:c r="A390" s="1" t="str">
        <x:v>21181</x:v>
      </x:c>
      <x:c r="B390" s="9" t="d">
        <x:v>2010-12-20T00:00:00.000Z</x:v>
      </x:c>
      <x:c r="C390" s="13" t="n">
        <x:v>38</x:v>
      </x:c>
    </x:row>
    <x:row r="391" ht="20" customHeight="1">
      <x:c r="A391" s="1" t="str">
        <x:v>21181</x:v>
      </x:c>
      <x:c r="B391" s="9" t="d">
        <x:v>2010-12-21T00:00:00.000Z</x:v>
      </x:c>
      <x:c r="C391" s="13" t="n">
        <x:v>8</x:v>
      </x:c>
    </x:row>
    <x:row r="392" ht="20" customHeight="1">
      <x:c r="A392" s="1" t="str">
        <x:v>21181</x:v>
      </x:c>
      <x:c r="B392" s="9" t="d">
        <x:v>2010-12-22T00:00:00.000Z</x:v>
      </x:c>
      <x:c r="C392" s="13" t="n">
        <x:v>0</x:v>
      </x:c>
    </x:row>
    <x:row r="393" ht="20" customHeight="1">
      <x:c r="A393" s="1" t="str">
        <x:v>21181</x:v>
      </x:c>
      <x:c r="B393" s="9" t="d">
        <x:v>2010-12-23T00:00:00.000Z</x:v>
      </x:c>
      <x:c r="C393" s="13" t="n">
        <x:v>3</x:v>
      </x:c>
    </x:row>
    <x:row r="394" ht="20" customHeight="1">
      <x:c r="A394" s="1" t="str">
        <x:v>21181</x:v>
      </x:c>
      <x:c r="B394" s="9" t="d">
        <x:v>2010-12-24T00:00:00.000Z</x:v>
      </x:c>
      <x:c r="C394" s="13" t="n">
        <x:v>0</x:v>
      </x:c>
    </x:row>
    <x:row r="395" ht="20" customHeight="1">
      <x:c r="A395" s="1" t="str">
        <x:v>21181</x:v>
      </x:c>
      <x:c r="B395" s="9" t="d">
        <x:v>2010-12-25T00:00:00.000Z</x:v>
      </x:c>
      <x:c r="C395" s="13" t="n">
        <x:v>0</x:v>
      </x:c>
    </x:row>
    <x:row r="396" ht="20" customHeight="1">
      <x:c r="A396" s="1" t="str">
        <x:v>21181</x:v>
      </x:c>
      <x:c r="B396" s="9" t="d">
        <x:v>2010-12-26T00:00:00.000Z</x:v>
      </x:c>
      <x:c r="C396" s="13" t="n">
        <x:v>0</x:v>
      </x:c>
    </x:row>
    <x:row r="397" ht="20" customHeight="1">
      <x:c r="A397" s="1" t="str">
        <x:v>21181</x:v>
      </x:c>
      <x:c r="B397" s="9" t="d">
        <x:v>2010-12-27T00:00:00.000Z</x:v>
      </x:c>
      <x:c r="C397" s="13" t="n">
        <x:v>0</x:v>
      </x:c>
    </x:row>
    <x:row r="398" ht="20" customHeight="1">
      <x:c r="A398" s="1" t="str">
        <x:v>21181</x:v>
      </x:c>
      <x:c r="B398" s="9" t="d">
        <x:v>2010-12-28T00:00:00.000Z</x:v>
      </x:c>
      <x:c r="C398" s="13" t="n">
        <x:v>0</x:v>
      </x:c>
    </x:row>
    <x:row r="399" ht="20" customHeight="1">
      <x:c r="A399" s="1" t="str">
        <x:v>21181</x:v>
      </x:c>
      <x:c r="B399" s="9" t="d">
        <x:v>2010-12-29T00:00:00.000Z</x:v>
      </x:c>
      <x:c r="C399" s="13" t="n">
        <x:v>0</x:v>
      </x:c>
    </x:row>
    <x:row r="400" ht="20" customHeight="1">
      <x:c r="A400" s="1" t="str">
        <x:v>21181</x:v>
      </x:c>
      <x:c r="B400" s="9" t="d">
        <x:v>2010-12-30T00:00:00.000Z</x:v>
      </x:c>
      <x:c r="C400" s="13" t="n">
        <x:v>0</x:v>
      </x:c>
    </x:row>
    <x:row r="401" ht="20" customHeight="1">
      <x:c r="A401" s="1" t="str">
        <x:v>21181</x:v>
      </x:c>
      <x:c r="B401" s="9" t="d">
        <x:v>2010-12-31T00:00:00.000Z</x:v>
      </x:c>
      <x:c r="C401" s="13" t="n">
        <x:v>0</x:v>
      </x:c>
    </x:row>
    <x:row r="402" ht="20" customHeight="1">
      <x:c r="A402" s="1" t="str">
        <x:v>21181</x:v>
      </x:c>
      <x:c r="B402" s="9" t="d">
        <x:v>2011-01-01T00:00:00.000Z</x:v>
      </x:c>
      <x:c r="C402" s="13" t="n">
        <x:v>0</x:v>
      </x:c>
    </x:row>
    <x:row r="403" ht="20" customHeight="1">
      <x:c r="A403" s="1" t="str">
        <x:v>21181</x:v>
      </x:c>
      <x:c r="B403" s="9" t="d">
        <x:v>2011-01-02T00:00:00.000Z</x:v>
      </x:c>
      <x:c r="C403" s="13" t="n">
        <x:v>0</x:v>
      </x:c>
    </x:row>
    <x:row r="404" ht="20" customHeight="1">
      <x:c r="A404" s="1" t="str">
        <x:v>21181</x:v>
      </x:c>
      <x:c r="B404" s="9" t="d">
        <x:v>2011-01-03T00:00:00.000Z</x:v>
      </x:c>
      <x:c r="C404" s="13" t="n">
        <x:v>0</x:v>
      </x:c>
    </x:row>
    <x:row r="405" ht="20" customHeight="1">
      <x:c r="A405" s="1" t="str">
        <x:v>21181</x:v>
      </x:c>
      <x:c r="B405" s="9" t="d">
        <x:v>2011-01-04T00:00:00.000Z</x:v>
      </x:c>
      <x:c r="C405" s="13" t="n">
        <x:v>70</x:v>
      </x:c>
    </x:row>
    <x:row r="406" ht="20" customHeight="1">
      <x:c r="A406" s="1" t="str">
        <x:v>21181</x:v>
      </x:c>
      <x:c r="B406" s="9" t="d">
        <x:v>2011-01-05T00:00:00.000Z</x:v>
      </x:c>
      <x:c r="C406" s="13" t="n">
        <x:v>51</x:v>
      </x:c>
    </x:row>
    <x:row r="407" ht="20" customHeight="1">
      <x:c r="A407" s="1" t="str">
        <x:v>21181</x:v>
      </x:c>
      <x:c r="B407" s="9" t="d">
        <x:v>2011-01-06T00:00:00.000Z</x:v>
      </x:c>
      <x:c r="C407" s="13" t="n">
        <x:v>5</x:v>
      </x:c>
    </x:row>
    <x:row r="408" ht="20" customHeight="1">
      <x:c r="A408" s="1" t="str">
        <x:v>21181</x:v>
      </x:c>
      <x:c r="B408" s="9" t="d">
        <x:v>2011-01-07T00:00:00.000Z</x:v>
      </x:c>
      <x:c r="C408" s="13" t="n">
        <x:v>60</x:v>
      </x:c>
    </x:row>
    <x:row r="409" ht="20" customHeight="1">
      <x:c r="A409" s="1" t="str">
        <x:v>21181</x:v>
      </x:c>
      <x:c r="B409" s="9" t="d">
        <x:v>2011-01-08T00:00:00.000Z</x:v>
      </x:c>
      <x:c r="C409" s="13" t="n">
        <x:v>0</x:v>
      </x:c>
    </x:row>
    <x:row r="410" ht="20" customHeight="1">
      <x:c r="A410" s="1" t="str">
        <x:v>21181</x:v>
      </x:c>
      <x:c r="B410" s="9" t="d">
        <x:v>2011-01-09T00:00:00.000Z</x:v>
      </x:c>
      <x:c r="C410" s="13" t="n">
        <x:v>74</x:v>
      </x:c>
    </x:row>
    <x:row r="411" ht="20" customHeight="1">
      <x:c r="A411" s="1" t="str">
        <x:v>21181</x:v>
      </x:c>
      <x:c r="B411" s="9" t="d">
        <x:v>2011-01-10T00:00:00.000Z</x:v>
      </x:c>
      <x:c r="C411" s="13" t="n">
        <x:v>24</x:v>
      </x:c>
    </x:row>
    <x:row r="412" ht="20" customHeight="1">
      <x:c r="A412" s="1" t="str">
        <x:v>21181</x:v>
      </x:c>
      <x:c r="B412" s="9" t="d">
        <x:v>2011-01-11T00:00:00.000Z</x:v>
      </x:c>
      <x:c r="C412" s="13" t="n">
        <x:v>65</x:v>
      </x:c>
    </x:row>
    <x:row r="413" ht="20" customHeight="1">
      <x:c r="A413" s="1" t="str">
        <x:v>21181</x:v>
      </x:c>
      <x:c r="B413" s="9" t="d">
        <x:v>2011-01-12T00:00:00.000Z</x:v>
      </x:c>
      <x:c r="C413" s="13" t="n">
        <x:v>14</x:v>
      </x:c>
    </x:row>
    <x:row r="414" ht="20" customHeight="1">
      <x:c r="A414" s="1" t="str">
        <x:v>21181</x:v>
      </x:c>
      <x:c r="B414" s="9" t="d">
        <x:v>2011-01-13T00:00:00.000Z</x:v>
      </x:c>
      <x:c r="C414" s="13" t="n">
        <x:v>4</x:v>
      </x:c>
    </x:row>
    <x:row r="415" ht="20" customHeight="1">
      <x:c r="A415" s="1" t="str">
        <x:v>21181</x:v>
      </x:c>
      <x:c r="B415" s="9" t="d">
        <x:v>2011-01-14T00:00:00.000Z</x:v>
      </x:c>
      <x:c r="C415" s="13" t="n">
        <x:v>15</x:v>
      </x:c>
    </x:row>
    <x:row r="416" ht="20" customHeight="1">
      <x:c r="A416" s="1" t="str">
        <x:v>21181</x:v>
      </x:c>
      <x:c r="B416" s="9" t="d">
        <x:v>2011-01-15T00:00:00.000Z</x:v>
      </x:c>
      <x:c r="C416" s="13" t="n">
        <x:v>0</x:v>
      </x:c>
    </x:row>
    <x:row r="417" ht="20" customHeight="1">
      <x:c r="A417" s="1" t="str">
        <x:v>21181</x:v>
      </x:c>
      <x:c r="B417" s="9" t="d">
        <x:v>2011-01-16T00:00:00.000Z</x:v>
      </x:c>
      <x:c r="C417" s="13" t="n">
        <x:v>3</x:v>
      </x:c>
    </x:row>
    <x:row r="418" ht="20" customHeight="1">
      <x:c r="A418" s="1" t="str">
        <x:v>21181</x:v>
      </x:c>
      <x:c r="B418" s="9" t="d">
        <x:v>2011-01-17T00:00:00.000Z</x:v>
      </x:c>
      <x:c r="C418" s="13" t="n">
        <x:v>45</x:v>
      </x:c>
    </x:row>
    <x:row r="419" ht="20" customHeight="1">
      <x:c r="A419" s="1" t="str">
        <x:v>21181</x:v>
      </x:c>
      <x:c r="B419" s="9" t="d">
        <x:v>2011-01-18T00:00:00.000Z</x:v>
      </x:c>
      <x:c r="C419" s="13" t="n">
        <x:v>8</x:v>
      </x:c>
    </x:row>
    <x:row r="420" ht="20" customHeight="1">
      <x:c r="A420" s="1" t="str">
        <x:v>21181</x:v>
      </x:c>
      <x:c r="B420" s="9" t="d">
        <x:v>2011-01-19T00:00:00.000Z</x:v>
      </x:c>
      <x:c r="C420" s="13" t="n">
        <x:v>3</x:v>
      </x:c>
    </x:row>
    <x:row r="421" ht="20" customHeight="1">
      <x:c r="A421" s="1" t="str">
        <x:v>21181</x:v>
      </x:c>
      <x:c r="B421" s="9" t="d">
        <x:v>2011-01-20T00:00:00.000Z</x:v>
      </x:c>
      <x:c r="C421" s="13" t="n">
        <x:v>52</x:v>
      </x:c>
    </x:row>
    <x:row r="422" ht="20" customHeight="1">
      <x:c r="A422" s="1" t="str">
        <x:v>21181</x:v>
      </x:c>
      <x:c r="B422" s="9" t="d">
        <x:v>2011-01-21T00:00:00.000Z</x:v>
      </x:c>
      <x:c r="C422" s="13" t="n">
        <x:v>1</x:v>
      </x:c>
    </x:row>
    <x:row r="423" ht="20" customHeight="1">
      <x:c r="A423" s="1" t="str">
        <x:v>21181</x:v>
      </x:c>
      <x:c r="B423" s="9" t="d">
        <x:v>2011-01-22T00:00:00.000Z</x:v>
      </x:c>
      <x:c r="C423" s="13" t="n">
        <x:v>0</x:v>
      </x:c>
    </x:row>
    <x:row r="424" ht="20" customHeight="1">
      <x:c r="A424" s="1" t="str">
        <x:v>21181</x:v>
      </x:c>
      <x:c r="B424" s="9" t="d">
        <x:v>2011-01-23T00:00:00.000Z</x:v>
      </x:c>
      <x:c r="C424" s="13" t="n">
        <x:v>5</x:v>
      </x:c>
    </x:row>
    <x:row r="425" ht="20" customHeight="1">
      <x:c r="A425" s="1" t="str">
        <x:v>21181</x:v>
      </x:c>
      <x:c r="B425" s="9" t="d">
        <x:v>2011-01-24T00:00:00.000Z</x:v>
      </x:c>
      <x:c r="C425" s="13" t="n">
        <x:v>17</x:v>
      </x:c>
    </x:row>
    <x:row r="426" ht="20" customHeight="1">
      <x:c r="A426" s="1" t="str">
        <x:v>21181</x:v>
      </x:c>
      <x:c r="B426" s="9" t="d">
        <x:v>2011-01-25T00:00:00.000Z</x:v>
      </x:c>
      <x:c r="C426" s="13" t="n">
        <x:v>45</x:v>
      </x:c>
    </x:row>
    <x:row r="427" ht="20" customHeight="1">
      <x:c r="A427" s="1" t="str">
        <x:v>21181</x:v>
      </x:c>
      <x:c r="B427" s="9" t="d">
        <x:v>2011-01-26T00:00:00.000Z</x:v>
      </x:c>
      <x:c r="C427" s="13" t="n">
        <x:v>5</x:v>
      </x:c>
    </x:row>
    <x:row r="428" ht="20" customHeight="1">
      <x:c r="A428" s="1" t="str">
        <x:v>21181</x:v>
      </x:c>
      <x:c r="B428" s="9" t="d">
        <x:v>2011-01-27T00:00:00.000Z</x:v>
      </x:c>
      <x:c r="C428" s="13" t="n">
        <x:v>14</x:v>
      </x:c>
    </x:row>
    <x:row r="429" ht="20" customHeight="1">
      <x:c r="A429" s="1" t="str">
        <x:v>21181</x:v>
      </x:c>
      <x:c r="B429" s="9" t="d">
        <x:v>2011-01-28T00:00:00.000Z</x:v>
      </x:c>
      <x:c r="C429" s="13" t="n">
        <x:v>0</x:v>
      </x:c>
    </x:row>
    <x:row r="430" ht="20" customHeight="1">
      <x:c r="A430" s="1" t="str">
        <x:v>21181</x:v>
      </x:c>
      <x:c r="B430" s="9" t="d">
        <x:v>2011-01-29T00:00:00.000Z</x:v>
      </x:c>
      <x:c r="C430" s="13" t="n">
        <x:v>0</x:v>
      </x:c>
    </x:row>
    <x:row r="431" ht="20" customHeight="1">
      <x:c r="A431" s="1" t="str">
        <x:v>21181</x:v>
      </x:c>
      <x:c r="B431" s="9" t="d">
        <x:v>2011-01-30T00:00:00.000Z</x:v>
      </x:c>
      <x:c r="C431" s="13" t="n">
        <x:v>15</x:v>
      </x:c>
    </x:row>
    <x:row r="432" ht="20" customHeight="1">
      <x:c r="A432" s="1" t="str">
        <x:v>21181</x:v>
      </x:c>
      <x:c r="B432" s="9" t="d">
        <x:v>2011-01-31T00:00:00.000Z</x:v>
      </x:c>
      <x:c r="C432" s="13" t="n">
        <x:v>13</x:v>
      </x:c>
    </x:row>
    <x:row r="433" ht="20" customHeight="1">
      <x:c r="A433" s="1" t="str">
        <x:v>21181</x:v>
      </x:c>
      <x:c r="B433" s="9" t="d">
        <x:v>2011-02-01T00:00:00.000Z</x:v>
      </x:c>
      <x:c r="C433" s="13" t="n">
        <x:v>89</x:v>
      </x:c>
    </x:row>
    <x:row r="434" ht="20" customHeight="1">
      <x:c r="A434" s="1" t="str">
        <x:v>21181</x:v>
      </x:c>
      <x:c r="B434" s="9" t="d">
        <x:v>2011-02-02T00:00:00.000Z</x:v>
      </x:c>
      <x:c r="C434" s="13" t="n">
        <x:v>13</x:v>
      </x:c>
    </x:row>
    <x:row r="435" ht="20" customHeight="1">
      <x:c r="A435" s="1" t="str">
        <x:v>21181</x:v>
      </x:c>
      <x:c r="B435" s="9" t="d">
        <x:v>2011-02-03T00:00:00.000Z</x:v>
      </x:c>
      <x:c r="C435" s="13" t="n">
        <x:v>11</x:v>
      </x:c>
    </x:row>
    <x:row r="436" ht="20" customHeight="1">
      <x:c r="A436" s="1" t="str">
        <x:v>21181</x:v>
      </x:c>
      <x:c r="B436" s="9" t="d">
        <x:v>2011-02-04T00:00:00.000Z</x:v>
      </x:c>
      <x:c r="C436" s="13" t="n">
        <x:v>110</x:v>
      </x:c>
    </x:row>
    <x:row r="437" ht="20" customHeight="1">
      <x:c r="A437" s="1" t="str">
        <x:v>21181</x:v>
      </x:c>
      <x:c r="B437" s="9" t="d">
        <x:v>2011-02-05T00:00:00.000Z</x:v>
      </x:c>
      <x:c r="C437" s="13" t="n">
        <x:v>0</x:v>
      </x:c>
    </x:row>
    <x:row r="438" ht="20" customHeight="1">
      <x:c r="A438" s="1" t="str">
        <x:v>21181</x:v>
      </x:c>
      <x:c r="B438" s="9" t="d">
        <x:v>2011-02-06T00:00:00.000Z</x:v>
      </x:c>
      <x:c r="C438" s="13" t="n">
        <x:v>0</x:v>
      </x:c>
    </x:row>
    <x:row r="439" ht="20" customHeight="1">
      <x:c r="A439" s="1" t="str">
        <x:v>21181</x:v>
      </x:c>
      <x:c r="B439" s="9" t="d">
        <x:v>2011-02-07T00:00:00.000Z</x:v>
      </x:c>
      <x:c r="C439" s="13" t="n">
        <x:v>13</x:v>
      </x:c>
    </x:row>
    <x:row r="440" ht="20" customHeight="1">
      <x:c r="A440" s="1" t="str">
        <x:v>21181</x:v>
      </x:c>
      <x:c r="B440" s="9" t="d">
        <x:v>2011-02-08T00:00:00.000Z</x:v>
      </x:c>
      <x:c r="C440" s="13" t="n">
        <x:v>18</x:v>
      </x:c>
    </x:row>
    <x:row r="441" ht="20" customHeight="1">
      <x:c r="A441" s="1" t="str">
        <x:v>21181</x:v>
      </x:c>
      <x:c r="B441" s="9" t="d">
        <x:v>2011-02-09T00:00:00.000Z</x:v>
      </x:c>
      <x:c r="C441" s="13" t="n">
        <x:v>3</x:v>
      </x:c>
    </x:row>
    <x:row r="442" ht="20" customHeight="1">
      <x:c r="A442" s="1" t="str">
        <x:v>21181</x:v>
      </x:c>
      <x:c r="B442" s="9" t="d">
        <x:v>2011-02-10T00:00:00.000Z</x:v>
      </x:c>
      <x:c r="C442" s="13" t="n">
        <x:v>31</x:v>
      </x:c>
    </x:row>
    <x:row r="443" ht="20" customHeight="1">
      <x:c r="A443" s="1" t="str">
        <x:v>21181</x:v>
      </x:c>
      <x:c r="B443" s="9" t="d">
        <x:v>2011-02-11T00:00:00.000Z</x:v>
      </x:c>
      <x:c r="C443" s="13" t="n">
        <x:v>17</x:v>
      </x:c>
    </x:row>
    <x:row r="444" ht="20" customHeight="1">
      <x:c r="A444" s="1" t="str">
        <x:v>21181</x:v>
      </x:c>
      <x:c r="B444" s="9" t="d">
        <x:v>2011-02-12T00:00:00.000Z</x:v>
      </x:c>
      <x:c r="C444" s="13" t="n">
        <x:v>0</x:v>
      </x:c>
    </x:row>
    <x:row r="445" ht="20" customHeight="1">
      <x:c r="A445" s="1" t="str">
        <x:v>21181</x:v>
      </x:c>
      <x:c r="B445" s="9" t="d">
        <x:v>2011-02-13T00:00:00.000Z</x:v>
      </x:c>
      <x:c r="C445" s="13" t="n">
        <x:v>4</x:v>
      </x:c>
    </x:row>
    <x:row r="446" ht="20" customHeight="1">
      <x:c r="A446" s="1" t="str">
        <x:v>21181</x:v>
      </x:c>
      <x:c r="B446" s="9" t="d">
        <x:v>2011-02-14T00:00:00.000Z</x:v>
      </x:c>
      <x:c r="C446" s="13" t="n">
        <x:v>1</x:v>
      </x:c>
    </x:row>
    <x:row r="447" ht="20" customHeight="1">
      <x:c r="A447" s="1" t="str">
        <x:v>21181</x:v>
      </x:c>
      <x:c r="B447" s="9" t="d">
        <x:v>2011-02-15T00:00:00.000Z</x:v>
      </x:c>
      <x:c r="C447" s="13" t="n">
        <x:v>14</x:v>
      </x:c>
    </x:row>
    <x:row r="448" ht="20" customHeight="1">
      <x:c r="A448" s="1" t="str">
        <x:v>21181</x:v>
      </x:c>
      <x:c r="B448" s="9" t="d">
        <x:v>2011-02-16T00:00:00.000Z</x:v>
      </x:c>
      <x:c r="C448" s="13" t="n">
        <x:v>79</x:v>
      </x:c>
    </x:row>
    <x:row r="449" ht="20" customHeight="1">
      <x:c r="A449" s="1" t="str">
        <x:v>21181</x:v>
      </x:c>
      <x:c r="B449" s="9" t="d">
        <x:v>2011-02-17T00:00:00.000Z</x:v>
      </x:c>
      <x:c r="C449" s="13" t="n">
        <x:v>103</x:v>
      </x:c>
    </x:row>
    <x:row r="450" ht="20" customHeight="1">
      <x:c r="A450" s="1" t="str">
        <x:v>21181</x:v>
      </x:c>
      <x:c r="B450" s="9" t="d">
        <x:v>2011-02-18T00:00:00.000Z</x:v>
      </x:c>
      <x:c r="C450" s="13" t="n">
        <x:v>0</x:v>
      </x:c>
    </x:row>
    <x:row r="451" ht="20" customHeight="1">
      <x:c r="A451" s="1" t="str">
        <x:v>21181</x:v>
      </x:c>
      <x:c r="B451" s="9" t="d">
        <x:v>2011-02-19T00:00:00.000Z</x:v>
      </x:c>
      <x:c r="C451" s="13" t="n">
        <x:v>0</x:v>
      </x:c>
    </x:row>
    <x:row r="452" ht="20" customHeight="1">
      <x:c r="A452" s="1" t="str">
        <x:v>21181</x:v>
      </x:c>
      <x:c r="B452" s="9" t="d">
        <x:v>2011-02-20T00:00:00.000Z</x:v>
      </x:c>
      <x:c r="C452" s="13" t="n">
        <x:v>3</x:v>
      </x:c>
    </x:row>
    <x:row r="453" ht="20" customHeight="1">
      <x:c r="A453" s="1" t="str">
        <x:v>21181</x:v>
      </x:c>
      <x:c r="B453" s="9" t="d">
        <x:v>2011-02-21T00:00:00.000Z</x:v>
      </x:c>
      <x:c r="C453" s="13" t="n">
        <x:v>88</x:v>
      </x:c>
    </x:row>
    <x:row r="454" ht="20" customHeight="1">
      <x:c r="A454" s="1" t="str">
        <x:v>21181</x:v>
      </x:c>
      <x:c r="B454" s="9" t="d">
        <x:v>2011-02-22T00:00:00.000Z</x:v>
      </x:c>
      <x:c r="C454" s="13" t="n">
        <x:v>16</x:v>
      </x:c>
    </x:row>
    <x:row r="455" ht="20" customHeight="1">
      <x:c r="A455" s="1" t="str">
        <x:v>21181</x:v>
      </x:c>
      <x:c r="B455" s="9" t="d">
        <x:v>2011-02-23T00:00:00.000Z</x:v>
      </x:c>
      <x:c r="C455" s="13" t="n">
        <x:v>16</x:v>
      </x:c>
    </x:row>
    <x:row r="456" ht="20" customHeight="1">
      <x:c r="A456" s="1" t="str">
        <x:v>21181</x:v>
      </x:c>
      <x:c r="B456" s="9" t="d">
        <x:v>2011-02-24T00:00:00.000Z</x:v>
      </x:c>
      <x:c r="C456" s="13" t="n">
        <x:v>13</x:v>
      </x:c>
    </x:row>
    <x:row r="457" ht="20" customHeight="1">
      <x:c r="A457" s="1" t="str">
        <x:v>21181</x:v>
      </x:c>
      <x:c r="B457" s="9" t="d">
        <x:v>2011-02-25T00:00:00.000Z</x:v>
      </x:c>
      <x:c r="C457" s="13" t="n">
        <x:v>37</x:v>
      </x:c>
    </x:row>
    <x:row r="458" ht="20" customHeight="1">
      <x:c r="A458" s="1" t="str">
        <x:v>21181</x:v>
      </x:c>
      <x:c r="B458" s="9" t="d">
        <x:v>2011-02-26T00:00:00.000Z</x:v>
      </x:c>
      <x:c r="C458" s="13" t="n">
        <x:v>0</x:v>
      </x:c>
    </x:row>
    <x:row r="459" ht="20" customHeight="1">
      <x:c r="A459" s="1" t="str">
        <x:v>21181</x:v>
      </x:c>
      <x:c r="B459" s="9" t="d">
        <x:v>2011-02-27T00:00:00.000Z</x:v>
      </x:c>
      <x:c r="C459" s="13" t="n">
        <x:v>5</x:v>
      </x:c>
    </x:row>
    <x:row r="460" ht="20" customHeight="1">
      <x:c r="A460" s="1" t="str">
        <x:v>21181</x:v>
      </x:c>
      <x:c r="B460" s="9" t="d">
        <x:v>2011-02-28T00:00:00.000Z</x:v>
      </x:c>
      <x:c r="C460" s="13" t="n">
        <x:v>73</x:v>
      </x:c>
    </x:row>
    <x:row r="461" ht="20" customHeight="1">
      <x:c r="A461" s="1" t="str">
        <x:v>21181</x:v>
      </x:c>
      <x:c r="B461" s="9" t="d">
        <x:v>2011-03-01T00:00:00.000Z</x:v>
      </x:c>
      <x:c r="C461" s="13" t="n">
        <x:v>15</x:v>
      </x:c>
    </x:row>
    <x:row r="462" ht="20" customHeight="1">
      <x:c r="A462" s="1" t="str">
        <x:v>21181</x:v>
      </x:c>
      <x:c r="B462" s="9" t="d">
        <x:v>2011-03-02T00:00:00.000Z</x:v>
      </x:c>
      <x:c r="C462" s="13" t="n">
        <x:v>109</x:v>
      </x:c>
    </x:row>
    <x:row r="463" ht="20" customHeight="1">
      <x:c r="A463" s="1" t="str">
        <x:v>21181</x:v>
      </x:c>
      <x:c r="B463" s="9" t="d">
        <x:v>2011-03-03T00:00:00.000Z</x:v>
      </x:c>
      <x:c r="C463" s="13" t="n">
        <x:v>17</x:v>
      </x:c>
    </x:row>
    <x:row r="464" ht="20" customHeight="1">
      <x:c r="A464" s="1" t="str">
        <x:v>21181</x:v>
      </x:c>
      <x:c r="B464" s="9" t="d">
        <x:v>2011-03-04T00:00:00.000Z</x:v>
      </x:c>
      <x:c r="C464" s="13" t="n">
        <x:v>3</x:v>
      </x:c>
    </x:row>
    <x:row r="465" ht="20" customHeight="1">
      <x:c r="A465" s="1" t="str">
        <x:v>21181</x:v>
      </x:c>
      <x:c r="B465" s="9" t="d">
        <x:v>2011-03-05T00:00:00.000Z</x:v>
      </x:c>
      <x:c r="C465" s="13" t="n">
        <x:v>0</x:v>
      </x:c>
    </x:row>
    <x:row r="466" ht="20" customHeight="1">
      <x:c r="A466" s="1" t="str">
        <x:v>21181</x:v>
      </x:c>
      <x:c r="B466" s="9" t="d">
        <x:v>2011-03-06T00:00:00.000Z</x:v>
      </x:c>
      <x:c r="C466" s="13" t="n">
        <x:v>21</x:v>
      </x:c>
    </x:row>
    <x:row r="467" ht="20" customHeight="1">
      <x:c r="A467" s="1" t="str">
        <x:v>21181</x:v>
      </x:c>
      <x:c r="B467" s="9" t="d">
        <x:v>2011-03-07T00:00:00.000Z</x:v>
      </x:c>
      <x:c r="C467" s="13" t="n">
        <x:v>74</x:v>
      </x:c>
    </x:row>
    <x:row r="468" ht="20" customHeight="1">
      <x:c r="A468" s="1" t="str">
        <x:v>21181</x:v>
      </x:c>
      <x:c r="B468" s="9" t="d">
        <x:v>2011-03-08T00:00:00.000Z</x:v>
      </x:c>
      <x:c r="C468" s="13" t="n">
        <x:v>48</x:v>
      </x:c>
    </x:row>
    <x:row r="469" ht="20" customHeight="1">
      <x:c r="A469" s="1" t="str">
        <x:v>21181</x:v>
      </x:c>
      <x:c r="B469" s="9" t="d">
        <x:v>2011-03-09T00:00:00.000Z</x:v>
      </x:c>
      <x:c r="C469" s="13" t="n">
        <x:v>4</x:v>
      </x:c>
    </x:row>
    <x:row r="470" ht="20" customHeight="1">
      <x:c r="A470" s="1" t="str">
        <x:v>21181</x:v>
      </x:c>
      <x:c r="B470" s="9" t="d">
        <x:v>2011-03-10T00:00:00.000Z</x:v>
      </x:c>
      <x:c r="C470" s="13" t="n">
        <x:v>192</x:v>
      </x:c>
    </x:row>
    <x:row r="471" ht="20" customHeight="1">
      <x:c r="A471" s="1" t="str">
        <x:v>21181</x:v>
      </x:c>
      <x:c r="B471" s="9" t="d">
        <x:v>2011-03-11T00:00:00.000Z</x:v>
      </x:c>
      <x:c r="C471" s="13" t="n">
        <x:v>14</x:v>
      </x:c>
    </x:row>
    <x:row r="472" ht="20" customHeight="1">
      <x:c r="A472" s="1" t="str">
        <x:v>21181</x:v>
      </x:c>
      <x:c r="B472" s="9" t="d">
        <x:v>2011-03-12T00:00:00.000Z</x:v>
      </x:c>
      <x:c r="C472" s="13" t="n">
        <x:v>0</x:v>
      </x:c>
    </x:row>
    <x:row r="473" ht="20" customHeight="1">
      <x:c r="A473" s="1" t="str">
        <x:v>21181</x:v>
      </x:c>
      <x:c r="B473" s="9" t="d">
        <x:v>2011-03-13T00:00:00.000Z</x:v>
      </x:c>
      <x:c r="C473" s="13" t="n">
        <x:v>9</x:v>
      </x:c>
    </x:row>
    <x:row r="474" ht="20" customHeight="1">
      <x:c r="A474" s="1" t="str">
        <x:v>21181</x:v>
      </x:c>
      <x:c r="B474" s="9" t="d">
        <x:v>2011-03-14T00:00:00.000Z</x:v>
      </x:c>
      <x:c r="C474" s="13" t="n">
        <x:v>62</x:v>
      </x:c>
    </x:row>
    <x:row r="475" ht="20" customHeight="1">
      <x:c r="A475" s="1" t="str">
        <x:v>21181</x:v>
      </x:c>
      <x:c r="B475" s="9" t="d">
        <x:v>2011-03-15T00:00:00.000Z</x:v>
      </x:c>
      <x:c r="C475" s="13" t="n">
        <x:v>52</x:v>
      </x:c>
    </x:row>
    <x:row r="476" ht="20" customHeight="1">
      <x:c r="A476" s="1" t="str">
        <x:v>21181</x:v>
      </x:c>
      <x:c r="B476" s="9" t="d">
        <x:v>2011-03-16T00:00:00.000Z</x:v>
      </x:c>
      <x:c r="C476" s="13" t="n">
        <x:v>36</x:v>
      </x:c>
    </x:row>
    <x:row r="477" ht="20" customHeight="1">
      <x:c r="A477" s="1" t="str">
        <x:v>21181</x:v>
      </x:c>
      <x:c r="B477" s="9" t="d">
        <x:v>2011-03-17T00:00:00.000Z</x:v>
      </x:c>
      <x:c r="C477" s="13" t="n">
        <x:v>11</x:v>
      </x:c>
    </x:row>
    <x:row r="478" ht="20" customHeight="1">
      <x:c r="A478" s="1" t="str">
        <x:v>21181</x:v>
      </x:c>
      <x:c r="B478" s="9" t="d">
        <x:v>2011-03-18T00:00:00.000Z</x:v>
      </x:c>
      <x:c r="C478" s="13" t="n">
        <x:v>17</x:v>
      </x:c>
    </x:row>
    <x:row r="479" ht="20" customHeight="1">
      <x:c r="A479" s="1" t="str">
        <x:v>21181</x:v>
      </x:c>
      <x:c r="B479" s="9" t="d">
        <x:v>2011-03-19T00:00:00.000Z</x:v>
      </x:c>
      <x:c r="C479" s="13" t="n">
        <x:v>0</x:v>
      </x:c>
    </x:row>
    <x:row r="480" ht="20" customHeight="1">
      <x:c r="A480" s="1" t="str">
        <x:v>21181</x:v>
      </x:c>
      <x:c r="B480" s="9" t="d">
        <x:v>2011-03-20T00:00:00.000Z</x:v>
      </x:c>
      <x:c r="C480" s="13" t="n">
        <x:v>80</x:v>
      </x:c>
    </x:row>
    <x:row r="481" ht="20" customHeight="1">
      <x:c r="A481" s="1" t="str">
        <x:v>21181</x:v>
      </x:c>
      <x:c r="B481" s="9" t="d">
        <x:v>2011-03-21T00:00:00.000Z</x:v>
      </x:c>
      <x:c r="C481" s="13" t="n">
        <x:v>26</x:v>
      </x:c>
    </x:row>
    <x:row r="482" ht="20" customHeight="1">
      <x:c r="A482" s="1" t="str">
        <x:v>21181</x:v>
      </x:c>
      <x:c r="B482" s="9" t="d">
        <x:v>2011-03-22T00:00:00.000Z</x:v>
      </x:c>
      <x:c r="C482" s="13" t="n">
        <x:v>30</x:v>
      </x:c>
    </x:row>
    <x:row r="483" ht="20" customHeight="1">
      <x:c r="A483" s="1" t="str">
        <x:v>21181</x:v>
      </x:c>
      <x:c r="B483" s="9" t="d">
        <x:v>2011-03-23T00:00:00.000Z</x:v>
      </x:c>
      <x:c r="C483" s="13" t="n">
        <x:v>23</x:v>
      </x:c>
    </x:row>
    <x:row r="484" ht="20" customHeight="1">
      <x:c r="A484" s="1" t="str">
        <x:v>21181</x:v>
      </x:c>
      <x:c r="B484" s="9" t="d">
        <x:v>2011-03-24T00:00:00.000Z</x:v>
      </x:c>
      <x:c r="C484" s="13" t="n">
        <x:v>114</x:v>
      </x:c>
    </x:row>
    <x:row r="485" ht="20" customHeight="1">
      <x:c r="A485" s="1" t="str">
        <x:v>21181</x:v>
      </x:c>
      <x:c r="B485" s="9" t="d">
        <x:v>2011-03-25T00:00:00.000Z</x:v>
      </x:c>
      <x:c r="C485" s="13" t="n">
        <x:v>254</x:v>
      </x:c>
    </x:row>
    <x:row r="486" ht="20" customHeight="1">
      <x:c r="A486" s="1" t="str">
        <x:v>21181</x:v>
      </x:c>
      <x:c r="B486" s="9" t="d">
        <x:v>2011-03-26T00:00:00.000Z</x:v>
      </x:c>
      <x:c r="C486" s="13" t="n">
        <x:v>0</x:v>
      </x:c>
    </x:row>
    <x:row r="487" ht="20" customHeight="1">
      <x:c r="A487" s="1" t="str">
        <x:v>21181</x:v>
      </x:c>
      <x:c r="B487" s="9" t="d">
        <x:v>2011-03-27T00:00:00.000Z</x:v>
      </x:c>
      <x:c r="C487" s="13" t="n">
        <x:v>3</x:v>
      </x:c>
    </x:row>
    <x:row r="488" ht="20" customHeight="1">
      <x:c r="A488" s="1" t="str">
        <x:v>21181</x:v>
      </x:c>
      <x:c r="B488" s="9" t="d">
        <x:v>2011-03-28T00:00:00.000Z</x:v>
      </x:c>
      <x:c r="C488" s="13" t="n">
        <x:v>2</x:v>
      </x:c>
    </x:row>
    <x:row r="489" ht="20" customHeight="1">
      <x:c r="A489" s="1" t="str">
        <x:v>21181</x:v>
      </x:c>
      <x:c r="B489" s="9" t="d">
        <x:v>2011-03-29T00:00:00.000Z</x:v>
      </x:c>
      <x:c r="C489" s="13" t="n">
        <x:v>32</x:v>
      </x:c>
    </x:row>
    <x:row r="490" ht="20" customHeight="1">
      <x:c r="A490" s="1" t="str">
        <x:v>21181</x:v>
      </x:c>
      <x:c r="B490" s="9" t="d">
        <x:v>2011-03-30T00:00:00.000Z</x:v>
      </x:c>
      <x:c r="C490" s="13" t="n">
        <x:v>37</x:v>
      </x:c>
    </x:row>
    <x:row r="491" ht="20" customHeight="1">
      <x:c r="A491" s="1" t="str">
        <x:v>21181</x:v>
      </x:c>
      <x:c r="B491" s="9" t="d">
        <x:v>2011-03-31T00:00:00.000Z</x:v>
      </x:c>
      <x:c r="C491" s="13" t="n">
        <x:v>29</x:v>
      </x:c>
    </x:row>
    <x:row r="492" ht="20" customHeight="1">
      <x:c r="A492" s="1" t="str">
        <x:v>21181</x:v>
      </x:c>
      <x:c r="B492" s="9" t="d">
        <x:v>2011-04-01T00:00:00.000Z</x:v>
      </x:c>
      <x:c r="C492" s="13" t="n">
        <x:v>36</x:v>
      </x:c>
    </x:row>
    <x:row r="493" ht="20" customHeight="1">
      <x:c r="A493" s="1" t="str">
        <x:v>21181</x:v>
      </x:c>
      <x:c r="B493" s="9" t="d">
        <x:v>2011-04-02T00:00:00.000Z</x:v>
      </x:c>
      <x:c r="C493" s="13" t="n">
        <x:v>0</x:v>
      </x:c>
    </x:row>
    <x:row r="494" ht="20" customHeight="1">
      <x:c r="A494" s="1" t="str">
        <x:v>21181</x:v>
      </x:c>
      <x:c r="B494" s="9" t="d">
        <x:v>2011-04-03T00:00:00.000Z</x:v>
      </x:c>
      <x:c r="C494" s="13" t="n">
        <x:v>10</x:v>
      </x:c>
    </x:row>
    <x:row r="495" ht="20" customHeight="1">
      <x:c r="A495" s="1" t="str">
        <x:v>21181</x:v>
      </x:c>
      <x:c r="B495" s="9" t="d">
        <x:v>2011-04-04T00:00:00.000Z</x:v>
      </x:c>
      <x:c r="C495" s="13" t="n">
        <x:v>166</x:v>
      </x:c>
    </x:row>
    <x:row r="496" ht="20" customHeight="1">
      <x:c r="A496" s="1" t="str">
        <x:v>21181</x:v>
      </x:c>
      <x:c r="B496" s="9" t="d">
        <x:v>2011-04-05T00:00:00.000Z</x:v>
      </x:c>
      <x:c r="C496" s="13" t="n">
        <x:v>32</x:v>
      </x:c>
    </x:row>
    <x:row r="497" ht="20" customHeight="1">
      <x:c r="A497" s="1" t="str">
        <x:v>21181</x:v>
      </x:c>
      <x:c r="B497" s="9" t="d">
        <x:v>2011-04-06T00:00:00.000Z</x:v>
      </x:c>
      <x:c r="C497" s="13" t="n">
        <x:v>3</x:v>
      </x:c>
    </x:row>
    <x:row r="498" ht="20" customHeight="1">
      <x:c r="A498" s="1" t="str">
        <x:v>21181</x:v>
      </x:c>
      <x:c r="B498" s="9" t="d">
        <x:v>2011-04-07T00:00:00.000Z</x:v>
      </x:c>
      <x:c r="C498" s="13" t="n">
        <x:v>14</x:v>
      </x:c>
    </x:row>
    <x:row r="499" ht="20" customHeight="1">
      <x:c r="A499" s="1" t="str">
        <x:v>21181</x:v>
      </x:c>
      <x:c r="B499" s="9" t="d">
        <x:v>2011-04-08T00:00:00.000Z</x:v>
      </x:c>
      <x:c r="C499" s="13" t="n">
        <x:v>24</x:v>
      </x:c>
    </x:row>
    <x:row r="500" ht="20" customHeight="1">
      <x:c r="A500" s="1" t="str">
        <x:v>21181</x:v>
      </x:c>
      <x:c r="B500" s="9" t="d">
        <x:v>2011-04-09T00:00:00.000Z</x:v>
      </x:c>
      <x:c r="C500" s="13" t="n">
        <x:v>0</x:v>
      </x:c>
    </x:row>
    <x:row r="501" ht="20" customHeight="1">
      <x:c r="A501" s="1" t="str">
        <x:v>21181</x:v>
      </x:c>
      <x:c r="B501" s="9" t="d">
        <x:v>2011-04-10T00:00:00.000Z</x:v>
      </x:c>
      <x:c r="C501" s="13" t="n">
        <x:v>13</x:v>
      </x:c>
    </x:row>
    <x:row r="502" ht="20" customHeight="1">
      <x:c r="A502" s="1" t="str">
        <x:v>21181</x:v>
      </x:c>
      <x:c r="B502" s="9" t="d">
        <x:v>2011-04-11T00:00:00.000Z</x:v>
      </x:c>
      <x:c r="C502" s="13" t="n">
        <x:v>50</x:v>
      </x:c>
    </x:row>
    <x:row r="503" ht="20" customHeight="1">
      <x:c r="A503" s="1" t="str">
        <x:v>21181</x:v>
      </x:c>
      <x:c r="B503" s="9" t="d">
        <x:v>2011-04-12T00:00:00.000Z</x:v>
      </x:c>
      <x:c r="C503" s="13" t="n">
        <x:v>58</x:v>
      </x:c>
    </x:row>
    <x:row r="504" ht="20" customHeight="1">
      <x:c r="A504" s="1" t="str">
        <x:v>21181</x:v>
      </x:c>
      <x:c r="B504" s="9" t="d">
        <x:v>2011-04-13T00:00:00.000Z</x:v>
      </x:c>
      <x:c r="C504" s="13" t="n">
        <x:v>12</x:v>
      </x:c>
    </x:row>
    <x:row r="505" ht="20" customHeight="1">
      <x:c r="A505" s="1" t="str">
        <x:v>21181</x:v>
      </x:c>
      <x:c r="B505" s="9" t="d">
        <x:v>2011-04-14T00:00:00.000Z</x:v>
      </x:c>
      <x:c r="C505" s="13" t="n">
        <x:v>158</x:v>
      </x:c>
    </x:row>
    <x:row r="506" ht="20" customHeight="1">
      <x:c r="A506" s="1" t="str">
        <x:v>21181</x:v>
      </x:c>
      <x:c r="B506" s="9" t="d">
        <x:v>2011-04-15T00:00:00.000Z</x:v>
      </x:c>
      <x:c r="C506" s="13" t="n">
        <x:v>78</x:v>
      </x:c>
    </x:row>
    <x:row r="507" ht="20" customHeight="1">
      <x:c r="A507" s="1" t="str">
        <x:v>21181</x:v>
      </x:c>
      <x:c r="B507" s="9" t="d">
        <x:v>2011-04-16T00:00:00.000Z</x:v>
      </x:c>
      <x:c r="C507" s="13" t="n">
        <x:v>0</x:v>
      </x:c>
    </x:row>
    <x:row r="508" ht="20" customHeight="1">
      <x:c r="A508" s="1" t="str">
        <x:v>21181</x:v>
      </x:c>
      <x:c r="B508" s="9" t="d">
        <x:v>2011-04-17T00:00:00.000Z</x:v>
      </x:c>
      <x:c r="C508" s="13" t="n">
        <x:v>32</x:v>
      </x:c>
    </x:row>
    <x:row r="509" ht="20" customHeight="1">
      <x:c r="A509" s="1" t="str">
        <x:v>21181</x:v>
      </x:c>
      <x:c r="B509" s="9" t="d">
        <x:v>2011-04-18T00:00:00.000Z</x:v>
      </x:c>
      <x:c r="C509" s="13" t="n">
        <x:v>45</x:v>
      </x:c>
    </x:row>
    <x:row r="510" ht="20" customHeight="1">
      <x:c r="A510" s="1" t="str">
        <x:v>21181</x:v>
      </x:c>
      <x:c r="B510" s="9" t="d">
        <x:v>2011-04-19T00:00:00.000Z</x:v>
      </x:c>
      <x:c r="C510" s="13" t="n">
        <x:v>90</x:v>
      </x:c>
    </x:row>
    <x:row r="511" ht="20" customHeight="1">
      <x:c r="A511" s="1" t="str">
        <x:v>21181</x:v>
      </x:c>
      <x:c r="B511" s="9" t="d">
        <x:v>2011-04-20T00:00:00.000Z</x:v>
      </x:c>
      <x:c r="C511" s="13" t="n">
        <x:v>60</x:v>
      </x:c>
    </x:row>
    <x:row r="512" ht="20" customHeight="1">
      <x:c r="A512" s="1" t="str">
        <x:v>21181</x:v>
      </x:c>
      <x:c r="B512" s="9" t="d">
        <x:v>2011-04-21T00:00:00.000Z</x:v>
      </x:c>
      <x:c r="C512" s="13" t="n">
        <x:v>12</x:v>
      </x:c>
    </x:row>
    <x:row r="513" ht="20" customHeight="1">
      <x:c r="A513" s="1" t="str">
        <x:v>21181</x:v>
      </x:c>
      <x:c r="B513" s="9" t="d">
        <x:v>2011-04-22T00:00:00.000Z</x:v>
      </x:c>
      <x:c r="C513" s="13" t="n">
        <x:v>0</x:v>
      </x:c>
    </x:row>
    <x:row r="514" ht="20" customHeight="1">
      <x:c r="A514" s="1" t="str">
        <x:v>21181</x:v>
      </x:c>
      <x:c r="B514" s="9" t="d">
        <x:v>2011-04-23T00:00:00.000Z</x:v>
      </x:c>
      <x:c r="C514" s="13" t="n">
        <x:v>0</x:v>
      </x:c>
    </x:row>
    <x:row r="515" ht="20" customHeight="1">
      <x:c r="A515" s="1" t="str">
        <x:v>21181</x:v>
      </x:c>
      <x:c r="B515" s="9" t="d">
        <x:v>2011-04-24T00:00:00.000Z</x:v>
      </x:c>
      <x:c r="C515" s="13" t="n">
        <x:v>0</x:v>
      </x:c>
    </x:row>
    <x:row r="516" ht="20" customHeight="1">
      <x:c r="A516" s="1" t="str">
        <x:v>21181</x:v>
      </x:c>
      <x:c r="B516" s="9" t="d">
        <x:v>2011-04-25T00:00:00.000Z</x:v>
      </x:c>
      <x:c r="C516" s="13" t="n">
        <x:v>0</x:v>
      </x:c>
    </x:row>
    <x:row r="517" ht="20" customHeight="1">
      <x:c r="A517" s="1" t="str">
        <x:v>21181</x:v>
      </x:c>
      <x:c r="B517" s="9" t="d">
        <x:v>2011-04-26T00:00:00.000Z</x:v>
      </x:c>
      <x:c r="C517" s="13" t="n">
        <x:v>33</x:v>
      </x:c>
    </x:row>
    <x:row r="518" ht="20" customHeight="1">
      <x:c r="A518" s="1" t="str">
        <x:v>21181</x:v>
      </x:c>
      <x:c r="B518" s="9" t="d">
        <x:v>2011-04-27T00:00:00.000Z</x:v>
      </x:c>
      <x:c r="C518" s="13" t="n">
        <x:v>84</x:v>
      </x:c>
    </x:row>
    <x:row r="519" ht="20" customHeight="1">
      <x:c r="A519" s="1" t="str">
        <x:v>21181</x:v>
      </x:c>
      <x:c r="B519" s="9" t="d">
        <x:v>2011-04-28T00:00:00.000Z</x:v>
      </x:c>
      <x:c r="C519" s="13" t="n">
        <x:v>36</x:v>
      </x:c>
    </x:row>
    <x:row r="520" ht="20" customHeight="1">
      <x:c r="A520" s="1" t="str">
        <x:v>21181</x:v>
      </x:c>
      <x:c r="B520" s="9" t="d">
        <x:v>2011-04-29T00:00:00.000Z</x:v>
      </x:c>
      <x:c r="C520" s="13" t="n">
        <x:v>0</x:v>
      </x:c>
    </x:row>
    <x:row r="521" ht="20" customHeight="1">
      <x:c r="A521" s="1" t="str">
        <x:v>21181</x:v>
      </x:c>
      <x:c r="B521" s="9" t="d">
        <x:v>2011-04-30T00:00:00.000Z</x:v>
      </x:c>
      <x:c r="C521" s="13" t="n">
        <x:v>0</x:v>
      </x:c>
    </x:row>
    <x:row r="522" ht="20" customHeight="1">
      <x:c r="A522" s="1" t="str">
        <x:v>21181</x:v>
      </x:c>
      <x:c r="B522" s="9" t="d">
        <x:v>2011-05-01T00:00:00.000Z</x:v>
      </x:c>
      <x:c r="C522" s="13" t="n">
        <x:v>6</x:v>
      </x:c>
    </x:row>
    <x:row r="523" ht="20" customHeight="1">
      <x:c r="A523" s="1" t="str">
        <x:v>21181</x:v>
      </x:c>
      <x:c r="B523" s="9" t="d">
        <x:v>2011-05-02T00:00:00.000Z</x:v>
      </x:c>
      <x:c r="C523" s="13" t="n">
        <x:v>0</x:v>
      </x:c>
    </x:row>
    <x:row r="524" ht="20" customHeight="1">
      <x:c r="A524" s="1" t="str">
        <x:v>21181</x:v>
      </x:c>
      <x:c r="B524" s="9" t="d">
        <x:v>2011-05-03T00:00:00.000Z</x:v>
      </x:c>
      <x:c r="C524" s="13" t="n">
        <x:v>32</x:v>
      </x:c>
    </x:row>
    <x:row r="525" ht="20" customHeight="1">
      <x:c r="A525" s="1" t="str">
        <x:v>21181</x:v>
      </x:c>
      <x:c r="B525" s="9" t="d">
        <x:v>2011-05-04T00:00:00.000Z</x:v>
      </x:c>
      <x:c r="C525" s="13" t="n">
        <x:v>111</x:v>
      </x:c>
    </x:row>
    <x:row r="526" ht="20" customHeight="1">
      <x:c r="A526" s="1" t="str">
        <x:v>21181</x:v>
      </x:c>
      <x:c r="B526" s="9" t="d">
        <x:v>2011-05-05T00:00:00.000Z</x:v>
      </x:c>
      <x:c r="C526" s="13" t="n">
        <x:v>52</x:v>
      </x:c>
    </x:row>
    <x:row r="527" ht="20" customHeight="1">
      <x:c r="A527" s="1" t="str">
        <x:v>21181</x:v>
      </x:c>
      <x:c r="B527" s="9" t="d">
        <x:v>2011-05-06T00:00:00.000Z</x:v>
      </x:c>
      <x:c r="C527" s="13" t="n">
        <x:v>93</x:v>
      </x:c>
    </x:row>
    <x:row r="528" ht="20" customHeight="1">
      <x:c r="A528" s="1" t="str">
        <x:v>21181</x:v>
      </x:c>
      <x:c r="B528" s="9" t="d">
        <x:v>2011-05-07T00:00:00.000Z</x:v>
      </x:c>
      <x:c r="C528" s="13" t="n">
        <x:v>0</x:v>
      </x:c>
    </x:row>
    <x:row r="529" ht="20" customHeight="1">
      <x:c r="A529" s="1" t="str">
        <x:v>21181</x:v>
      </x:c>
      <x:c r="B529" s="9" t="d">
        <x:v>2011-05-08T00:00:00.000Z</x:v>
      </x:c>
      <x:c r="C529" s="13" t="n">
        <x:v>27</x:v>
      </x:c>
    </x:row>
    <x:row r="530" ht="20" customHeight="1">
      <x:c r="A530" s="1" t="str">
        <x:v>21181</x:v>
      </x:c>
      <x:c r="B530" s="9" t="d">
        <x:v>2011-05-09T00:00:00.000Z</x:v>
      </x:c>
      <x:c r="C530" s="13" t="n">
        <x:v>64</x:v>
      </x:c>
    </x:row>
    <x:row r="531" ht="20" customHeight="1">
      <x:c r="A531" s="1" t="str">
        <x:v>21181</x:v>
      </x:c>
      <x:c r="B531" s="9" t="d">
        <x:v>2011-05-10T00:00:00.000Z</x:v>
      </x:c>
      <x:c r="C531" s="13" t="n">
        <x:v>72</x:v>
      </x:c>
    </x:row>
    <x:row r="532" ht="20" customHeight="1">
      <x:c r="A532" s="1" t="str">
        <x:v>21181</x:v>
      </x:c>
      <x:c r="B532" s="9" t="d">
        <x:v>2011-05-11T00:00:00.000Z</x:v>
      </x:c>
      <x:c r="C532" s="13" t="n">
        <x:v>79</x:v>
      </x:c>
    </x:row>
    <x:row r="533" ht="20" customHeight="1">
      <x:c r="A533" s="1" t="str">
        <x:v>21181</x:v>
      </x:c>
      <x:c r="B533" s="9" t="d">
        <x:v>2011-05-12T00:00:00.000Z</x:v>
      </x:c>
      <x:c r="C533" s="13" t="n">
        <x:v>36</x:v>
      </x:c>
    </x:row>
    <x:row r="534" ht="20" customHeight="1">
      <x:c r="A534" s="1" t="str">
        <x:v>21181</x:v>
      </x:c>
      <x:c r="B534" s="9" t="d">
        <x:v>2011-05-13T00:00:00.000Z</x:v>
      </x:c>
      <x:c r="C534" s="13" t="n">
        <x:v>6</x:v>
      </x:c>
    </x:row>
    <x:row r="535" ht="20" customHeight="1">
      <x:c r="A535" s="1" t="str">
        <x:v>21181</x:v>
      </x:c>
      <x:c r="B535" s="9" t="d">
        <x:v>2011-05-14T00:00:00.000Z</x:v>
      </x:c>
      <x:c r="C535" s="13" t="n">
        <x:v>0</x:v>
      </x:c>
    </x:row>
    <x:row r="536" ht="20" customHeight="1">
      <x:c r="A536" s="1" t="str">
        <x:v>21181</x:v>
      </x:c>
      <x:c r="B536" s="9" t="d">
        <x:v>2011-05-15T00:00:00.000Z</x:v>
      </x:c>
      <x:c r="C536" s="13" t="n">
        <x:v>53</x:v>
      </x:c>
    </x:row>
    <x:row r="537" ht="20" customHeight="1">
      <x:c r="A537" s="1" t="str">
        <x:v>21181</x:v>
      </x:c>
      <x:c r="B537" s="9" t="d">
        <x:v>2011-05-16T00:00:00.000Z</x:v>
      </x:c>
      <x:c r="C537" s="13" t="n">
        <x:v>72</x:v>
      </x:c>
    </x:row>
    <x:row r="538" ht="20" customHeight="1">
      <x:c r="A538" s="1" t="str">
        <x:v>21181</x:v>
      </x:c>
      <x:c r="B538" s="9" t="d">
        <x:v>2011-05-17T00:00:00.000Z</x:v>
      </x:c>
      <x:c r="C538" s="13" t="n">
        <x:v>208</x:v>
      </x:c>
    </x:row>
    <x:row r="539" ht="20" customHeight="1">
      <x:c r="A539" s="1" t="str">
        <x:v>21181</x:v>
      </x:c>
      <x:c r="B539" s="9" t="d">
        <x:v>2011-05-18T00:00:00.000Z</x:v>
      </x:c>
      <x:c r="C539" s="13" t="n">
        <x:v>15</x:v>
      </x:c>
    </x:row>
    <x:row r="540" ht="20" customHeight="1">
      <x:c r="A540" s="1" t="str">
        <x:v>21181</x:v>
      </x:c>
      <x:c r="B540" s="9" t="d">
        <x:v>2011-05-19T00:00:00.000Z</x:v>
      </x:c>
      <x:c r="C540" s="13" t="n">
        <x:v>10</x:v>
      </x:c>
    </x:row>
    <x:row r="541" ht="20" customHeight="1">
      <x:c r="A541" s="1" t="str">
        <x:v>21181</x:v>
      </x:c>
      <x:c r="B541" s="9" t="d">
        <x:v>2011-05-20T00:00:00.000Z</x:v>
      </x:c>
      <x:c r="C541" s="13" t="n">
        <x:v>0</x:v>
      </x:c>
    </x:row>
    <x:row r="542" ht="20" customHeight="1">
      <x:c r="A542" s="1" t="str">
        <x:v>21181</x:v>
      </x:c>
      <x:c r="B542" s="9" t="d">
        <x:v>2011-05-21T00:00:00.000Z</x:v>
      </x:c>
      <x:c r="C542" s="13" t="n">
        <x:v>0</x:v>
      </x:c>
    </x:row>
    <x:row r="543" ht="20" customHeight="1">
      <x:c r="A543" s="1" t="str">
        <x:v>21181</x:v>
      </x:c>
      <x:c r="B543" s="9" t="d">
        <x:v>2011-05-22T00:00:00.000Z</x:v>
      </x:c>
      <x:c r="C543" s="13" t="n">
        <x:v>0</x:v>
      </x:c>
    </x:row>
    <x:row r="544" ht="20" customHeight="1">
      <x:c r="A544" s="1" t="str">
        <x:v>21181</x:v>
      </x:c>
      <x:c r="B544" s="9" t="d">
        <x:v>2011-05-23T00:00:00.000Z</x:v>
      </x:c>
      <x:c r="C544" s="13" t="n">
        <x:v>0</x:v>
      </x:c>
    </x:row>
    <x:row r="545" ht="20" customHeight="1">
      <x:c r="A545" s="1" t="str">
        <x:v>21181</x:v>
      </x:c>
      <x:c r="B545" s="9" t="d">
        <x:v>2011-05-24T00:00:00.000Z</x:v>
      </x:c>
      <x:c r="C545" s="13" t="n">
        <x:v>0</x:v>
      </x:c>
    </x:row>
    <x:row r="546" ht="20" customHeight="1">
      <x:c r="A546" s="1" t="str">
        <x:v>21181</x:v>
      </x:c>
      <x:c r="B546" s="9" t="d">
        <x:v>2011-05-25T00:00:00.000Z</x:v>
      </x:c>
      <x:c r="C546" s="13" t="n">
        <x:v>1</x:v>
      </x:c>
    </x:row>
    <x:row r="547" ht="20" customHeight="1">
      <x:c r="A547" s="1" t="str">
        <x:v>21181</x:v>
      </x:c>
      <x:c r="B547" s="9" t="d">
        <x:v>2011-05-26T00:00:00.000Z</x:v>
      </x:c>
      <x:c r="C547" s="13" t="n">
        <x:v>0</x:v>
      </x:c>
    </x:row>
    <x:row r="548" ht="20" customHeight="1">
      <x:c r="A548" s="1" t="str">
        <x:v>21181</x:v>
      </x:c>
      <x:c r="B548" s="9" t="d">
        <x:v>2011-05-27T00:00:00.000Z</x:v>
      </x:c>
      <x:c r="C548" s="13" t="n">
        <x:v>0</x:v>
      </x:c>
    </x:row>
    <x:row r="549" ht="20" customHeight="1">
      <x:c r="A549" s="1" t="str">
        <x:v>21181</x:v>
      </x:c>
      <x:c r="B549" s="9" t="d">
        <x:v>2011-05-28T00:00:00.000Z</x:v>
      </x:c>
      <x:c r="C549" s="13" t="n">
        <x:v>0</x:v>
      </x:c>
    </x:row>
    <x:row r="550" ht="20" customHeight="1">
      <x:c r="A550" s="1" t="str">
        <x:v>21181</x:v>
      </x:c>
      <x:c r="B550" s="9" t="d">
        <x:v>2011-05-29T00:00:00.000Z</x:v>
      </x:c>
      <x:c r="C550" s="13" t="n">
        <x:v>0</x:v>
      </x:c>
    </x:row>
    <x:row r="551" ht="20" customHeight="1">
      <x:c r="A551" s="1" t="str">
        <x:v>21181</x:v>
      </x:c>
      <x:c r="B551" s="9" t="d">
        <x:v>2011-05-30T00:00:00.000Z</x:v>
      </x:c>
      <x:c r="C551" s="13" t="n">
        <x:v>0</x:v>
      </x:c>
    </x:row>
    <x:row r="552" ht="20" customHeight="1">
      <x:c r="A552" s="1" t="str">
        <x:v>21181</x:v>
      </x:c>
      <x:c r="B552" s="9" t="d">
        <x:v>2011-05-31T00:00:00.000Z</x:v>
      </x:c>
      <x:c r="C552" s="13" t="n">
        <x:v>0</x:v>
      </x:c>
    </x:row>
    <x:row r="553" ht="20" customHeight="1">
      <x:c r="A553" s="1" t="str">
        <x:v>21181</x:v>
      </x:c>
      <x:c r="B553" s="9" t="d">
        <x:v>2011-06-01T00:00:00.000Z</x:v>
      </x:c>
      <x:c r="C553" s="13" t="n">
        <x:v>0</x:v>
      </x:c>
    </x:row>
    <x:row r="554" ht="20" customHeight="1">
      <x:c r="A554" s="1" t="str">
        <x:v>21181</x:v>
      </x:c>
      <x:c r="B554" s="9" t="d">
        <x:v>2011-06-02T00:00:00.000Z</x:v>
      </x:c>
      <x:c r="C554" s="13" t="n">
        <x:v>0</x:v>
      </x:c>
    </x:row>
    <x:row r="555" ht="20" customHeight="1">
      <x:c r="A555" s="1" t="str">
        <x:v>21181</x:v>
      </x:c>
      <x:c r="B555" s="9" t="d">
        <x:v>2011-06-03T00:00:00.000Z</x:v>
      </x:c>
      <x:c r="C555" s="13" t="n">
        <x:v>0</x:v>
      </x:c>
    </x:row>
    <x:row r="556" ht="20" customHeight="1">
      <x:c r="A556" s="1" t="str">
        <x:v>21181</x:v>
      </x:c>
      <x:c r="B556" s="9" t="d">
        <x:v>2011-06-04T00:00:00.000Z</x:v>
      </x:c>
      <x:c r="C556" s="13" t="n">
        <x:v>0</x:v>
      </x:c>
    </x:row>
    <x:row r="557" ht="20" customHeight="1">
      <x:c r="A557" s="1" t="str">
        <x:v>21181</x:v>
      </x:c>
      <x:c r="B557" s="9" t="d">
        <x:v>2011-06-05T00:00:00.000Z</x:v>
      </x:c>
      <x:c r="C557" s="13" t="n">
        <x:v>0</x:v>
      </x:c>
    </x:row>
    <x:row r="558" ht="20" customHeight="1">
      <x:c r="A558" s="1" t="str">
        <x:v>21181</x:v>
      </x:c>
      <x:c r="B558" s="9" t="d">
        <x:v>2011-06-06T00:00:00.000Z</x:v>
      </x:c>
      <x:c r="C558" s="13" t="n">
        <x:v>0</x:v>
      </x:c>
    </x:row>
    <x:row r="559" ht="20" customHeight="1">
      <x:c r="A559" s="1" t="str">
        <x:v>21181</x:v>
      </x:c>
      <x:c r="B559" s="9" t="d">
        <x:v>2011-06-07T00:00:00.000Z</x:v>
      </x:c>
      <x:c r="C559" s="13" t="n">
        <x:v>0</x:v>
      </x:c>
    </x:row>
    <x:row r="560" ht="20" customHeight="1">
      <x:c r="A560" s="1" t="str">
        <x:v>21181</x:v>
      </x:c>
      <x:c r="B560" s="9" t="d">
        <x:v>2011-06-08T00:00:00.000Z</x:v>
      </x:c>
      <x:c r="C560" s="13" t="n">
        <x:v>0</x:v>
      </x:c>
    </x:row>
    <x:row r="561" ht="20" customHeight="1">
      <x:c r="A561" s="1" t="str">
        <x:v>21181</x:v>
      </x:c>
      <x:c r="B561" s="9" t="d">
        <x:v>2011-06-09T00:00:00.000Z</x:v>
      </x:c>
      <x:c r="C561" s="13" t="n">
        <x:v>0</x:v>
      </x:c>
    </x:row>
    <x:row r="562" ht="20" customHeight="1">
      <x:c r="A562" s="1" t="str">
        <x:v>21181</x:v>
      </x:c>
      <x:c r="B562" s="9" t="d">
        <x:v>2011-06-10T00:00:00.000Z</x:v>
      </x:c>
      <x:c r="C562" s="13" t="n">
        <x:v>0</x:v>
      </x:c>
    </x:row>
    <x:row r="563" ht="20" customHeight="1">
      <x:c r="A563" s="1" t="str">
        <x:v>21181</x:v>
      </x:c>
      <x:c r="B563" s="9" t="d">
        <x:v>2011-06-11T00:00:00.000Z</x:v>
      </x:c>
      <x:c r="C563" s="13" t="n">
        <x:v>0</x:v>
      </x:c>
    </x:row>
    <x:row r="564" ht="20" customHeight="1">
      <x:c r="A564" s="1" t="str">
        <x:v>21181</x:v>
      </x:c>
      <x:c r="B564" s="9" t="d">
        <x:v>2011-06-12T00:00:00.000Z</x:v>
      </x:c>
      <x:c r="C564" s="13" t="n">
        <x:v>0</x:v>
      </x:c>
    </x:row>
    <x:row r="565" ht="20" customHeight="1">
      <x:c r="A565" s="1" t="str">
        <x:v>21181</x:v>
      </x:c>
      <x:c r="B565" s="9" t="d">
        <x:v>2011-06-13T00:00:00.000Z</x:v>
      </x:c>
      <x:c r="C565" s="13" t="n">
        <x:v>0</x:v>
      </x:c>
    </x:row>
    <x:row r="566" ht="20" customHeight="1">
      <x:c r="A566" s="1" t="str">
        <x:v>21181</x:v>
      </x:c>
      <x:c r="B566" s="9" t="d">
        <x:v>2011-06-14T00:00:00.000Z</x:v>
      </x:c>
      <x:c r="C566" s="13" t="n">
        <x:v>0</x:v>
      </x:c>
    </x:row>
    <x:row r="567" ht="20" customHeight="1">
      <x:c r="A567" s="1" t="str">
        <x:v>21181</x:v>
      </x:c>
      <x:c r="B567" s="9" t="d">
        <x:v>2011-06-15T00:00:00.000Z</x:v>
      </x:c>
      <x:c r="C567" s="13" t="n">
        <x:v>0</x:v>
      </x:c>
    </x:row>
    <x:row r="568" ht="20" customHeight="1">
      <x:c r="A568" s="1" t="str">
        <x:v>21181</x:v>
      </x:c>
      <x:c r="B568" s="9" t="d">
        <x:v>2011-06-16T00:00:00.000Z</x:v>
      </x:c>
      <x:c r="C568" s="13" t="n">
        <x:v>0</x:v>
      </x:c>
    </x:row>
    <x:row r="569" ht="20" customHeight="1">
      <x:c r="A569" s="1" t="str">
        <x:v>21181</x:v>
      </x:c>
      <x:c r="B569" s="9" t="d">
        <x:v>2011-06-17T00:00:00.000Z</x:v>
      </x:c>
      <x:c r="C569" s="13" t="n">
        <x:v>0</x:v>
      </x:c>
    </x:row>
    <x:row r="570" ht="20" customHeight="1">
      <x:c r="A570" s="1" t="str">
        <x:v>21181</x:v>
      </x:c>
      <x:c r="B570" s="9" t="d">
        <x:v>2011-06-18T00:00:00.000Z</x:v>
      </x:c>
      <x:c r="C570" s="13" t="n">
        <x:v>0</x:v>
      </x:c>
    </x:row>
    <x:row r="571" ht="20" customHeight="1">
      <x:c r="A571" s="1" t="str">
        <x:v>21181</x:v>
      </x:c>
      <x:c r="B571" s="9" t="d">
        <x:v>2011-06-19T00:00:00.000Z</x:v>
      </x:c>
      <x:c r="C571" s="13" t="n">
        <x:v>0</x:v>
      </x:c>
    </x:row>
    <x:row r="572" ht="20" customHeight="1">
      <x:c r="A572" s="1" t="str">
        <x:v>21181</x:v>
      </x:c>
      <x:c r="B572" s="9" t="d">
        <x:v>2011-06-20T00:00:00.000Z</x:v>
      </x:c>
      <x:c r="C572" s="13" t="n">
        <x:v>0</x:v>
      </x:c>
    </x:row>
    <x:row r="573" ht="20" customHeight="1">
      <x:c r="A573" s="1" t="str">
        <x:v>21181</x:v>
      </x:c>
      <x:c r="B573" s="9" t="d">
        <x:v>2011-06-21T00:00:00.000Z</x:v>
      </x:c>
      <x:c r="C573" s="13" t="n">
        <x:v>0</x:v>
      </x:c>
    </x:row>
    <x:row r="574" ht="20" customHeight="1">
      <x:c r="A574" s="1" t="str">
        <x:v>21181</x:v>
      </x:c>
      <x:c r="B574" s="9" t="d">
        <x:v>2011-06-22T00:00:00.000Z</x:v>
      </x:c>
      <x:c r="C574" s="13" t="n">
        <x:v>0</x:v>
      </x:c>
    </x:row>
    <x:row r="575" ht="20" customHeight="1">
      <x:c r="A575" s="1" t="str">
        <x:v>21181</x:v>
      </x:c>
      <x:c r="B575" s="9" t="d">
        <x:v>2011-06-23T00:00:00.000Z</x:v>
      </x:c>
      <x:c r="C575" s="13" t="n">
        <x:v>0</x:v>
      </x:c>
    </x:row>
    <x:row r="576" ht="20" customHeight="1">
      <x:c r="A576" s="1" t="str">
        <x:v>21181</x:v>
      </x:c>
      <x:c r="B576" s="9" t="d">
        <x:v>2011-06-24T00:00:00.000Z</x:v>
      </x:c>
      <x:c r="C576" s="13" t="n">
        <x:v>0</x:v>
      </x:c>
    </x:row>
    <x:row r="577" ht="20" customHeight="1">
      <x:c r="A577" s="1" t="str">
        <x:v>21181</x:v>
      </x:c>
      <x:c r="B577" s="9" t="d">
        <x:v>2011-06-25T00:00:00.000Z</x:v>
      </x:c>
      <x:c r="C577" s="13" t="n">
        <x:v>0</x:v>
      </x:c>
    </x:row>
    <x:row r="578" ht="20" customHeight="1">
      <x:c r="A578" s="1" t="str">
        <x:v>21181</x:v>
      </x:c>
      <x:c r="B578" s="9" t="d">
        <x:v>2011-06-26T00:00:00.000Z</x:v>
      </x:c>
      <x:c r="C578" s="13" t="n">
        <x:v>0</x:v>
      </x:c>
    </x:row>
    <x:row r="579" ht="20" customHeight="1">
      <x:c r="A579" s="1" t="str">
        <x:v>21181</x:v>
      </x:c>
      <x:c r="B579" s="9" t="d">
        <x:v>2011-06-27T00:00:00.000Z</x:v>
      </x:c>
      <x:c r="C579" s="13" t="n">
        <x:v>0</x:v>
      </x:c>
    </x:row>
    <x:row r="580" ht="20" customHeight="1">
      <x:c r="A580" s="1" t="str">
        <x:v>21181</x:v>
      </x:c>
      <x:c r="B580" s="9" t="d">
        <x:v>2011-06-28T00:00:00.000Z</x:v>
      </x:c>
      <x:c r="C580" s="13" t="n">
        <x:v>0</x:v>
      </x:c>
    </x:row>
    <x:row r="581" ht="20" customHeight="1">
      <x:c r="A581" s="1" t="str">
        <x:v>21181</x:v>
      </x:c>
      <x:c r="B581" s="9" t="d">
        <x:v>2011-06-29T00:00:00.000Z</x:v>
      </x:c>
      <x:c r="C581" s="13" t="n">
        <x:v>0</x:v>
      </x:c>
    </x:row>
    <x:row r="582" ht="20" customHeight="1">
      <x:c r="A582" s="1" t="str">
        <x:v>21181</x:v>
      </x:c>
      <x:c r="B582" s="9" t="d">
        <x:v>2011-06-30T00:00:00.000Z</x:v>
      </x:c>
      <x:c r="C582" s="13" t="n">
        <x:v>0</x:v>
      </x:c>
    </x:row>
    <x:row r="583" ht="20" customHeight="1">
      <x:c r="A583" s="1" t="str">
        <x:v>21181</x:v>
      </x:c>
      <x:c r="B583" s="9" t="d">
        <x:v>2011-07-01T00:00:00.000Z</x:v>
      </x:c>
      <x:c r="C583" s="13" t="n">
        <x:v>0</x:v>
      </x:c>
    </x:row>
    <x:row r="584" ht="20" customHeight="1">
      <x:c r="A584" s="1" t="str">
        <x:v>21181</x:v>
      </x:c>
      <x:c r="B584" s="9" t="d">
        <x:v>2011-07-02T00:00:00.000Z</x:v>
      </x:c>
      <x:c r="C584" s="13" t="n">
        <x:v>0</x:v>
      </x:c>
    </x:row>
    <x:row r="585" ht="20" customHeight="1">
      <x:c r="A585" s="1" t="str">
        <x:v>21181</x:v>
      </x:c>
      <x:c r="B585" s="9" t="d">
        <x:v>2011-07-03T00:00:00.000Z</x:v>
      </x:c>
      <x:c r="C585" s="13" t="n">
        <x:v>0</x:v>
      </x:c>
    </x:row>
    <x:row r="586" ht="20" customHeight="1">
      <x:c r="A586" s="1" t="str">
        <x:v>21181</x:v>
      </x:c>
      <x:c r="B586" s="9" t="d">
        <x:v>2011-07-04T00:00:00.000Z</x:v>
      </x:c>
      <x:c r="C586" s="13" t="n">
        <x:v>0</x:v>
      </x:c>
    </x:row>
    <x:row r="587" ht="20" customHeight="1">
      <x:c r="A587" s="1" t="str">
        <x:v>21181</x:v>
      </x:c>
      <x:c r="B587" s="9" t="d">
        <x:v>2011-07-05T00:00:00.000Z</x:v>
      </x:c>
      <x:c r="C587" s="13" t="n">
        <x:v>0</x:v>
      </x:c>
    </x:row>
    <x:row r="588" ht="20" customHeight="1">
      <x:c r="A588" s="1" t="str">
        <x:v>21181</x:v>
      </x:c>
      <x:c r="B588" s="9" t="d">
        <x:v>2011-07-06T00:00:00.000Z</x:v>
      </x:c>
      <x:c r="C588" s="13" t="n">
        <x:v>0</x:v>
      </x:c>
    </x:row>
    <x:row r="589" ht="20" customHeight="1">
      <x:c r="A589" s="1" t="str">
        <x:v>21181</x:v>
      </x:c>
      <x:c r="B589" s="9" t="d">
        <x:v>2011-07-07T00:00:00.000Z</x:v>
      </x:c>
      <x:c r="C589" s="13" t="n">
        <x:v>0</x:v>
      </x:c>
    </x:row>
    <x:row r="590" ht="20" customHeight="1">
      <x:c r="A590" s="1" t="str">
        <x:v>21181</x:v>
      </x:c>
      <x:c r="B590" s="9" t="d">
        <x:v>2011-07-08T00:00:00.000Z</x:v>
      </x:c>
      <x:c r="C590" s="13" t="n">
        <x:v>0</x:v>
      </x:c>
    </x:row>
    <x:row r="591" ht="20" customHeight="1">
      <x:c r="A591" s="1" t="str">
        <x:v>21181</x:v>
      </x:c>
      <x:c r="B591" s="9" t="d">
        <x:v>2011-07-09T00:00:00.000Z</x:v>
      </x:c>
      <x:c r="C591" s="13" t="n">
        <x:v>0</x:v>
      </x:c>
    </x:row>
    <x:row r="592" ht="20" customHeight="1">
      <x:c r="A592" s="1" t="str">
        <x:v>21181</x:v>
      </x:c>
      <x:c r="B592" s="9" t="d">
        <x:v>2011-07-10T00:00:00.000Z</x:v>
      </x:c>
      <x:c r="C592" s="13" t="n">
        <x:v>0</x:v>
      </x:c>
    </x:row>
    <x:row r="593" ht="20" customHeight="1">
      <x:c r="A593" s="1" t="str">
        <x:v>21181</x:v>
      </x:c>
      <x:c r="B593" s="9" t="d">
        <x:v>2011-07-11T00:00:00.000Z</x:v>
      </x:c>
      <x:c r="C593" s="13" t="n">
        <x:v>0</x:v>
      </x:c>
    </x:row>
    <x:row r="594" ht="20" customHeight="1">
      <x:c r="A594" s="1" t="str">
        <x:v>21181</x:v>
      </x:c>
      <x:c r="B594" s="9" t="d">
        <x:v>2011-07-12T00:00:00.000Z</x:v>
      </x:c>
      <x:c r="C594" s="13" t="n">
        <x:v>0</x:v>
      </x:c>
    </x:row>
    <x:row r="595" ht="20" customHeight="1">
      <x:c r="A595" s="1" t="str">
        <x:v>21181</x:v>
      </x:c>
      <x:c r="B595" s="9" t="d">
        <x:v>2011-07-13T00:00:00.000Z</x:v>
      </x:c>
      <x:c r="C595" s="13" t="n">
        <x:v>0</x:v>
      </x:c>
    </x:row>
    <x:row r="596" ht="20" customHeight="1">
      <x:c r="A596" s="1" t="str">
        <x:v>21181</x:v>
      </x:c>
      <x:c r="B596" s="9" t="d">
        <x:v>2011-07-14T00:00:00.000Z</x:v>
      </x:c>
      <x:c r="C596" s="13" t="n">
        <x:v>192</x:v>
      </x:c>
    </x:row>
    <x:row r="597" ht="20" customHeight="1">
      <x:c r="A597" s="1" t="str">
        <x:v>21181</x:v>
      </x:c>
      <x:c r="B597" s="9" t="d">
        <x:v>2011-07-15T00:00:00.000Z</x:v>
      </x:c>
      <x:c r="C597" s="13" t="n">
        <x:v>0</x:v>
      </x:c>
    </x:row>
    <x:row r="598" ht="20" customHeight="1">
      <x:c r="A598" s="1" t="str">
        <x:v>21181</x:v>
      </x:c>
      <x:c r="B598" s="9" t="d">
        <x:v>2011-07-16T00:00:00.000Z</x:v>
      </x:c>
      <x:c r="C598" s="13" t="n">
        <x:v>0</x:v>
      </x:c>
    </x:row>
    <x:row r="599" ht="20" customHeight="1">
      <x:c r="A599" s="1" t="str">
        <x:v>21181</x:v>
      </x:c>
      <x:c r="B599" s="9" t="d">
        <x:v>2011-07-17T00:00:00.000Z</x:v>
      </x:c>
      <x:c r="C599" s="13" t="n">
        <x:v>0</x:v>
      </x:c>
    </x:row>
    <x:row r="600" ht="20" customHeight="1">
      <x:c r="A600" s="1" t="str">
        <x:v>21181</x:v>
      </x:c>
      <x:c r="B600" s="9" t="d">
        <x:v>2011-07-18T00:00:00.000Z</x:v>
      </x:c>
      <x:c r="C600" s="13" t="n">
        <x:v>0</x:v>
      </x:c>
    </x:row>
    <x:row r="601" ht="20" customHeight="1">
      <x:c r="A601" s="1" t="str">
        <x:v>21181</x:v>
      </x:c>
      <x:c r="B601" s="9" t="d">
        <x:v>2011-07-19T00:00:00.000Z</x:v>
      </x:c>
      <x:c r="C601" s="13" t="n">
        <x:v>0</x:v>
      </x:c>
    </x:row>
    <x:row r="602" ht="20" customHeight="1">
      <x:c r="A602" s="1" t="str">
        <x:v>21181</x:v>
      </x:c>
      <x:c r="B602" s="9" t="d">
        <x:v>2011-07-20T00:00:00.000Z</x:v>
      </x:c>
      <x:c r="C602" s="13" t="n">
        <x:v>0</x:v>
      </x:c>
    </x:row>
    <x:row r="603" ht="20" customHeight="1">
      <x:c r="A603" s="1" t="str">
        <x:v>21181</x:v>
      </x:c>
      <x:c r="B603" s="9" t="d">
        <x:v>2011-07-21T00:00:00.000Z</x:v>
      </x:c>
      <x:c r="C603" s="13" t="n">
        <x:v>0</x:v>
      </x:c>
    </x:row>
    <x:row r="604" ht="20" customHeight="1">
      <x:c r="A604" s="1" t="str">
        <x:v>21181</x:v>
      </x:c>
      <x:c r="B604" s="9" t="d">
        <x:v>2011-07-22T00:00:00.000Z</x:v>
      </x:c>
      <x:c r="C604" s="13" t="n">
        <x:v>0</x:v>
      </x:c>
    </x:row>
    <x:row r="605" ht="20" customHeight="1">
      <x:c r="A605" s="1" t="str">
        <x:v>21181</x:v>
      </x:c>
      <x:c r="B605" s="9" t="d">
        <x:v>2011-07-23T00:00:00.000Z</x:v>
      </x:c>
      <x:c r="C605" s="13" t="n">
        <x:v>0</x:v>
      </x:c>
    </x:row>
    <x:row r="606" ht="20" customHeight="1">
      <x:c r="A606" s="1" t="str">
        <x:v>21181</x:v>
      </x:c>
      <x:c r="B606" s="9" t="d">
        <x:v>2011-07-24T00:00:00.000Z</x:v>
      </x:c>
      <x:c r="C606" s="13" t="n">
        <x:v>0</x:v>
      </x:c>
    </x:row>
    <x:row r="607" ht="20" customHeight="1">
      <x:c r="A607" s="1" t="str">
        <x:v>21181</x:v>
      </x:c>
      <x:c r="B607" s="9" t="d">
        <x:v>2011-07-25T00:00:00.000Z</x:v>
      </x:c>
      <x:c r="C607" s="13" t="n">
        <x:v>0</x:v>
      </x:c>
    </x:row>
    <x:row r="608" ht="20" customHeight="1">
      <x:c r="A608" s="1" t="str">
        <x:v>21181</x:v>
      </x:c>
      <x:c r="B608" s="9" t="d">
        <x:v>2011-07-26T00:00:00.000Z</x:v>
      </x:c>
      <x:c r="C608" s="13" t="n">
        <x:v>0</x:v>
      </x:c>
    </x:row>
    <x:row r="609" ht="20" customHeight="1">
      <x:c r="A609" s="1" t="str">
        <x:v>21181</x:v>
      </x:c>
      <x:c r="B609" s="9" t="d">
        <x:v>2011-07-27T00:00:00.000Z</x:v>
      </x:c>
      <x:c r="C609" s="13" t="n">
        <x:v>0</x:v>
      </x:c>
    </x:row>
    <x:row r="610" ht="20" customHeight="1">
      <x:c r="A610" s="1" t="str">
        <x:v>21181</x:v>
      </x:c>
      <x:c r="B610" s="9" t="d">
        <x:v>2011-07-28T00:00:00.000Z</x:v>
      </x:c>
      <x:c r="C610" s="13" t="n">
        <x:v>0</x:v>
      </x:c>
    </x:row>
    <x:row r="611" ht="20" customHeight="1">
      <x:c r="A611" s="1" t="str">
        <x:v>21181</x:v>
      </x:c>
      <x:c r="B611" s="9" t="d">
        <x:v>2011-07-29T00:00:00.000Z</x:v>
      </x:c>
      <x:c r="C611" s="13" t="n">
        <x:v>0</x:v>
      </x:c>
    </x:row>
    <x:row r="612" ht="20" customHeight="1">
      <x:c r="A612" s="1" t="str">
        <x:v>21181</x:v>
      </x:c>
      <x:c r="B612" s="9" t="d">
        <x:v>2011-07-30T00:00:00.000Z</x:v>
      </x:c>
      <x:c r="C612" s="13" t="n">
        <x:v>0</x:v>
      </x:c>
    </x:row>
    <x:row r="613" ht="20" customHeight="1">
      <x:c r="A613" s="1" t="str">
        <x:v>21181</x:v>
      </x:c>
      <x:c r="B613" s="9" t="d">
        <x:v>2011-07-31T00:00:00.000Z</x:v>
      </x:c>
      <x:c r="C613" s="13" t="n">
        <x:v>0</x:v>
      </x:c>
    </x:row>
    <x:row r="614" ht="20" customHeight="1">
      <x:c r="A614" s="1" t="str">
        <x:v>21181</x:v>
      </x:c>
      <x:c r="B614" s="9" t="d">
        <x:v>2011-08-01T00:00:00.000Z</x:v>
      </x:c>
      <x:c r="C614" s="13" t="n">
        <x:v>1</x:v>
      </x:c>
    </x:row>
    <x:row r="615" ht="20" customHeight="1">
      <x:c r="A615" s="1" t="str">
        <x:v>21181</x:v>
      </x:c>
      <x:c r="B615" s="9" t="d">
        <x:v>2011-08-02T00:00:00.000Z</x:v>
      </x:c>
      <x:c r="C615" s="13" t="n">
        <x:v>0</x:v>
      </x:c>
    </x:row>
    <x:row r="616" ht="20" customHeight="1">
      <x:c r="A616" s="1" t="str">
        <x:v>21181</x:v>
      </x:c>
      <x:c r="B616" s="9" t="d">
        <x:v>2011-08-03T00:00:00.000Z</x:v>
      </x:c>
      <x:c r="C616" s="13" t="n">
        <x:v>0</x:v>
      </x:c>
    </x:row>
    <x:row r="617" ht="20" customHeight="1">
      <x:c r="A617" s="1" t="str">
        <x:v>21181</x:v>
      </x:c>
      <x:c r="B617" s="9" t="d">
        <x:v>2011-08-04T00:00:00.000Z</x:v>
      </x:c>
      <x:c r="C617" s="13" t="n">
        <x:v>0</x:v>
      </x:c>
    </x:row>
    <x:row r="618" ht="20" customHeight="1">
      <x:c r="A618" s="1" t="str">
        <x:v>21181</x:v>
      </x:c>
      <x:c r="B618" s="9" t="d">
        <x:v>2011-08-05T00:00:00.000Z</x:v>
      </x:c>
      <x:c r="C618" s="13" t="n">
        <x:v>0</x:v>
      </x:c>
    </x:row>
    <x:row r="619" ht="20" customHeight="1">
      <x:c r="A619" s="1" t="str">
        <x:v>21181</x:v>
      </x:c>
      <x:c r="B619" s="9" t="d">
        <x:v>2011-08-06T00:00:00.000Z</x:v>
      </x:c>
      <x:c r="C619" s="13" t="n">
        <x:v>0</x:v>
      </x:c>
    </x:row>
    <x:row r="620" ht="20" customHeight="1">
      <x:c r="A620" s="1" t="str">
        <x:v>21181</x:v>
      </x:c>
      <x:c r="B620" s="9" t="d">
        <x:v>2011-08-07T00:00:00.000Z</x:v>
      </x:c>
      <x:c r="C620" s="13" t="n">
        <x:v>0</x:v>
      </x:c>
    </x:row>
    <x:row r="621" ht="20" customHeight="1">
      <x:c r="A621" s="1" t="str">
        <x:v>21181</x:v>
      </x:c>
      <x:c r="B621" s="9" t="d">
        <x:v>2011-08-08T00:00:00.000Z</x:v>
      </x:c>
      <x:c r="C621" s="13" t="n">
        <x:v>0</x:v>
      </x:c>
    </x:row>
    <x:row r="622" ht="20" customHeight="1">
      <x:c r="A622" s="1" t="str">
        <x:v>21181</x:v>
      </x:c>
      <x:c r="B622" s="9" t="d">
        <x:v>2011-08-09T00:00:00.000Z</x:v>
      </x:c>
      <x:c r="C622" s="13" t="n">
        <x:v>0</x:v>
      </x:c>
    </x:row>
    <x:row r="623" ht="20" customHeight="1">
      <x:c r="A623" s="1" t="str">
        <x:v>21181</x:v>
      </x:c>
      <x:c r="B623" s="9" t="d">
        <x:v>2011-08-10T00:00:00.000Z</x:v>
      </x:c>
      <x:c r="C623" s="13" t="n">
        <x:v>0</x:v>
      </x:c>
    </x:row>
    <x:row r="624" ht="20" customHeight="1">
      <x:c r="A624" s="1" t="str">
        <x:v>21181</x:v>
      </x:c>
      <x:c r="B624" s="9" t="d">
        <x:v>2011-08-11T00:00:00.000Z</x:v>
      </x:c>
      <x:c r="C624" s="13" t="n">
        <x:v>0</x:v>
      </x:c>
    </x:row>
    <x:row r="625" ht="20" customHeight="1">
      <x:c r="A625" s="1" t="str">
        <x:v>21181</x:v>
      </x:c>
      <x:c r="B625" s="9" t="d">
        <x:v>2011-08-12T00:00:00.000Z</x:v>
      </x:c>
      <x:c r="C625" s="13" t="n">
        <x:v>0</x:v>
      </x:c>
    </x:row>
    <x:row r="626" ht="20" customHeight="1">
      <x:c r="A626" s="1" t="str">
        <x:v>21181</x:v>
      </x:c>
      <x:c r="B626" s="9" t="d">
        <x:v>2011-08-13T00:00:00.000Z</x:v>
      </x:c>
      <x:c r="C626" s="13" t="n">
        <x:v>0</x:v>
      </x:c>
    </x:row>
    <x:row r="627" ht="20" customHeight="1">
      <x:c r="A627" s="1" t="str">
        <x:v>21181</x:v>
      </x:c>
      <x:c r="B627" s="9" t="d">
        <x:v>2011-08-14T00:00:00.000Z</x:v>
      </x:c>
      <x:c r="C627" s="13" t="n">
        <x:v>0</x:v>
      </x:c>
    </x:row>
    <x:row r="628" ht="20" customHeight="1">
      <x:c r="A628" s="1" t="str">
        <x:v>21181</x:v>
      </x:c>
      <x:c r="B628" s="9" t="d">
        <x:v>2011-08-15T00:00:00.000Z</x:v>
      </x:c>
      <x:c r="C628" s="13" t="n">
        <x:v>0</x:v>
      </x:c>
    </x:row>
    <x:row r="629" ht="20" customHeight="1">
      <x:c r="A629" s="1" t="str">
        <x:v>21181</x:v>
      </x:c>
      <x:c r="B629" s="9" t="d">
        <x:v>2011-08-16T00:00:00.000Z</x:v>
      </x:c>
      <x:c r="C629" s="13" t="n">
        <x:v>0</x:v>
      </x:c>
    </x:row>
    <x:row r="630" ht="20" customHeight="1">
      <x:c r="A630" s="1" t="str">
        <x:v>21181</x:v>
      </x:c>
      <x:c r="B630" s="9" t="d">
        <x:v>2011-08-17T00:00:00.000Z</x:v>
      </x:c>
      <x:c r="C630" s="13" t="n">
        <x:v>0</x:v>
      </x:c>
    </x:row>
    <x:row r="631" ht="20" customHeight="1">
      <x:c r="A631" s="1" t="str">
        <x:v>21181</x:v>
      </x:c>
      <x:c r="B631" s="9" t="d">
        <x:v>2011-08-18T00:00:00.000Z</x:v>
      </x:c>
      <x:c r="C631" s="13" t="n">
        <x:v>0</x:v>
      </x:c>
    </x:row>
    <x:row r="632" ht="20" customHeight="1">
      <x:c r="A632" s="1" t="str">
        <x:v>21181</x:v>
      </x:c>
      <x:c r="B632" s="9" t="d">
        <x:v>2011-08-19T00:00:00.000Z</x:v>
      </x:c>
      <x:c r="C632" s="13" t="n">
        <x:v>0</x:v>
      </x:c>
    </x:row>
    <x:row r="633" ht="20" customHeight="1">
      <x:c r="A633" s="1" t="str">
        <x:v>21181</x:v>
      </x:c>
      <x:c r="B633" s="9" t="d">
        <x:v>2011-08-20T00:00:00.000Z</x:v>
      </x:c>
      <x:c r="C633" s="13" t="n">
        <x:v>0</x:v>
      </x:c>
    </x:row>
    <x:row r="634" ht="20" customHeight="1">
      <x:c r="A634" s="1" t="str">
        <x:v>21181</x:v>
      </x:c>
      <x:c r="B634" s="9" t="d">
        <x:v>2011-08-21T00:00:00.000Z</x:v>
      </x:c>
      <x:c r="C634" s="13" t="n">
        <x:v>0</x:v>
      </x:c>
    </x:row>
    <x:row r="635" ht="20" customHeight="1">
      <x:c r="A635" s="1" t="str">
        <x:v>21181</x:v>
      </x:c>
      <x:c r="B635" s="9" t="d">
        <x:v>2011-08-22T00:00:00.000Z</x:v>
      </x:c>
      <x:c r="C635" s="13" t="n">
        <x:v>0</x:v>
      </x:c>
    </x:row>
    <x:row r="636" ht="20" customHeight="1">
      <x:c r="A636" s="1" t="str">
        <x:v>21181</x:v>
      </x:c>
      <x:c r="B636" s="9" t="d">
        <x:v>2011-08-23T00:00:00.000Z</x:v>
      </x:c>
      <x:c r="C636" s="13" t="n">
        <x:v>0</x:v>
      </x:c>
    </x:row>
    <x:row r="637" ht="20" customHeight="1">
      <x:c r="A637" s="1" t="str">
        <x:v>21181</x:v>
      </x:c>
      <x:c r="B637" s="9" t="d">
        <x:v>2011-08-24T00:00:00.000Z</x:v>
      </x:c>
      <x:c r="C637" s="13" t="n">
        <x:v>0</x:v>
      </x:c>
    </x:row>
    <x:row r="638" ht="20" customHeight="1">
      <x:c r="A638" s="1" t="str">
        <x:v>21181</x:v>
      </x:c>
      <x:c r="B638" s="9" t="d">
        <x:v>2011-08-25T00:00:00.000Z</x:v>
      </x:c>
      <x:c r="C638" s="13" t="n">
        <x:v>0</x:v>
      </x:c>
    </x:row>
    <x:row r="639" ht="20" customHeight="1">
      <x:c r="A639" s="1" t="str">
        <x:v>21181</x:v>
      </x:c>
      <x:c r="B639" s="9" t="d">
        <x:v>2011-08-26T00:00:00.000Z</x:v>
      </x:c>
      <x:c r="C639" s="13" t="n">
        <x:v>0</x:v>
      </x:c>
    </x:row>
    <x:row r="640" ht="20" customHeight="1">
      <x:c r="A640" s="1" t="str">
        <x:v>21181</x:v>
      </x:c>
      <x:c r="B640" s="9" t="d">
        <x:v>2011-08-27T00:00:00.000Z</x:v>
      </x:c>
      <x:c r="C640" s="13" t="n">
        <x:v>0</x:v>
      </x:c>
    </x:row>
    <x:row r="641" ht="20" customHeight="1">
      <x:c r="A641" s="1" t="str">
        <x:v>21181</x:v>
      </x:c>
      <x:c r="B641" s="9" t="d">
        <x:v>2011-08-28T00:00:00.000Z</x:v>
      </x:c>
      <x:c r="C641" s="13" t="n">
        <x:v>0</x:v>
      </x:c>
    </x:row>
    <x:row r="642" ht="20" customHeight="1">
      <x:c r="A642" s="1" t="str">
        <x:v>21181</x:v>
      </x:c>
      <x:c r="B642" s="9" t="d">
        <x:v>2011-08-29T00:00:00.000Z</x:v>
      </x:c>
      <x:c r="C642" s="13" t="n">
        <x:v>0</x:v>
      </x:c>
    </x:row>
    <x:row r="643" ht="20" customHeight="1">
      <x:c r="A643" s="1" t="str">
        <x:v>21181</x:v>
      </x:c>
      <x:c r="B643" s="9" t="d">
        <x:v>2011-08-30T00:00:00.000Z</x:v>
      </x:c>
      <x:c r="C643" s="13" t="n">
        <x:v>0</x:v>
      </x:c>
    </x:row>
    <x:row r="644" ht="20" customHeight="1">
      <x:c r="A644" s="1" t="str">
        <x:v>21181</x:v>
      </x:c>
      <x:c r="B644" s="9" t="d">
        <x:v>2011-08-31T00:00:00.000Z</x:v>
      </x:c>
      <x:c r="C644" s="13" t="n">
        <x:v>0</x:v>
      </x:c>
    </x:row>
    <x:row r="645" ht="20" customHeight="1">
      <x:c r="A645" s="1" t="str">
        <x:v>21181</x:v>
      </x:c>
      <x:c r="B645" s="9" t="d">
        <x:v>2011-09-01T00:00:00.000Z</x:v>
      </x:c>
      <x:c r="C645" s="13" t="n">
        <x:v>0</x:v>
      </x:c>
    </x:row>
    <x:row r="646" ht="20" customHeight="1">
      <x:c r="A646" s="1" t="str">
        <x:v>21181</x:v>
      </x:c>
      <x:c r="B646" s="9" t="d">
        <x:v>2011-09-02T00:00:00.000Z</x:v>
      </x:c>
      <x:c r="C646" s="13" t="n">
        <x:v>0</x:v>
      </x:c>
    </x:row>
    <x:row r="647" ht="20" customHeight="1">
      <x:c r="A647" s="1" t="str">
        <x:v>21181</x:v>
      </x:c>
      <x:c r="B647" s="9" t="d">
        <x:v>2011-09-03T00:00:00.000Z</x:v>
      </x:c>
      <x:c r="C647" s="13" t="n">
        <x:v>0</x:v>
      </x:c>
    </x:row>
    <x:row r="648" ht="20" customHeight="1">
      <x:c r="A648" s="1" t="str">
        <x:v>21181</x:v>
      </x:c>
      <x:c r="B648" s="9" t="d">
        <x:v>2011-09-04T00:00:00.000Z</x:v>
      </x:c>
      <x:c r="C648" s="13" t="n">
        <x:v>39</x:v>
      </x:c>
    </x:row>
    <x:row r="649" ht="20" customHeight="1">
      <x:c r="A649" s="1" t="str">
        <x:v>21181</x:v>
      </x:c>
      <x:c r="B649" s="9" t="d">
        <x:v>2011-09-05T00:00:00.000Z</x:v>
      </x:c>
      <x:c r="C649" s="13" t="n">
        <x:v>737</x:v>
      </x:c>
    </x:row>
    <x:row r="650" ht="20" customHeight="1">
      <x:c r="A650" s="1" t="str">
        <x:v>21181</x:v>
      </x:c>
      <x:c r="B650" s="9" t="d">
        <x:v>2011-09-06T00:00:00.000Z</x:v>
      </x:c>
      <x:c r="C650" s="13" t="n">
        <x:v>230</x:v>
      </x:c>
    </x:row>
    <x:row r="651" ht="20" customHeight="1">
      <x:c r="A651" s="1" t="str">
        <x:v>21181</x:v>
      </x:c>
      <x:c r="B651" s="9" t="d">
        <x:v>2011-09-07T00:00:00.000Z</x:v>
      </x:c>
      <x:c r="C651" s="13" t="n">
        <x:v>157</x:v>
      </x:c>
    </x:row>
    <x:row r="652" ht="20" customHeight="1">
      <x:c r="A652" s="1" t="str">
        <x:v>21181</x:v>
      </x:c>
      <x:c r="B652" s="9" t="d">
        <x:v>2011-09-08T00:00:00.000Z</x:v>
      </x:c>
      <x:c r="C652" s="13" t="n">
        <x:v>33</x:v>
      </x:c>
    </x:row>
    <x:row r="653" ht="20" customHeight="1">
      <x:c r="A653" s="1" t="str">
        <x:v>21181</x:v>
      </x:c>
      <x:c r="B653" s="9" t="d">
        <x:v>2011-09-09T00:00:00.000Z</x:v>
      </x:c>
      <x:c r="C653" s="13" t="n">
        <x:v>140</x:v>
      </x:c>
    </x:row>
    <x:row r="654" ht="20" customHeight="1">
      <x:c r="A654" s="1" t="str">
        <x:v>21181</x:v>
      </x:c>
      <x:c r="B654" s="9" t="d">
        <x:v>2011-09-10T00:00:00.000Z</x:v>
      </x:c>
      <x:c r="C654" s="13" t="n">
        <x:v>0</x:v>
      </x:c>
    </x:row>
    <x:row r="655" ht="20" customHeight="1">
      <x:c r="A655" s="1" t="str">
        <x:v>21181</x:v>
      </x:c>
      <x:c r="B655" s="9" t="d">
        <x:v>2011-09-11T00:00:00.000Z</x:v>
      </x:c>
      <x:c r="C655" s="13" t="n">
        <x:v>101</x:v>
      </x:c>
    </x:row>
    <x:row r="656" ht="20" customHeight="1">
      <x:c r="A656" s="1" t="str">
        <x:v>21181</x:v>
      </x:c>
      <x:c r="B656" s="9" t="d">
        <x:v>2011-09-12T00:00:00.000Z</x:v>
      </x:c>
      <x:c r="C656" s="13" t="n">
        <x:v>122</x:v>
      </x:c>
    </x:row>
    <x:row r="657" ht="20" customHeight="1">
      <x:c r="A657" s="1" t="str">
        <x:v>21181</x:v>
      </x:c>
      <x:c r="B657" s="9" t="d">
        <x:v>2011-09-13T00:00:00.000Z</x:v>
      </x:c>
      <x:c r="C657" s="13" t="n">
        <x:v>19</x:v>
      </x:c>
    </x:row>
    <x:row r="658" ht="20" customHeight="1">
      <x:c r="A658" s="1" t="str">
        <x:v>21181</x:v>
      </x:c>
      <x:c r="B658" s="9" t="d">
        <x:v>2011-09-14T00:00:00.000Z</x:v>
      </x:c>
      <x:c r="C658" s="13" t="n">
        <x:v>148</x:v>
      </x:c>
    </x:row>
    <x:row r="659" ht="20" customHeight="1">
      <x:c r="A659" s="1" t="str">
        <x:v>21181</x:v>
      </x:c>
      <x:c r="B659" s="9" t="d">
        <x:v>2011-09-15T00:00:00.000Z</x:v>
      </x:c>
      <x:c r="C659" s="13" t="n">
        <x:v>75</x:v>
      </x:c>
    </x:row>
    <x:row r="660" ht="20" customHeight="1">
      <x:c r="A660" s="1" t="str">
        <x:v>21181</x:v>
      </x:c>
      <x:c r="B660" s="9" t="d">
        <x:v>2011-09-16T00:00:00.000Z</x:v>
      </x:c>
      <x:c r="C660" s="13" t="n">
        <x:v>76</x:v>
      </x:c>
    </x:row>
    <x:row r="661" ht="20" customHeight="1">
      <x:c r="A661" s="1" t="str">
        <x:v>21181</x:v>
      </x:c>
      <x:c r="B661" s="9" t="d">
        <x:v>2011-09-17T00:00:00.000Z</x:v>
      </x:c>
      <x:c r="C661" s="13" t="n">
        <x:v>0</x:v>
      </x:c>
    </x:row>
    <x:row r="662" ht="20" customHeight="1">
      <x:c r="A662" s="1" t="str">
        <x:v>21181</x:v>
      </x:c>
      <x:c r="B662" s="9" t="d">
        <x:v>2011-09-18T00:00:00.000Z</x:v>
      </x:c>
      <x:c r="C662" s="13" t="n">
        <x:v>55</x:v>
      </x:c>
    </x:row>
    <x:row r="663" ht="20" customHeight="1">
      <x:c r="A663" s="1" t="str">
        <x:v>21181</x:v>
      </x:c>
      <x:c r="B663" s="9" t="d">
        <x:v>2011-09-19T00:00:00.000Z</x:v>
      </x:c>
      <x:c r="C663" s="13" t="n">
        <x:v>25</x:v>
      </x:c>
    </x:row>
    <x:row r="664" ht="20" customHeight="1">
      <x:c r="A664" s="1" t="str">
        <x:v>21181</x:v>
      </x:c>
      <x:c r="B664" s="9" t="d">
        <x:v>2011-09-20T00:00:00.000Z</x:v>
      </x:c>
      <x:c r="C664" s="13" t="n">
        <x:v>63</x:v>
      </x:c>
    </x:row>
    <x:row r="665" ht="20" customHeight="1">
      <x:c r="A665" s="1" t="str">
        <x:v>21181</x:v>
      </x:c>
      <x:c r="B665" s="9" t="d">
        <x:v>2011-09-21T00:00:00.000Z</x:v>
      </x:c>
      <x:c r="C665" s="13" t="n">
        <x:v>37</x:v>
      </x:c>
    </x:row>
    <x:row r="666" ht="20" customHeight="1">
      <x:c r="A666" s="1" t="str">
        <x:v>21181</x:v>
      </x:c>
      <x:c r="B666" s="9" t="d">
        <x:v>2011-09-22T00:00:00.000Z</x:v>
      </x:c>
      <x:c r="C666" s="13" t="n">
        <x:v>49</x:v>
      </x:c>
    </x:row>
    <x:row r="667" ht="20" customHeight="1">
      <x:c r="A667" s="1" t="str">
        <x:v>21181</x:v>
      </x:c>
      <x:c r="B667" s="9" t="d">
        <x:v>2011-09-23T00:00:00.000Z</x:v>
      </x:c>
      <x:c r="C667" s="13" t="n">
        <x:v>8</x:v>
      </x:c>
    </x:row>
    <x:row r="668" ht="20" customHeight="1">
      <x:c r="A668" s="1" t="str">
        <x:v>21181</x:v>
      </x:c>
      <x:c r="B668" s="9" t="d">
        <x:v>2011-09-24T00:00:00.000Z</x:v>
      </x:c>
      <x:c r="C668" s="13" t="n">
        <x:v>0</x:v>
      </x:c>
    </x:row>
    <x:row r="669" ht="20" customHeight="1">
      <x:c r="A669" s="1" t="str">
        <x:v>21181</x:v>
      </x:c>
      <x:c r="B669" s="9" t="d">
        <x:v>2011-09-25T00:00:00.000Z</x:v>
      </x:c>
      <x:c r="C669" s="13" t="n">
        <x:v>54</x:v>
      </x:c>
    </x:row>
    <x:row r="670" ht="20" customHeight="1">
      <x:c r="A670" s="1" t="str">
        <x:v>21181</x:v>
      </x:c>
      <x:c r="B670" s="9" t="d">
        <x:v>2011-09-26T00:00:00.000Z</x:v>
      </x:c>
      <x:c r="C670" s="13" t="n">
        <x:v>174</x:v>
      </x:c>
    </x:row>
    <x:row r="671" ht="20" customHeight="1">
      <x:c r="A671" s="1" t="str">
        <x:v>21181</x:v>
      </x:c>
      <x:c r="B671" s="9" t="d">
        <x:v>2011-09-27T00:00:00.000Z</x:v>
      </x:c>
      <x:c r="C671" s="13" t="n">
        <x:v>46</x:v>
      </x:c>
    </x:row>
    <x:row r="672" ht="20" customHeight="1">
      <x:c r="A672" s="1" t="str">
        <x:v>21181</x:v>
      </x:c>
      <x:c r="B672" s="9" t="d">
        <x:v>2011-09-28T00:00:00.000Z</x:v>
      </x:c>
      <x:c r="C672" s="13" t="n">
        <x:v>31</x:v>
      </x:c>
    </x:row>
    <x:row r="673" ht="20" customHeight="1">
      <x:c r="A673" s="1" t="str">
        <x:v>21181</x:v>
      </x:c>
      <x:c r="B673" s="9" t="d">
        <x:v>2011-09-29T00:00:00.000Z</x:v>
      </x:c>
      <x:c r="C673" s="13" t="n">
        <x:v>72</x:v>
      </x:c>
    </x:row>
    <x:row r="674" ht="20" customHeight="1">
      <x:c r="A674" s="1" t="str">
        <x:v>21181</x:v>
      </x:c>
      <x:c r="B674" s="9" t="d">
        <x:v>2011-09-30T00:00:00.000Z</x:v>
      </x:c>
      <x:c r="C674" s="13" t="n">
        <x:v>43</x:v>
      </x:c>
    </x:row>
    <x:row r="675" ht="20" customHeight="1">
      <x:c r="A675" s="1" t="str">
        <x:v>21181</x:v>
      </x:c>
      <x:c r="B675" s="9" t="d">
        <x:v>2011-10-01T00:00:00.000Z</x:v>
      </x:c>
      <x:c r="C675" s="13" t="n">
        <x:v>0</x:v>
      </x:c>
    </x:row>
    <x:row r="676" ht="20" customHeight="1">
      <x:c r="A676" s="1" t="str">
        <x:v>21181</x:v>
      </x:c>
      <x:c r="B676" s="9" t="d">
        <x:v>2011-10-02T00:00:00.000Z</x:v>
      </x:c>
      <x:c r="C676" s="13" t="n">
        <x:v>7</x:v>
      </x:c>
    </x:row>
    <x:row r="677" ht="20" customHeight="1">
      <x:c r="A677" s="1" t="str">
        <x:v>21181</x:v>
      </x:c>
      <x:c r="B677" s="9" t="d">
        <x:v>2011-10-03T00:00:00.000Z</x:v>
      </x:c>
      <x:c r="C677" s="13" t="n">
        <x:v>254</x:v>
      </x:c>
    </x:row>
    <x:row r="678" ht="20" customHeight="1">
      <x:c r="A678" s="1" t="str">
        <x:v>21181</x:v>
      </x:c>
      <x:c r="B678" s="9" t="d">
        <x:v>2011-10-04T00:00:00.000Z</x:v>
      </x:c>
      <x:c r="C678" s="13" t="n">
        <x:v>51</x:v>
      </x:c>
    </x:row>
    <x:row r="679" ht="20" customHeight="1">
      <x:c r="A679" s="1" t="str">
        <x:v>21181</x:v>
      </x:c>
      <x:c r="B679" s="9" t="d">
        <x:v>2011-10-05T00:00:00.000Z</x:v>
      </x:c>
      <x:c r="C679" s="13" t="n">
        <x:v>56</x:v>
      </x:c>
    </x:row>
    <x:row r="680" ht="20" customHeight="1">
      <x:c r="A680" s="1" t="str">
        <x:v>21181</x:v>
      </x:c>
      <x:c r="B680" s="9" t="d">
        <x:v>2011-10-06T00:00:00.000Z</x:v>
      </x:c>
      <x:c r="C680" s="13" t="n">
        <x:v>115</x:v>
      </x:c>
    </x:row>
    <x:row r="681" ht="20" customHeight="1">
      <x:c r="A681" s="1" t="str">
        <x:v>21181</x:v>
      </x:c>
      <x:c r="B681" s="9" t="d">
        <x:v>2011-10-07T00:00:00.000Z</x:v>
      </x:c>
      <x:c r="C681" s="13" t="n">
        <x:v>87</x:v>
      </x:c>
    </x:row>
    <x:row r="682" ht="20" customHeight="1">
      <x:c r="A682" s="1" t="str">
        <x:v>21181</x:v>
      </x:c>
      <x:c r="B682" s="9" t="d">
        <x:v>2011-10-08T00:00:00.000Z</x:v>
      </x:c>
      <x:c r="C682" s="13" t="n">
        <x:v>0</x:v>
      </x:c>
    </x:row>
    <x:row r="683" ht="20" customHeight="1">
      <x:c r="A683" s="1" t="str">
        <x:v>21181</x:v>
      </x:c>
      <x:c r="B683" s="9" t="d">
        <x:v>2011-10-09T00:00:00.000Z</x:v>
      </x:c>
      <x:c r="C683" s="13" t="n">
        <x:v>13</x:v>
      </x:c>
    </x:row>
    <x:row r="684" ht="20" customHeight="1">
      <x:c r="A684" s="1" t="str">
        <x:v>21181</x:v>
      </x:c>
      <x:c r="B684" s="9" t="d">
        <x:v>2011-10-10T00:00:00.000Z</x:v>
      </x:c>
      <x:c r="C684" s="13" t="n">
        <x:v>141</x:v>
      </x:c>
    </x:row>
    <x:row r="685" ht="20" customHeight="1">
      <x:c r="A685" s="1" t="str">
        <x:v>21181</x:v>
      </x:c>
      <x:c r="B685" s="9" t="d">
        <x:v>2011-10-11T00:00:00.000Z</x:v>
      </x:c>
      <x:c r="C685" s="13" t="n">
        <x:v>67</x:v>
      </x:c>
    </x:row>
    <x:row r="686" ht="20" customHeight="1">
      <x:c r="A686" s="1" t="str">
        <x:v>21181</x:v>
      </x:c>
      <x:c r="B686" s="9" t="d">
        <x:v>2011-10-12T00:00:00.000Z</x:v>
      </x:c>
      <x:c r="C686" s="13" t="n">
        <x:v>12</x:v>
      </x:c>
    </x:row>
    <x:row r="687" ht="20" customHeight="1">
      <x:c r="A687" s="1" t="str">
        <x:v>21181</x:v>
      </x:c>
      <x:c r="B687" s="9" t="d">
        <x:v>2011-10-13T00:00:00.000Z</x:v>
      </x:c>
      <x:c r="C687" s="13" t="n">
        <x:v>16</x:v>
      </x:c>
    </x:row>
    <x:row r="688" ht="20" customHeight="1">
      <x:c r="A688" s="1" t="str">
        <x:v>21181</x:v>
      </x:c>
      <x:c r="B688" s="9" t="d">
        <x:v>2011-10-14T00:00:00.000Z</x:v>
      </x:c>
      <x:c r="C688" s="13" t="n">
        <x:v>82</x:v>
      </x:c>
    </x:row>
    <x:row r="689" ht="20" customHeight="1">
      <x:c r="A689" s="1" t="str">
        <x:v>21181</x:v>
      </x:c>
      <x:c r="B689" s="9" t="d">
        <x:v>2011-10-15T00:00:00.000Z</x:v>
      </x:c>
      <x:c r="C689" s="13" t="n">
        <x:v>0</x:v>
      </x:c>
    </x:row>
    <x:row r="690" ht="20" customHeight="1">
      <x:c r="A690" s="1" t="str">
        <x:v>21181</x:v>
      </x:c>
      <x:c r="B690" s="9" t="d">
        <x:v>2011-10-16T00:00:00.000Z</x:v>
      </x:c>
      <x:c r="C690" s="13" t="n">
        <x:v>11</x:v>
      </x:c>
    </x:row>
    <x:row r="691" ht="20" customHeight="1">
      <x:c r="A691" s="1" t="str">
        <x:v>21181</x:v>
      </x:c>
      <x:c r="B691" s="9" t="d">
        <x:v>2011-10-17T00:00:00.000Z</x:v>
      </x:c>
      <x:c r="C691" s="13" t="n">
        <x:v>39</x:v>
      </x:c>
    </x:row>
    <x:row r="692" ht="20" customHeight="1">
      <x:c r="A692" s="1" t="str">
        <x:v>21181</x:v>
      </x:c>
      <x:c r="B692" s="9" t="d">
        <x:v>2011-10-18T00:00:00.000Z</x:v>
      </x:c>
      <x:c r="C692" s="13" t="n">
        <x:v>19</x:v>
      </x:c>
    </x:row>
    <x:row r="693" ht="20" customHeight="1">
      <x:c r="A693" s="1" t="str">
        <x:v>21181</x:v>
      </x:c>
      <x:c r="B693" s="9" t="d">
        <x:v>2011-10-19T00:00:00.000Z</x:v>
      </x:c>
      <x:c r="C693" s="13" t="n">
        <x:v>20</x:v>
      </x:c>
    </x:row>
    <x:row r="694" ht="20" customHeight="1">
      <x:c r="A694" s="1" t="str">
        <x:v>21181</x:v>
      </x:c>
      <x:c r="B694" s="9" t="d">
        <x:v>2011-10-20T00:00:00.000Z</x:v>
      </x:c>
      <x:c r="C694" s="13" t="n">
        <x:v>30</x:v>
      </x:c>
    </x:row>
    <x:row r="695" ht="20" customHeight="1">
      <x:c r="A695" s="1" t="str">
        <x:v>21181</x:v>
      </x:c>
      <x:c r="B695" s="9" t="d">
        <x:v>2011-10-21T00:00:00.000Z</x:v>
      </x:c>
      <x:c r="C695" s="13" t="n">
        <x:v>25</x:v>
      </x:c>
    </x:row>
    <x:row r="696" ht="20" customHeight="1">
      <x:c r="A696" s="1" t="str">
        <x:v>21181</x:v>
      </x:c>
      <x:c r="B696" s="9" t="d">
        <x:v>2011-10-22T00:00:00.000Z</x:v>
      </x:c>
      <x:c r="C696" s="13" t="n">
        <x:v>0</x:v>
      </x:c>
    </x:row>
    <x:row r="697" ht="20" customHeight="1">
      <x:c r="A697" s="1" t="str">
        <x:v>21181</x:v>
      </x:c>
      <x:c r="B697" s="9" t="d">
        <x:v>2011-10-23T00:00:00.000Z</x:v>
      </x:c>
      <x:c r="C697" s="13" t="n">
        <x:v>2</x:v>
      </x:c>
    </x:row>
    <x:row r="698" ht="20" customHeight="1">
      <x:c r="A698" s="1" t="str">
        <x:v>21181</x:v>
      </x:c>
      <x:c r="B698" s="9" t="d">
        <x:v>2011-10-24T00:00:00.000Z</x:v>
      </x:c>
      <x:c r="C698" s="13" t="n">
        <x:v>500</x:v>
      </x:c>
    </x:row>
    <x:row r="699" ht="20" customHeight="1">
      <x:c r="A699" s="1" t="str">
        <x:v>21181</x:v>
      </x:c>
      <x:c r="B699" s="9" t="d">
        <x:v>2011-10-25T00:00:00.000Z</x:v>
      </x:c>
      <x:c r="C699" s="13" t="n">
        <x:v>29</x:v>
      </x:c>
    </x:row>
    <x:row r="700" ht="20" customHeight="1">
      <x:c r="A700" s="1" t="str">
        <x:v>21181</x:v>
      </x:c>
      <x:c r="B700" s="9" t="d">
        <x:v>2011-10-26T00:00:00.000Z</x:v>
      </x:c>
      <x:c r="C700" s="13" t="n">
        <x:v>127</x:v>
      </x:c>
    </x:row>
    <x:row r="701" ht="20" customHeight="1">
      <x:c r="A701" s="1" t="str">
        <x:v>21181</x:v>
      </x:c>
      <x:c r="B701" s="9" t="d">
        <x:v>2011-10-27T00:00:00.000Z</x:v>
      </x:c>
      <x:c r="C701" s="13" t="n">
        <x:v>101</x:v>
      </x:c>
    </x:row>
    <x:row r="702" ht="20" customHeight="1">
      <x:c r="A702" s="1" t="str">
        <x:v>21181</x:v>
      </x:c>
      <x:c r="B702" s="9" t="d">
        <x:v>2011-10-28T00:00:00.000Z</x:v>
      </x:c>
      <x:c r="C702" s="13" t="n">
        <x:v>121</x:v>
      </x:c>
    </x:row>
    <x:row r="703" ht="20" customHeight="1">
      <x:c r="A703" s="1" t="str">
        <x:v>21181</x:v>
      </x:c>
      <x:c r="B703" s="9" t="d">
        <x:v>2011-10-29T00:00:00.000Z</x:v>
      </x:c>
      <x:c r="C703" s="13" t="n">
        <x:v>0</x:v>
      </x:c>
    </x:row>
    <x:row r="704" ht="20" customHeight="1">
      <x:c r="A704" s="1" t="str">
        <x:v>21181</x:v>
      </x:c>
      <x:c r="B704" s="9" t="d">
        <x:v>2011-10-30T00:00:00.000Z</x:v>
      </x:c>
      <x:c r="C704" s="13" t="n">
        <x:v>30</x:v>
      </x:c>
    </x:row>
    <x:row r="705" ht="20" customHeight="1">
      <x:c r="A705" s="1" t="str">
        <x:v>21181</x:v>
      </x:c>
      <x:c r="B705" s="9" t="d">
        <x:v>2011-10-31T00:00:00.000Z</x:v>
      </x:c>
      <x:c r="C705" s="13" t="n">
        <x:v>47</x:v>
      </x:c>
    </x:row>
    <x:row r="706" ht="20" customHeight="1">
      <x:c r="A706" s="1" t="str">
        <x:v>21181</x:v>
      </x:c>
      <x:c r="B706" s="9" t="d">
        <x:v>2011-11-01T00:00:00.000Z</x:v>
      </x:c>
      <x:c r="C706" s="13" t="n">
        <x:v>0</x:v>
      </x:c>
    </x:row>
    <x:row r="707" ht="20" customHeight="1">
      <x:c r="A707" s="1" t="str">
        <x:v>21181</x:v>
      </x:c>
      <x:c r="B707" s="9" t="d">
        <x:v>2011-11-02T00:00:00.000Z</x:v>
      </x:c>
      <x:c r="C707" s="13" t="n">
        <x:v>0</x:v>
      </x:c>
    </x:row>
    <x:row r="708" ht="20" customHeight="1">
      <x:c r="A708" s="1" t="str">
        <x:v>21181</x:v>
      </x:c>
      <x:c r="B708" s="9" t="d">
        <x:v>2011-11-03T00:00:00.000Z</x:v>
      </x:c>
      <x:c r="C708" s="13" t="n">
        <x:v>0</x:v>
      </x:c>
    </x:row>
    <x:row r="709" ht="20" customHeight="1">
      <x:c r="A709" s="1" t="str">
        <x:v>21181</x:v>
      </x:c>
      <x:c r="B709" s="9" t="d">
        <x:v>2011-11-04T00:00:00.000Z</x:v>
      </x:c>
      <x:c r="C709" s="13" t="n">
        <x:v>0</x:v>
      </x:c>
    </x:row>
    <x:row r="710" ht="20" customHeight="1">
      <x:c r="A710" s="1" t="str">
        <x:v>21181</x:v>
      </x:c>
      <x:c r="B710" s="9" t="d">
        <x:v>2011-11-05T00:00:00.000Z</x:v>
      </x:c>
      <x:c r="C710" s="13" t="n">
        <x:v>0</x:v>
      </x:c>
    </x:row>
    <x:row r="711" ht="20" customHeight="1">
      <x:c r="A711" s="1" t="str">
        <x:v>21181</x:v>
      </x:c>
      <x:c r="B711" s="9" t="d">
        <x:v>2011-11-06T00:00:00.000Z</x:v>
      </x:c>
      <x:c r="C711" s="13" t="n">
        <x:v>0</x:v>
      </x:c>
    </x:row>
    <x:row r="712" ht="20" customHeight="1">
      <x:c r="A712" s="1" t="str">
        <x:v>21181</x:v>
      </x:c>
      <x:c r="B712" s="9" t="d">
        <x:v>2011-11-07T00:00:00.000Z</x:v>
      </x:c>
      <x:c r="C712" s="13" t="n">
        <x:v>1</x:v>
      </x:c>
    </x:row>
    <x:row r="713" ht="20" customHeight="1">
      <x:c r="A713" s="1" t="str">
        <x:v>21181</x:v>
      </x:c>
      <x:c r="B713" s="9" t="d">
        <x:v>2011-11-08T00:00:00.000Z</x:v>
      </x:c>
      <x:c r="C713" s="13" t="n">
        <x:v>6</x:v>
      </x:c>
    </x:row>
    <x:row r="714" ht="20" customHeight="1">
      <x:c r="A714" s="1" t="str">
        <x:v>21181</x:v>
      </x:c>
      <x:c r="B714" s="9" t="d">
        <x:v>2011-11-09T00:00:00.000Z</x:v>
      </x:c>
      <x:c r="C714" s="13" t="n">
        <x:v>3</x:v>
      </x:c>
    </x:row>
    <x:row r="715" ht="20" customHeight="1">
      <x:c r="A715" s="1" t="str">
        <x:v>21181</x:v>
      </x:c>
      <x:c r="B715" s="9" t="d">
        <x:v>2011-11-10T00:00:00.000Z</x:v>
      </x:c>
      <x:c r="C715" s="13" t="n">
        <x:v>0</x:v>
      </x:c>
    </x:row>
    <x:row r="716" ht="20" customHeight="1">
      <x:c r="A716" s="1" t="str">
        <x:v>21181</x:v>
      </x:c>
      <x:c r="B716" s="9" t="d">
        <x:v>2011-11-11T00:00:00.000Z</x:v>
      </x:c>
      <x:c r="C716" s="13" t="n">
        <x:v>0</x:v>
      </x:c>
    </x:row>
    <x:row r="717" ht="20" customHeight="1">
      <x:c r="A717" s="1" t="str">
        <x:v>21181</x:v>
      </x:c>
      <x:c r="B717" s="9" t="d">
        <x:v>2011-11-12T00:00:00.000Z</x:v>
      </x:c>
      <x:c r="C717" s="13" t="n">
        <x:v>0</x:v>
      </x:c>
    </x:row>
    <x:row r="718" ht="20" customHeight="1">
      <x:c r="A718" s="1" t="str">
        <x:v>21181</x:v>
      </x:c>
      <x:c r="B718" s="9" t="d">
        <x:v>2011-11-13T00:00:00.000Z</x:v>
      </x:c>
      <x:c r="C718" s="13" t="n">
        <x:v>2</x:v>
      </x:c>
    </x:row>
    <x:row r="719" ht="20" customHeight="1">
      <x:c r="A719" s="1" t="str">
        <x:v>21181</x:v>
      </x:c>
      <x:c r="B719" s="9" t="d">
        <x:v>2011-11-14T00:00:00.000Z</x:v>
      </x:c>
      <x:c r="C719" s="13" t="n">
        <x:v>192</x:v>
      </x:c>
    </x:row>
    <x:row r="720" ht="20" customHeight="1">
      <x:c r="A720" s="1" t="str">
        <x:v>21181</x:v>
      </x:c>
      <x:c r="B720" s="9" t="d">
        <x:v>2011-11-15T00:00:00.000Z</x:v>
      </x:c>
      <x:c r="C720" s="13" t="n">
        <x:v>1</x:v>
      </x:c>
    </x:row>
    <x:row r="721" ht="20" customHeight="1">
      <x:c r="A721" s="1" t="str">
        <x:v>21181</x:v>
      </x:c>
      <x:c r="B721" s="9" t="d">
        <x:v>2011-11-16T00:00:00.000Z</x:v>
      </x:c>
      <x:c r="C721" s="13" t="n">
        <x:v>5</x:v>
      </x:c>
    </x:row>
    <x:row r="722" ht="20" customHeight="1">
      <x:c r="A722" s="1" t="str">
        <x:v>21181</x:v>
      </x:c>
      <x:c r="B722" s="9" t="d">
        <x:v>2011-11-17T00:00:00.000Z</x:v>
      </x:c>
      <x:c r="C722" s="13" t="n">
        <x:v>0</x:v>
      </x:c>
    </x:row>
    <x:row r="723" ht="20" customHeight="1">
      <x:c r="A723" s="1" t="str">
        <x:v>21181</x:v>
      </x:c>
      <x:c r="B723" s="9" t="d">
        <x:v>2011-11-18T00:00:00.000Z</x:v>
      </x:c>
      <x:c r="C723" s="13" t="n">
        <x:v>1</x:v>
      </x:c>
    </x:row>
    <x:row r="724" ht="20" customHeight="1">
      <x:c r="A724" s="1" t="str">
        <x:v>21181</x:v>
      </x:c>
      <x:c r="B724" s="9" t="d">
        <x:v>2011-11-19T00:00:00.000Z</x:v>
      </x:c>
      <x:c r="C724" s="13" t="n">
        <x:v>0</x:v>
      </x:c>
    </x:row>
    <x:row r="725" ht="20" customHeight="1">
      <x:c r="A725" s="1" t="str">
        <x:v>21181</x:v>
      </x:c>
      <x:c r="B725" s="9" t="d">
        <x:v>2011-11-20T00:00:00.000Z</x:v>
      </x:c>
      <x:c r="C725" s="13" t="n">
        <x:v>2</x:v>
      </x:c>
    </x:row>
    <x:row r="726" ht="20" customHeight="1">
      <x:c r="A726" s="1" t="str">
        <x:v>21181</x:v>
      </x:c>
      <x:c r="B726" s="9" t="d">
        <x:v>2011-11-21T00:00:00.000Z</x:v>
      </x:c>
      <x:c r="C726" s="13" t="n">
        <x:v>4</x:v>
      </x:c>
    </x:row>
    <x:row r="727" ht="20" customHeight="1">
      <x:c r="A727" s="1" t="str">
        <x:v>21181</x:v>
      </x:c>
      <x:c r="B727" s="9" t="d">
        <x:v>2011-11-22T00:00:00.000Z</x:v>
      </x:c>
      <x:c r="C727" s="13" t="n">
        <x:v>3</x:v>
      </x:c>
    </x:row>
    <x:row r="728" ht="20" customHeight="1">
      <x:c r="A728" s="1" t="str">
        <x:v>21181</x:v>
      </x:c>
      <x:c r="B728" s="9" t="d">
        <x:v>2011-11-23T00:00:00.000Z</x:v>
      </x:c>
      <x:c r="C728" s="13" t="n">
        <x:v>7</x:v>
      </x:c>
    </x:row>
    <x:row r="729" ht="20" customHeight="1">
      <x:c r="A729" s="1" t="str">
        <x:v>21181</x:v>
      </x:c>
      <x:c r="B729" s="9" t="d">
        <x:v>2011-11-24T00:00:00.000Z</x:v>
      </x:c>
      <x:c r="C729" s="13" t="n">
        <x:v>2</x:v>
      </x:c>
    </x:row>
    <x:row r="730" ht="20" customHeight="1">
      <x:c r="A730" s="1" t="str">
        <x:v>21181</x:v>
      </x:c>
      <x:c r="B730" s="9" t="d">
        <x:v>2011-11-25T00:00:00.000Z</x:v>
      </x:c>
      <x:c r="C730" s="13" t="n">
        <x:v>0</x:v>
      </x:c>
    </x:row>
    <x:row r="731" ht="20" customHeight="1">
      <x:c r="A731" s="1" t="str">
        <x:v>21181</x:v>
      </x:c>
      <x:c r="B731" s="9" t="d">
        <x:v>2011-11-26T00:00:00.000Z</x:v>
      </x:c>
      <x:c r="C731" s="13" t="n">
        <x:v>0</x:v>
      </x:c>
    </x:row>
    <x:row r="732" ht="20" customHeight="1">
      <x:c r="A732" s="1" t="str">
        <x:v>21181</x:v>
      </x:c>
      <x:c r="B732" s="9" t="d">
        <x:v>2011-11-27T00:00:00.000Z</x:v>
      </x:c>
      <x:c r="C732" s="13" t="n">
        <x:v>25</x:v>
      </x:c>
    </x:row>
    <x:row r="733" ht="20" customHeight="1">
      <x:c r="A733" s="1" t="str">
        <x:v>21181</x:v>
      </x:c>
      <x:c r="B733" s="9" t="d">
        <x:v>2011-11-28T00:00:00.000Z</x:v>
      </x:c>
      <x:c r="C733" s="13" t="n">
        <x:v>372</x:v>
      </x:c>
    </x:row>
    <x:row r="734" ht="20" customHeight="1">
      <x:c r="A734" s="1" t="str">
        <x:v>21181</x:v>
      </x:c>
      <x:c r="B734" s="9" t="d">
        <x:v>2011-11-29T00:00:00.000Z</x:v>
      </x:c>
      <x:c r="C734" s="13" t="n">
        <x:v>169</x:v>
      </x:c>
    </x:row>
    <x:row r="735" ht="20" customHeight="1">
      <x:c r="A735" s="1" t="str">
        <x:v>21181</x:v>
      </x:c>
      <x:c r="B735" s="9" t="d">
        <x:v>2011-11-30T00:00:00.000Z</x:v>
      </x:c>
      <x:c r="C735" s="13" t="n">
        <x:v>194</x:v>
      </x:c>
    </x:row>
    <x:row r="736" ht="20" customHeight="1">
      <x:c r="A736" s="1" t="str">
        <x:v>21212</x:v>
      </x:c>
      <x:c r="B736" s="9" t="d">
        <x:v>2010-12-01T00:00:00.000Z</x:v>
      </x:c>
      <x:c r="C736" s="13" t="n">
        <x:v>241</x:v>
      </x:c>
    </x:row>
    <x:row r="737" ht="20" customHeight="1">
      <x:c r="A737" s="1" t="str">
        <x:v>21212</x:v>
      </x:c>
      <x:c r="B737" s="9" t="d">
        <x:v>2010-12-02T00:00:00.000Z</x:v>
      </x:c>
      <x:c r="C737" s="13" t="n">
        <x:v>459</x:v>
      </x:c>
    </x:row>
    <x:row r="738" ht="20" customHeight="1">
      <x:c r="A738" s="1" t="str">
        <x:v>21212</x:v>
      </x:c>
      <x:c r="B738" s="9" t="d">
        <x:v>2010-12-03T00:00:00.000Z</x:v>
      </x:c>
      <x:c r="C738" s="13" t="n">
        <x:v>254</x:v>
      </x:c>
    </x:row>
    <x:row r="739" ht="20" customHeight="1">
      <x:c r="A739" s="1" t="str">
        <x:v>21212</x:v>
      </x:c>
      <x:c r="B739" s="9" t="d">
        <x:v>2010-12-04T00:00:00.000Z</x:v>
      </x:c>
      <x:c r="C739" s="13" t="n">
        <x:v>0</x:v>
      </x:c>
    </x:row>
    <x:row r="740" ht="20" customHeight="1">
      <x:c r="A740" s="1" t="str">
        <x:v>21212</x:v>
      </x:c>
      <x:c r="B740" s="9" t="d">
        <x:v>2010-12-05T00:00:00.000Z</x:v>
      </x:c>
      <x:c r="C740" s="13" t="n">
        <x:v>21</x:v>
      </x:c>
    </x:row>
    <x:row r="741" ht="20" customHeight="1">
      <x:c r="A741" s="1" t="str">
        <x:v>21212</x:v>
      </x:c>
      <x:c r="B741" s="9" t="d">
        <x:v>2010-12-06T00:00:00.000Z</x:v>
      </x:c>
      <x:c r="C741" s="13" t="n">
        <x:v>141</x:v>
      </x:c>
    </x:row>
    <x:row r="742" ht="20" customHeight="1">
      <x:c r="A742" s="1" t="str">
        <x:v>21212</x:v>
      </x:c>
      <x:c r="B742" s="9" t="d">
        <x:v>2010-12-07T00:00:00.000Z</x:v>
      </x:c>
      <x:c r="C742" s="13" t="n">
        <x:v>261</x:v>
      </x:c>
    </x:row>
    <x:row r="743" ht="20" customHeight="1">
      <x:c r="A743" s="1" t="str">
        <x:v>21212</x:v>
      </x:c>
      <x:c r="B743" s="9" t="d">
        <x:v>2010-12-08T00:00:00.000Z</x:v>
      </x:c>
      <x:c r="C743" s="13" t="n">
        <x:v>134</x:v>
      </x:c>
    </x:row>
    <x:row r="744" ht="20" customHeight="1">
      <x:c r="A744" s="1" t="str">
        <x:v>21212</x:v>
      </x:c>
      <x:c r="B744" s="9" t="d">
        <x:v>2010-12-09T00:00:00.000Z</x:v>
      </x:c>
      <x:c r="C744" s="13" t="n">
        <x:v>77</x:v>
      </x:c>
    </x:row>
    <x:row r="745" ht="20" customHeight="1">
      <x:c r="A745" s="1" t="str">
        <x:v>21212</x:v>
      </x:c>
      <x:c r="B745" s="9" t="d">
        <x:v>2010-12-10T00:00:00.000Z</x:v>
      </x:c>
      <x:c r="C745" s="13" t="n">
        <x:v>486</x:v>
      </x:c>
    </x:row>
    <x:row r="746" ht="20" customHeight="1">
      <x:c r="A746" s="1" t="str">
        <x:v>21212</x:v>
      </x:c>
      <x:c r="B746" s="9" t="d">
        <x:v>2010-12-11T00:00:00.000Z</x:v>
      </x:c>
      <x:c r="C746" s="13" t="n">
        <x:v>0</x:v>
      </x:c>
    </x:row>
    <x:row r="747" ht="20" customHeight="1">
      <x:c r="A747" s="1" t="str">
        <x:v>21212</x:v>
      </x:c>
      <x:c r="B747" s="9" t="d">
        <x:v>2010-12-12T00:00:00.000Z</x:v>
      </x:c>
      <x:c r="C747" s="13" t="n">
        <x:v>5</x:v>
      </x:c>
    </x:row>
    <x:row r="748" ht="20" customHeight="1">
      <x:c r="A748" s="1" t="str">
        <x:v>21212</x:v>
      </x:c>
      <x:c r="B748" s="9" t="d">
        <x:v>2010-12-13T00:00:00.000Z</x:v>
      </x:c>
      <x:c r="C748" s="13" t="n">
        <x:v>33</x:v>
      </x:c>
    </x:row>
    <x:row r="749" ht="20" customHeight="1">
      <x:c r="A749" s="1" t="str">
        <x:v>21212</x:v>
      </x:c>
      <x:c r="B749" s="9" t="d">
        <x:v>2010-12-14T00:00:00.000Z</x:v>
      </x:c>
      <x:c r="C749" s="13" t="n">
        <x:v>188</x:v>
      </x:c>
    </x:row>
    <x:row r="750" ht="20" customHeight="1">
      <x:c r="A750" s="1" t="str">
        <x:v>21212</x:v>
      </x:c>
      <x:c r="B750" s="9" t="d">
        <x:v>2010-12-15T00:00:00.000Z</x:v>
      </x:c>
      <x:c r="C750" s="13" t="n">
        <x:v>194</x:v>
      </x:c>
    </x:row>
    <x:row r="751" ht="20" customHeight="1">
      <x:c r="A751" s="1" t="str">
        <x:v>21212</x:v>
      </x:c>
      <x:c r="B751" s="9" t="d">
        <x:v>2010-12-16T00:00:00.000Z</x:v>
      </x:c>
      <x:c r="C751" s="13" t="n">
        <x:v>0</x:v>
      </x:c>
    </x:row>
    <x:row r="752" ht="20" customHeight="1">
      <x:c r="A752" s="1" t="str">
        <x:v>21212</x:v>
      </x:c>
      <x:c r="B752" s="9" t="d">
        <x:v>2010-12-17T00:00:00.000Z</x:v>
      </x:c>
      <x:c r="C752" s="13" t="n">
        <x:v>249</x:v>
      </x:c>
    </x:row>
    <x:row r="753" ht="20" customHeight="1">
      <x:c r="A753" s="1" t="str">
        <x:v>21212</x:v>
      </x:c>
      <x:c r="B753" s="9" t="d">
        <x:v>2010-12-18T00:00:00.000Z</x:v>
      </x:c>
      <x:c r="C753" s="13" t="n">
        <x:v>0</x:v>
      </x:c>
    </x:row>
    <x:row r="754" ht="20" customHeight="1">
      <x:c r="A754" s="1" t="str">
        <x:v>21212</x:v>
      </x:c>
      <x:c r="B754" s="9" t="d">
        <x:v>2010-12-19T00:00:00.000Z</x:v>
      </x:c>
      <x:c r="C754" s="13" t="n">
        <x:v>0</x:v>
      </x:c>
    </x:row>
    <x:row r="755" ht="20" customHeight="1">
      <x:c r="A755" s="1" t="str">
        <x:v>21212</x:v>
      </x:c>
      <x:c r="B755" s="9" t="d">
        <x:v>2010-12-20T00:00:00.000Z</x:v>
      </x:c>
      <x:c r="C755" s="13" t="n">
        <x:v>991</x:v>
      </x:c>
    </x:row>
    <x:row r="756" ht="20" customHeight="1">
      <x:c r="A756" s="1" t="str">
        <x:v>21212</x:v>
      </x:c>
      <x:c r="B756" s="9" t="d">
        <x:v>2010-12-21T00:00:00.000Z</x:v>
      </x:c>
      <x:c r="C756" s="13" t="n">
        <x:v>300</x:v>
      </x:c>
    </x:row>
    <x:row r="757" ht="20" customHeight="1">
      <x:c r="A757" s="1" t="str">
        <x:v>21212</x:v>
      </x:c>
      <x:c r="B757" s="9" t="d">
        <x:v>2010-12-22T00:00:00.000Z</x:v>
      </x:c>
      <x:c r="C757" s="13" t="n">
        <x:v>24</x:v>
      </x:c>
    </x:row>
    <x:row r="758" ht="20" customHeight="1">
      <x:c r="A758" s="1" t="str">
        <x:v>21212</x:v>
      </x:c>
      <x:c r="B758" s="9" t="d">
        <x:v>2010-12-23T00:00:00.000Z</x:v>
      </x:c>
      <x:c r="C758" s="13" t="n">
        <x:v>48</x:v>
      </x:c>
    </x:row>
    <x:row r="759" ht="20" customHeight="1">
      <x:c r="A759" s="1" t="str">
        <x:v>21212</x:v>
      </x:c>
      <x:c r="B759" s="9" t="d">
        <x:v>2010-12-24T00:00:00.000Z</x:v>
      </x:c>
      <x:c r="C759" s="13" t="n">
        <x:v>0</x:v>
      </x:c>
    </x:row>
    <x:row r="760" ht="20" customHeight="1">
      <x:c r="A760" s="1" t="str">
        <x:v>21212</x:v>
      </x:c>
      <x:c r="B760" s="9" t="d">
        <x:v>2010-12-25T00:00:00.000Z</x:v>
      </x:c>
      <x:c r="C760" s="13" t="n">
        <x:v>0</x:v>
      </x:c>
    </x:row>
    <x:row r="761" ht="20" customHeight="1">
      <x:c r="A761" s="1" t="str">
        <x:v>21212</x:v>
      </x:c>
      <x:c r="B761" s="9" t="d">
        <x:v>2010-12-26T00:00:00.000Z</x:v>
      </x:c>
      <x:c r="C761" s="13" t="n">
        <x:v>0</x:v>
      </x:c>
    </x:row>
    <x:row r="762" ht="20" customHeight="1">
      <x:c r="A762" s="1" t="str">
        <x:v>21212</x:v>
      </x:c>
      <x:c r="B762" s="9" t="d">
        <x:v>2010-12-27T00:00:00.000Z</x:v>
      </x:c>
      <x:c r="C762" s="13" t="n">
        <x:v>0</x:v>
      </x:c>
    </x:row>
    <x:row r="763" ht="20" customHeight="1">
      <x:c r="A763" s="1" t="str">
        <x:v>21212</x:v>
      </x:c>
      <x:c r="B763" s="9" t="d">
        <x:v>2010-12-28T00:00:00.000Z</x:v>
      </x:c>
      <x:c r="C763" s="13" t="n">
        <x:v>0</x:v>
      </x:c>
    </x:row>
    <x:row r="764" ht="20" customHeight="1">
      <x:c r="A764" s="1" t="str">
        <x:v>21212</x:v>
      </x:c>
      <x:c r="B764" s="9" t="d">
        <x:v>2010-12-29T00:00:00.000Z</x:v>
      </x:c>
      <x:c r="C764" s="13" t="n">
        <x:v>0</x:v>
      </x:c>
    </x:row>
    <x:row r="765" ht="20" customHeight="1">
      <x:c r="A765" s="1" t="str">
        <x:v>21212</x:v>
      </x:c>
      <x:c r="B765" s="9" t="d">
        <x:v>2010-12-30T00:00:00.000Z</x:v>
      </x:c>
      <x:c r="C765" s="13" t="n">
        <x:v>0</x:v>
      </x:c>
    </x:row>
    <x:row r="766" ht="20" customHeight="1">
      <x:c r="A766" s="1" t="str">
        <x:v>21212</x:v>
      </x:c>
      <x:c r="B766" s="9" t="d">
        <x:v>2010-12-31T00:00:00.000Z</x:v>
      </x:c>
      <x:c r="C766" s="13" t="n">
        <x:v>0</x:v>
      </x:c>
    </x:row>
    <x:row r="767" ht="20" customHeight="1">
      <x:c r="A767" s="1" t="str">
        <x:v>21212</x:v>
      </x:c>
      <x:c r="B767" s="9" t="d">
        <x:v>2011-01-01T00:00:00.000Z</x:v>
      </x:c>
      <x:c r="C767" s="13" t="n">
        <x:v>0</x:v>
      </x:c>
    </x:row>
    <x:row r="768" ht="20" customHeight="1">
      <x:c r="A768" s="1" t="str">
        <x:v>21212</x:v>
      </x:c>
      <x:c r="B768" s="9" t="d">
        <x:v>2011-01-02T00:00:00.000Z</x:v>
      </x:c>
      <x:c r="C768" s="13" t="n">
        <x:v>0</x:v>
      </x:c>
    </x:row>
    <x:row r="769" ht="20" customHeight="1">
      <x:c r="A769" s="1" t="str">
        <x:v>21212</x:v>
      </x:c>
      <x:c r="B769" s="9" t="d">
        <x:v>2011-01-03T00:00:00.000Z</x:v>
      </x:c>
      <x:c r="C769" s="13" t="n">
        <x:v>0</x:v>
      </x:c>
    </x:row>
    <x:row r="770" ht="20" customHeight="1">
      <x:c r="A770" s="1" t="str">
        <x:v>21212</x:v>
      </x:c>
      <x:c r="B770" s="9" t="d">
        <x:v>2011-01-04T00:00:00.000Z</x:v>
      </x:c>
      <x:c r="C770" s="13" t="n">
        <x:v>25</x:v>
      </x:c>
    </x:row>
    <x:row r="771" ht="20" customHeight="1">
      <x:c r="A771" s="1" t="str">
        <x:v>21212</x:v>
      </x:c>
      <x:c r="B771" s="9" t="d">
        <x:v>2011-01-05T00:00:00.000Z</x:v>
      </x:c>
      <x:c r="C771" s="13" t="n">
        <x:v>24</x:v>
      </x:c>
    </x:row>
    <x:row r="772" ht="20" customHeight="1">
      <x:c r="A772" s="1" t="str">
        <x:v>21212</x:v>
      </x:c>
      <x:c r="B772" s="9" t="d">
        <x:v>2011-01-06T00:00:00.000Z</x:v>
      </x:c>
      <x:c r="C772" s="13" t="n">
        <x:v>80</x:v>
      </x:c>
    </x:row>
    <x:row r="773" ht="20" customHeight="1">
      <x:c r="A773" s="1" t="str">
        <x:v>21212</x:v>
      </x:c>
      <x:c r="B773" s="9" t="d">
        <x:v>2011-01-07T00:00:00.000Z</x:v>
      </x:c>
      <x:c r="C773" s="13" t="n">
        <x:v>171</x:v>
      </x:c>
    </x:row>
    <x:row r="774" ht="20" customHeight="1">
      <x:c r="A774" s="1" t="str">
        <x:v>21212</x:v>
      </x:c>
      <x:c r="B774" s="9" t="d">
        <x:v>2011-01-08T00:00:00.000Z</x:v>
      </x:c>
      <x:c r="C774" s="13" t="n">
        <x:v>0</x:v>
      </x:c>
    </x:row>
    <x:row r="775" ht="20" customHeight="1">
      <x:c r="A775" s="1" t="str">
        <x:v>21212</x:v>
      </x:c>
      <x:c r="B775" s="9" t="d">
        <x:v>2011-01-09T00:00:00.000Z</x:v>
      </x:c>
      <x:c r="C775" s="13" t="n">
        <x:v>24</x:v>
      </x:c>
    </x:row>
    <x:row r="776" ht="20" customHeight="1">
      <x:c r="A776" s="1" t="str">
        <x:v>21212</x:v>
      </x:c>
      <x:c r="B776" s="9" t="d">
        <x:v>2011-01-10T00:00:00.000Z</x:v>
      </x:c>
      <x:c r="C776" s="13" t="n">
        <x:v>28</x:v>
      </x:c>
    </x:row>
    <x:row r="777" ht="20" customHeight="1">
      <x:c r="A777" s="1" t="str">
        <x:v>21212</x:v>
      </x:c>
      <x:c r="B777" s="9" t="d">
        <x:v>2011-01-11T00:00:00.000Z</x:v>
      </x:c>
      <x:c r="C777" s="13" t="n">
        <x:v>169</x:v>
      </x:c>
    </x:row>
    <x:row r="778" ht="20" customHeight="1">
      <x:c r="A778" s="1" t="str">
        <x:v>21212</x:v>
      </x:c>
      <x:c r="B778" s="9" t="d">
        <x:v>2011-01-12T00:00:00.000Z</x:v>
      </x:c>
      <x:c r="C778" s="13" t="n">
        <x:v>178</x:v>
      </x:c>
    </x:row>
    <x:row r="779" ht="20" customHeight="1">
      <x:c r="A779" s="1" t="str">
        <x:v>21212</x:v>
      </x:c>
      <x:c r="B779" s="9" t="d">
        <x:v>2011-01-13T00:00:00.000Z</x:v>
      </x:c>
      <x:c r="C779" s="13" t="n">
        <x:v>73</x:v>
      </x:c>
    </x:row>
    <x:row r="780" ht="20" customHeight="1">
      <x:c r="A780" s="1" t="str">
        <x:v>21212</x:v>
      </x:c>
      <x:c r="B780" s="9" t="d">
        <x:v>2011-01-14T00:00:00.000Z</x:v>
      </x:c>
      <x:c r="C780" s="13" t="n">
        <x:v>170</x:v>
      </x:c>
    </x:row>
    <x:row r="781" ht="20" customHeight="1">
      <x:c r="A781" s="1" t="str">
        <x:v>21212</x:v>
      </x:c>
      <x:c r="B781" s="9" t="d">
        <x:v>2011-01-15T00:00:00.000Z</x:v>
      </x:c>
      <x:c r="C781" s="13" t="n">
        <x:v>0</x:v>
      </x:c>
    </x:row>
    <x:row r="782" ht="20" customHeight="1">
      <x:c r="A782" s="1" t="str">
        <x:v>21212</x:v>
      </x:c>
      <x:c r="B782" s="9" t="d">
        <x:v>2011-01-16T00:00:00.000Z</x:v>
      </x:c>
      <x:c r="C782" s="13" t="n">
        <x:v>0</x:v>
      </x:c>
    </x:row>
    <x:row r="783" ht="20" customHeight="1">
      <x:c r="A783" s="1" t="str">
        <x:v>21212</x:v>
      </x:c>
      <x:c r="B783" s="9" t="d">
        <x:v>2011-01-17T00:00:00.000Z</x:v>
      </x:c>
      <x:c r="C783" s="13" t="n">
        <x:v>2</x:v>
      </x:c>
    </x:row>
    <x:row r="784" ht="20" customHeight="1">
      <x:c r="A784" s="1" t="str">
        <x:v>21212</x:v>
      </x:c>
      <x:c r="B784" s="9" t="d">
        <x:v>2011-01-18T00:00:00.000Z</x:v>
      </x:c>
      <x:c r="C784" s="13" t="n">
        <x:v>73</x:v>
      </x:c>
    </x:row>
    <x:row r="785" ht="20" customHeight="1">
      <x:c r="A785" s="1" t="str">
        <x:v>21212</x:v>
      </x:c>
      <x:c r="B785" s="9" t="d">
        <x:v>2011-01-19T00:00:00.000Z</x:v>
      </x:c>
      <x:c r="C785" s="13" t="n">
        <x:v>1540</x:v>
      </x:c>
    </x:row>
    <x:row r="786" ht="20" customHeight="1">
      <x:c r="A786" s="1" t="str">
        <x:v>21212</x:v>
      </x:c>
      <x:c r="B786" s="9" t="d">
        <x:v>2011-01-20T00:00:00.000Z</x:v>
      </x:c>
      <x:c r="C786" s="13" t="n">
        <x:v>1</x:v>
      </x:c>
    </x:row>
    <x:row r="787" ht="20" customHeight="1">
      <x:c r="A787" s="1" t="str">
        <x:v>21212</x:v>
      </x:c>
      <x:c r="B787" s="9" t="d">
        <x:v>2011-01-21T00:00:00.000Z</x:v>
      </x:c>
      <x:c r="C787" s="13" t="n">
        <x:v>129</x:v>
      </x:c>
    </x:row>
    <x:row r="788" ht="20" customHeight="1">
      <x:c r="A788" s="1" t="str">
        <x:v>21212</x:v>
      </x:c>
      <x:c r="B788" s="9" t="d">
        <x:v>2011-01-22T00:00:00.000Z</x:v>
      </x:c>
      <x:c r="C788" s="13" t="n">
        <x:v>0</x:v>
      </x:c>
    </x:row>
    <x:row r="789" ht="20" customHeight="1">
      <x:c r="A789" s="1" t="str">
        <x:v>21212</x:v>
      </x:c>
      <x:c r="B789" s="9" t="d">
        <x:v>2011-01-23T00:00:00.000Z</x:v>
      </x:c>
      <x:c r="C789" s="13" t="n">
        <x:v>8</x:v>
      </x:c>
    </x:row>
    <x:row r="790" ht="20" customHeight="1">
      <x:c r="A790" s="1" t="str">
        <x:v>21212</x:v>
      </x:c>
      <x:c r="B790" s="9" t="d">
        <x:v>2011-01-24T00:00:00.000Z</x:v>
      </x:c>
      <x:c r="C790" s="13" t="n">
        <x:v>170</x:v>
      </x:c>
    </x:row>
    <x:row r="791" ht="20" customHeight="1">
      <x:c r="A791" s="1" t="str">
        <x:v>21212</x:v>
      </x:c>
      <x:c r="B791" s="9" t="d">
        <x:v>2011-01-25T00:00:00.000Z</x:v>
      </x:c>
      <x:c r="C791" s="13" t="n">
        <x:v>149</x:v>
      </x:c>
    </x:row>
    <x:row r="792" ht="20" customHeight="1">
      <x:c r="A792" s="1" t="str">
        <x:v>21212</x:v>
      </x:c>
      <x:c r="B792" s="9" t="d">
        <x:v>2011-01-26T00:00:00.000Z</x:v>
      </x:c>
      <x:c r="C792" s="13" t="n">
        <x:v>169</x:v>
      </x:c>
    </x:row>
    <x:row r="793" ht="20" customHeight="1">
      <x:c r="A793" s="1" t="str">
        <x:v>21212</x:v>
      </x:c>
      <x:c r="B793" s="9" t="d">
        <x:v>2011-01-27T00:00:00.000Z</x:v>
      </x:c>
      <x:c r="C793" s="13" t="n">
        <x:v>47</x:v>
      </x:c>
    </x:row>
    <x:row r="794" ht="20" customHeight="1">
      <x:c r="A794" s="1" t="str">
        <x:v>21212</x:v>
      </x:c>
      <x:c r="B794" s="9" t="d">
        <x:v>2011-01-28T00:00:00.000Z</x:v>
      </x:c>
      <x:c r="C794" s="13" t="n">
        <x:v>16</x:v>
      </x:c>
    </x:row>
    <x:row r="795" ht="20" customHeight="1">
      <x:c r="A795" s="1" t="str">
        <x:v>21212</x:v>
      </x:c>
      <x:c r="B795" s="9" t="d">
        <x:v>2011-01-29T00:00:00.000Z</x:v>
      </x:c>
      <x:c r="C795" s="13" t="n">
        <x:v>0</x:v>
      </x:c>
    </x:row>
    <x:row r="796" ht="20" customHeight="1">
      <x:c r="A796" s="1" t="str">
        <x:v>21212</x:v>
      </x:c>
      <x:c r="B796" s="9" t="d">
        <x:v>2011-01-30T00:00:00.000Z</x:v>
      </x:c>
      <x:c r="C796" s="13" t="n">
        <x:v>4</x:v>
      </x:c>
    </x:row>
    <x:row r="797" ht="20" customHeight="1">
      <x:c r="A797" s="1" t="str">
        <x:v>21212</x:v>
      </x:c>
      <x:c r="B797" s="9" t="d">
        <x:v>2011-01-31T00:00:00.000Z</x:v>
      </x:c>
      <x:c r="C797" s="13" t="n">
        <x:v>158</x:v>
      </x:c>
    </x:row>
    <x:row r="798" ht="20" customHeight="1">
      <x:c r="A798" s="1" t="str">
        <x:v>21212</x:v>
      </x:c>
      <x:c r="B798" s="9" t="d">
        <x:v>2011-02-01T00:00:00.000Z</x:v>
      </x:c>
      <x:c r="C798" s="13" t="n">
        <x:v>148</x:v>
      </x:c>
    </x:row>
    <x:row r="799" ht="20" customHeight="1">
      <x:c r="A799" s="1" t="str">
        <x:v>21212</x:v>
      </x:c>
      <x:c r="B799" s="9" t="d">
        <x:v>2011-02-02T00:00:00.000Z</x:v>
      </x:c>
      <x:c r="C799" s="13" t="n">
        <x:v>2</x:v>
      </x:c>
    </x:row>
    <x:row r="800" ht="20" customHeight="1">
      <x:c r="A800" s="1" t="str">
        <x:v>21212</x:v>
      </x:c>
      <x:c r="B800" s="9" t="d">
        <x:v>2011-02-03T00:00:00.000Z</x:v>
      </x:c>
      <x:c r="C800" s="13" t="n">
        <x:v>160</x:v>
      </x:c>
    </x:row>
    <x:row r="801" ht="20" customHeight="1">
      <x:c r="A801" s="1" t="str">
        <x:v>21212</x:v>
      </x:c>
      <x:c r="B801" s="9" t="d">
        <x:v>2011-02-04T00:00:00.000Z</x:v>
      </x:c>
      <x:c r="C801" s="13" t="n">
        <x:v>90</x:v>
      </x:c>
    </x:row>
    <x:row r="802" ht="20" customHeight="1">
      <x:c r="A802" s="1" t="str">
        <x:v>21212</x:v>
      </x:c>
      <x:c r="B802" s="9" t="d">
        <x:v>2011-02-05T00:00:00.000Z</x:v>
      </x:c>
      <x:c r="C802" s="13" t="n">
        <x:v>0</x:v>
      </x:c>
    </x:row>
    <x:row r="803" ht="20" customHeight="1">
      <x:c r="A803" s="1" t="str">
        <x:v>21212</x:v>
      </x:c>
      <x:c r="B803" s="9" t="d">
        <x:v>2011-02-06T00:00:00.000Z</x:v>
      </x:c>
      <x:c r="C803" s="13" t="n">
        <x:v>0</x:v>
      </x:c>
    </x:row>
    <x:row r="804" ht="20" customHeight="1">
      <x:c r="A804" s="1" t="str">
        <x:v>21212</x:v>
      </x:c>
      <x:c r="B804" s="9" t="d">
        <x:v>2011-02-07T00:00:00.000Z</x:v>
      </x:c>
      <x:c r="C804" s="13" t="n">
        <x:v>50</x:v>
      </x:c>
    </x:row>
    <x:row r="805" ht="20" customHeight="1">
      <x:c r="A805" s="1" t="str">
        <x:v>21212</x:v>
      </x:c>
      <x:c r="B805" s="9" t="d">
        <x:v>2011-02-08T00:00:00.000Z</x:v>
      </x:c>
      <x:c r="C805" s="13" t="n">
        <x:v>58</x:v>
      </x:c>
    </x:row>
    <x:row r="806" ht="20" customHeight="1">
      <x:c r="A806" s="1" t="str">
        <x:v>21212</x:v>
      </x:c>
      <x:c r="B806" s="9" t="d">
        <x:v>2011-02-09T00:00:00.000Z</x:v>
      </x:c>
      <x:c r="C806" s="13" t="n">
        <x:v>53</x:v>
      </x:c>
    </x:row>
    <x:row r="807" ht="20" customHeight="1">
      <x:c r="A807" s="1" t="str">
        <x:v>21212</x:v>
      </x:c>
      <x:c r="B807" s="9" t="d">
        <x:v>2011-02-10T00:00:00.000Z</x:v>
      </x:c>
      <x:c r="C807" s="13" t="n">
        <x:v>26</x:v>
      </x:c>
    </x:row>
    <x:row r="808" ht="20" customHeight="1">
      <x:c r="A808" s="1" t="str">
        <x:v>21212</x:v>
      </x:c>
      <x:c r="B808" s="9" t="d">
        <x:v>2011-02-11T00:00:00.000Z</x:v>
      </x:c>
      <x:c r="C808" s="13" t="n">
        <x:v>134</x:v>
      </x:c>
    </x:row>
    <x:row r="809" ht="20" customHeight="1">
      <x:c r="A809" s="1" t="str">
        <x:v>21212</x:v>
      </x:c>
      <x:c r="B809" s="9" t="d">
        <x:v>2011-02-12T00:00:00.000Z</x:v>
      </x:c>
      <x:c r="C809" s="13" t="n">
        <x:v>0</x:v>
      </x:c>
    </x:row>
    <x:row r="810" ht="20" customHeight="1">
      <x:c r="A810" s="1" t="str">
        <x:v>21212</x:v>
      </x:c>
      <x:c r="B810" s="9" t="d">
        <x:v>2011-02-13T00:00:00.000Z</x:v>
      </x:c>
      <x:c r="C810" s="13" t="n">
        <x:v>26</x:v>
      </x:c>
    </x:row>
    <x:row r="811" ht="20" customHeight="1">
      <x:c r="A811" s="1" t="str">
        <x:v>21212</x:v>
      </x:c>
      <x:c r="B811" s="9" t="d">
        <x:v>2011-02-14T00:00:00.000Z</x:v>
      </x:c>
      <x:c r="C811" s="13" t="n">
        <x:v>102</x:v>
      </x:c>
    </x:row>
    <x:row r="812" ht="20" customHeight="1">
      <x:c r="A812" s="1" t="str">
        <x:v>21212</x:v>
      </x:c>
      <x:c r="B812" s="9" t="d">
        <x:v>2011-02-15T00:00:00.000Z</x:v>
      </x:c>
      <x:c r="C812" s="13" t="n">
        <x:v>144</x:v>
      </x:c>
    </x:row>
    <x:row r="813" ht="20" customHeight="1">
      <x:c r="A813" s="1" t="str">
        <x:v>21212</x:v>
      </x:c>
      <x:c r="B813" s="9" t="d">
        <x:v>2011-02-16T00:00:00.000Z</x:v>
      </x:c>
      <x:c r="C813" s="13" t="n">
        <x:v>27</x:v>
      </x:c>
    </x:row>
    <x:row r="814" ht="20" customHeight="1">
      <x:c r="A814" s="1" t="str">
        <x:v>21212</x:v>
      </x:c>
      <x:c r="B814" s="9" t="d">
        <x:v>2011-02-17T00:00:00.000Z</x:v>
      </x:c>
      <x:c r="C814" s="13" t="n">
        <x:v>43</x:v>
      </x:c>
    </x:row>
    <x:row r="815" ht="20" customHeight="1">
      <x:c r="A815" s="1" t="str">
        <x:v>21212</x:v>
      </x:c>
      <x:c r="B815" s="9" t="d">
        <x:v>2011-02-18T00:00:00.000Z</x:v>
      </x:c>
      <x:c r="C815" s="13" t="n">
        <x:v>197</x:v>
      </x:c>
    </x:row>
    <x:row r="816" ht="20" customHeight="1">
      <x:c r="A816" s="1" t="str">
        <x:v>21212</x:v>
      </x:c>
      <x:c r="B816" s="9" t="d">
        <x:v>2011-02-19T00:00:00.000Z</x:v>
      </x:c>
      <x:c r="C816" s="13" t="n">
        <x:v>0</x:v>
      </x:c>
    </x:row>
    <x:row r="817" ht="20" customHeight="1">
      <x:c r="A817" s="1" t="str">
        <x:v>21212</x:v>
      </x:c>
      <x:c r="B817" s="9" t="d">
        <x:v>2011-02-20T00:00:00.000Z</x:v>
      </x:c>
      <x:c r="C817" s="13" t="n">
        <x:v>13</x:v>
      </x:c>
    </x:row>
    <x:row r="818" ht="20" customHeight="1">
      <x:c r="A818" s="1" t="str">
        <x:v>21212</x:v>
      </x:c>
      <x:c r="B818" s="9" t="d">
        <x:v>2011-02-21T00:00:00.000Z</x:v>
      </x:c>
      <x:c r="C818" s="13" t="n">
        <x:v>47</x:v>
      </x:c>
    </x:row>
    <x:row r="819" ht="20" customHeight="1">
      <x:c r="A819" s="1" t="str">
        <x:v>21212</x:v>
      </x:c>
      <x:c r="B819" s="9" t="d">
        <x:v>2011-02-22T00:00:00.000Z</x:v>
      </x:c>
      <x:c r="C819" s="13" t="n">
        <x:v>339</x:v>
      </x:c>
    </x:row>
    <x:row r="820" ht="20" customHeight="1">
      <x:c r="A820" s="1" t="str">
        <x:v>21212</x:v>
      </x:c>
      <x:c r="B820" s="9" t="d">
        <x:v>2011-02-23T00:00:00.000Z</x:v>
      </x:c>
      <x:c r="C820" s="13" t="n">
        <x:v>82</x:v>
      </x:c>
    </x:row>
    <x:row r="821" ht="20" customHeight="1">
      <x:c r="A821" s="1" t="str">
        <x:v>21212</x:v>
      </x:c>
      <x:c r="B821" s="9" t="d">
        <x:v>2011-02-24T00:00:00.000Z</x:v>
      </x:c>
      <x:c r="C821" s="13" t="n">
        <x:v>74</x:v>
      </x:c>
    </x:row>
    <x:row r="822" ht="20" customHeight="1">
      <x:c r="A822" s="1" t="str">
        <x:v>21212</x:v>
      </x:c>
      <x:c r="B822" s="9" t="d">
        <x:v>2011-02-25T00:00:00.000Z</x:v>
      </x:c>
      <x:c r="C822" s="13" t="n">
        <x:v>76</x:v>
      </x:c>
    </x:row>
    <x:row r="823" ht="20" customHeight="1">
      <x:c r="A823" s="1" t="str">
        <x:v>21212</x:v>
      </x:c>
      <x:c r="B823" s="9" t="d">
        <x:v>2011-02-26T00:00:00.000Z</x:v>
      </x:c>
      <x:c r="C823" s="13" t="n">
        <x:v>0</x:v>
      </x:c>
    </x:row>
    <x:row r="824" ht="20" customHeight="1">
      <x:c r="A824" s="1" t="str">
        <x:v>21212</x:v>
      </x:c>
      <x:c r="B824" s="9" t="d">
        <x:v>2011-02-27T00:00:00.000Z</x:v>
      </x:c>
      <x:c r="C824" s="13" t="n">
        <x:v>100</x:v>
      </x:c>
    </x:row>
    <x:row r="825" ht="20" customHeight="1">
      <x:c r="A825" s="1" t="str">
        <x:v>21212</x:v>
      </x:c>
      <x:c r="B825" s="9" t="d">
        <x:v>2011-02-28T00:00:00.000Z</x:v>
      </x:c>
      <x:c r="C825" s="13" t="n">
        <x:v>104</x:v>
      </x:c>
    </x:row>
    <x:row r="826" ht="20" customHeight="1">
      <x:c r="A826" s="1" t="str">
        <x:v>21212</x:v>
      </x:c>
      <x:c r="B826" s="9" t="d">
        <x:v>2011-03-01T00:00:00.000Z</x:v>
      </x:c>
      <x:c r="C826" s="13" t="n">
        <x:v>120</x:v>
      </x:c>
    </x:row>
    <x:row r="827" ht="20" customHeight="1">
      <x:c r="A827" s="1" t="str">
        <x:v>21212</x:v>
      </x:c>
      <x:c r="B827" s="9" t="d">
        <x:v>2011-03-02T00:00:00.000Z</x:v>
      </x:c>
      <x:c r="C827" s="13" t="n">
        <x:v>121</x:v>
      </x:c>
    </x:row>
    <x:row r="828" ht="20" customHeight="1">
      <x:c r="A828" s="1" t="str">
        <x:v>21212</x:v>
      </x:c>
      <x:c r="B828" s="9" t="d">
        <x:v>2011-03-03T00:00:00.000Z</x:v>
      </x:c>
      <x:c r="C828" s="13" t="n">
        <x:v>25</x:v>
      </x:c>
    </x:row>
    <x:row r="829" ht="20" customHeight="1">
      <x:c r="A829" s="1" t="str">
        <x:v>21212</x:v>
      </x:c>
      <x:c r="B829" s="9" t="d">
        <x:v>2011-03-04T00:00:00.000Z</x:v>
      </x:c>
      <x:c r="C829" s="13" t="n">
        <x:v>199</x:v>
      </x:c>
    </x:row>
    <x:row r="830" ht="20" customHeight="1">
      <x:c r="A830" s="1" t="str">
        <x:v>21212</x:v>
      </x:c>
      <x:c r="B830" s="9" t="d">
        <x:v>2011-03-05T00:00:00.000Z</x:v>
      </x:c>
      <x:c r="C830" s="13" t="n">
        <x:v>0</x:v>
      </x:c>
    </x:row>
    <x:row r="831" ht="20" customHeight="1">
      <x:c r="A831" s="1" t="str">
        <x:v>21212</x:v>
      </x:c>
      <x:c r="B831" s="9" t="d">
        <x:v>2011-03-06T00:00:00.000Z</x:v>
      </x:c>
      <x:c r="C831" s="13" t="n">
        <x:v>120</x:v>
      </x:c>
    </x:row>
    <x:row r="832" ht="20" customHeight="1">
      <x:c r="A832" s="1" t="str">
        <x:v>21212</x:v>
      </x:c>
      <x:c r="B832" s="9" t="d">
        <x:v>2011-03-07T00:00:00.000Z</x:v>
      </x:c>
      <x:c r="C832" s="13" t="n">
        <x:v>86</x:v>
      </x:c>
    </x:row>
    <x:row r="833" ht="20" customHeight="1">
      <x:c r="A833" s="1" t="str">
        <x:v>21212</x:v>
      </x:c>
      <x:c r="B833" s="9" t="d">
        <x:v>2011-03-08T00:00:00.000Z</x:v>
      </x:c>
      <x:c r="C833" s="13" t="n">
        <x:v>229</x:v>
      </x:c>
    </x:row>
    <x:row r="834" ht="20" customHeight="1">
      <x:c r="A834" s="1" t="str">
        <x:v>21212</x:v>
      </x:c>
      <x:c r="B834" s="9" t="d">
        <x:v>2011-03-09T00:00:00.000Z</x:v>
      </x:c>
      <x:c r="C834" s="13" t="n">
        <x:v>97</x:v>
      </x:c>
    </x:row>
    <x:row r="835" ht="20" customHeight="1">
      <x:c r="A835" s="1" t="str">
        <x:v>21212</x:v>
      </x:c>
      <x:c r="B835" s="9" t="d">
        <x:v>2011-03-10T00:00:00.000Z</x:v>
      </x:c>
      <x:c r="C835" s="13" t="n">
        <x:v>336</x:v>
      </x:c>
    </x:row>
    <x:row r="836" ht="20" customHeight="1">
      <x:c r="A836" s="1" t="str">
        <x:v>21212</x:v>
      </x:c>
      <x:c r="B836" s="9" t="d">
        <x:v>2011-03-11T00:00:00.000Z</x:v>
      </x:c>
      <x:c r="C836" s="13" t="n">
        <x:v>64</x:v>
      </x:c>
    </x:row>
    <x:row r="837" ht="20" customHeight="1">
      <x:c r="A837" s="1" t="str">
        <x:v>21212</x:v>
      </x:c>
      <x:c r="B837" s="9" t="d">
        <x:v>2011-03-12T00:00:00.000Z</x:v>
      </x:c>
      <x:c r="C837" s="13" t="n">
        <x:v>0</x:v>
      </x:c>
    </x:row>
    <x:row r="838" ht="20" customHeight="1">
      <x:c r="A838" s="1" t="str">
        <x:v>21212</x:v>
      </x:c>
      <x:c r="B838" s="9" t="d">
        <x:v>2011-03-13T00:00:00.000Z</x:v>
      </x:c>
      <x:c r="C838" s="13" t="n">
        <x:v>1</x:v>
      </x:c>
    </x:row>
    <x:row r="839" ht="20" customHeight="1">
      <x:c r="A839" s="1" t="str">
        <x:v>21212</x:v>
      </x:c>
      <x:c r="B839" s="9" t="d">
        <x:v>2011-03-14T00:00:00.000Z</x:v>
      </x:c>
      <x:c r="C839" s="13" t="n">
        <x:v>555</x:v>
      </x:c>
    </x:row>
    <x:row r="840" ht="20" customHeight="1">
      <x:c r="A840" s="1" t="str">
        <x:v>21212</x:v>
      </x:c>
      <x:c r="B840" s="9" t="d">
        <x:v>2011-03-15T00:00:00.000Z</x:v>
      </x:c>
      <x:c r="C840" s="13" t="n">
        <x:v>100</x:v>
      </x:c>
    </x:row>
    <x:row r="841" ht="20" customHeight="1">
      <x:c r="A841" s="1" t="str">
        <x:v>21212</x:v>
      </x:c>
      <x:c r="B841" s="9" t="d">
        <x:v>2011-03-16T00:00:00.000Z</x:v>
      </x:c>
      <x:c r="C841" s="13" t="n">
        <x:v>360</x:v>
      </x:c>
    </x:row>
    <x:row r="842" ht="20" customHeight="1">
      <x:c r="A842" s="1" t="str">
        <x:v>21212</x:v>
      </x:c>
      <x:c r="B842" s="9" t="d">
        <x:v>2011-03-17T00:00:00.000Z</x:v>
      </x:c>
      <x:c r="C842" s="13" t="n">
        <x:v>27</x:v>
      </x:c>
    </x:row>
    <x:row r="843" ht="20" customHeight="1">
      <x:c r="A843" s="1" t="str">
        <x:v>21212</x:v>
      </x:c>
      <x:c r="B843" s="9" t="d">
        <x:v>2011-03-18T00:00:00.000Z</x:v>
      </x:c>
      <x:c r="C843" s="13" t="n">
        <x:v>35</x:v>
      </x:c>
    </x:row>
    <x:row r="844" ht="20" customHeight="1">
      <x:c r="A844" s="1" t="str">
        <x:v>21212</x:v>
      </x:c>
      <x:c r="B844" s="9" t="d">
        <x:v>2011-03-19T00:00:00.000Z</x:v>
      </x:c>
      <x:c r="C844" s="13" t="n">
        <x:v>0</x:v>
      </x:c>
    </x:row>
    <x:row r="845" ht="20" customHeight="1">
      <x:c r="A845" s="1" t="str">
        <x:v>21212</x:v>
      </x:c>
      <x:c r="B845" s="9" t="d">
        <x:v>2011-03-20T00:00:00.000Z</x:v>
      </x:c>
      <x:c r="C845" s="13" t="n">
        <x:v>226</x:v>
      </x:c>
    </x:row>
    <x:row r="846" ht="20" customHeight="1">
      <x:c r="A846" s="1" t="str">
        <x:v>21212</x:v>
      </x:c>
      <x:c r="B846" s="9" t="d">
        <x:v>2011-03-21T00:00:00.000Z</x:v>
      </x:c>
      <x:c r="C846" s="13" t="n">
        <x:v>53</x:v>
      </x:c>
    </x:row>
    <x:row r="847" ht="20" customHeight="1">
      <x:c r="A847" s="1" t="str">
        <x:v>21212</x:v>
      </x:c>
      <x:c r="B847" s="9" t="d">
        <x:v>2011-03-22T00:00:00.000Z</x:v>
      </x:c>
      <x:c r="C847" s="13" t="n">
        <x:v>59</x:v>
      </x:c>
    </x:row>
    <x:row r="848" ht="20" customHeight="1">
      <x:c r="A848" s="1" t="str">
        <x:v>21212</x:v>
      </x:c>
      <x:c r="B848" s="9" t="d">
        <x:v>2011-03-23T00:00:00.000Z</x:v>
      </x:c>
      <x:c r="C848" s="13" t="n">
        <x:v>125</x:v>
      </x:c>
    </x:row>
    <x:row r="849" ht="20" customHeight="1">
      <x:c r="A849" s="1" t="str">
        <x:v>21212</x:v>
      </x:c>
      <x:c r="B849" s="9" t="d">
        <x:v>2011-03-24T00:00:00.000Z</x:v>
      </x:c>
      <x:c r="C849" s="13" t="n">
        <x:v>211</x:v>
      </x:c>
    </x:row>
    <x:row r="850" ht="20" customHeight="1">
      <x:c r="A850" s="1" t="str">
        <x:v>21212</x:v>
      </x:c>
      <x:c r="B850" s="9" t="d">
        <x:v>2011-03-25T00:00:00.000Z</x:v>
      </x:c>
      <x:c r="C850" s="13" t="n">
        <x:v>51</x:v>
      </x:c>
    </x:row>
    <x:row r="851" ht="20" customHeight="1">
      <x:c r="A851" s="1" t="str">
        <x:v>21212</x:v>
      </x:c>
      <x:c r="B851" s="9" t="d">
        <x:v>2011-03-26T00:00:00.000Z</x:v>
      </x:c>
      <x:c r="C851" s="13" t="n">
        <x:v>0</x:v>
      </x:c>
    </x:row>
    <x:row r="852" ht="20" customHeight="1">
      <x:c r="A852" s="1" t="str">
        <x:v>21212</x:v>
      </x:c>
      <x:c r="B852" s="9" t="d">
        <x:v>2011-03-27T00:00:00.000Z</x:v>
      </x:c>
      <x:c r="C852" s="13" t="n">
        <x:v>28</x:v>
      </x:c>
    </x:row>
    <x:row r="853" ht="20" customHeight="1">
      <x:c r="A853" s="1" t="str">
        <x:v>21212</x:v>
      </x:c>
      <x:c r="B853" s="9" t="d">
        <x:v>2011-03-28T00:00:00.000Z</x:v>
      </x:c>
      <x:c r="C853" s="13" t="n">
        <x:v>50</x:v>
      </x:c>
    </x:row>
    <x:row r="854" ht="20" customHeight="1">
      <x:c r="A854" s="1" t="str">
        <x:v>21212</x:v>
      </x:c>
      <x:c r="B854" s="9" t="d">
        <x:v>2011-03-29T00:00:00.000Z</x:v>
      </x:c>
      <x:c r="C854" s="13" t="n">
        <x:v>524</x:v>
      </x:c>
    </x:row>
    <x:row r="855" ht="20" customHeight="1">
      <x:c r="A855" s="1" t="str">
        <x:v>21212</x:v>
      </x:c>
      <x:c r="B855" s="9" t="d">
        <x:v>2011-03-30T00:00:00.000Z</x:v>
      </x:c>
      <x:c r="C855" s="13" t="n">
        <x:v>78</x:v>
      </x:c>
    </x:row>
    <x:row r="856" ht="20" customHeight="1">
      <x:c r="A856" s="1" t="str">
        <x:v>21212</x:v>
      </x:c>
      <x:c r="B856" s="9" t="d">
        <x:v>2011-03-31T00:00:00.000Z</x:v>
      </x:c>
      <x:c r="C856" s="13" t="n">
        <x:v>94</x:v>
      </x:c>
    </x:row>
    <x:row r="857" ht="20" customHeight="1">
      <x:c r="A857" s="1" t="str">
        <x:v>21212</x:v>
      </x:c>
      <x:c r="B857" s="9" t="d">
        <x:v>2011-04-01T00:00:00.000Z</x:v>
      </x:c>
      <x:c r="C857" s="13" t="n">
        <x:v>30</x:v>
      </x:c>
    </x:row>
    <x:row r="858" ht="20" customHeight="1">
      <x:c r="A858" s="1" t="str">
        <x:v>21212</x:v>
      </x:c>
      <x:c r="B858" s="9" t="d">
        <x:v>2011-04-02T00:00:00.000Z</x:v>
      </x:c>
      <x:c r="C858" s="13" t="n">
        <x:v>0</x:v>
      </x:c>
    </x:row>
    <x:row r="859" ht="20" customHeight="1">
      <x:c r="A859" s="1" t="str">
        <x:v>21212</x:v>
      </x:c>
      <x:c r="B859" s="9" t="d">
        <x:v>2011-04-03T00:00:00.000Z</x:v>
      </x:c>
      <x:c r="C859" s="13" t="n">
        <x:v>9</x:v>
      </x:c>
    </x:row>
    <x:row r="860" ht="20" customHeight="1">
      <x:c r="A860" s="1" t="str">
        <x:v>21212</x:v>
      </x:c>
      <x:c r="B860" s="9" t="d">
        <x:v>2011-04-04T00:00:00.000Z</x:v>
      </x:c>
      <x:c r="C860" s="13" t="n">
        <x:v>294</x:v>
      </x:c>
    </x:row>
    <x:row r="861" ht="20" customHeight="1">
      <x:c r="A861" s="1" t="str">
        <x:v>21212</x:v>
      </x:c>
      <x:c r="B861" s="9" t="d">
        <x:v>2011-04-05T00:00:00.000Z</x:v>
      </x:c>
      <x:c r="C861" s="13" t="n">
        <x:v>98</x:v>
      </x:c>
    </x:row>
    <x:row r="862" ht="20" customHeight="1">
      <x:c r="A862" s="1" t="str">
        <x:v>21212</x:v>
      </x:c>
      <x:c r="B862" s="9" t="d">
        <x:v>2011-04-06T00:00:00.000Z</x:v>
      </x:c>
      <x:c r="C862" s="13" t="n">
        <x:v>162</x:v>
      </x:c>
    </x:row>
    <x:row r="863" ht="20" customHeight="1">
      <x:c r="A863" s="1" t="str">
        <x:v>21212</x:v>
      </x:c>
      <x:c r="B863" s="9" t="d">
        <x:v>2011-04-07T00:00:00.000Z</x:v>
      </x:c>
      <x:c r="C863" s="13" t="n">
        <x:v>12</x:v>
      </x:c>
    </x:row>
    <x:row r="864" ht="20" customHeight="1">
      <x:c r="A864" s="1" t="str">
        <x:v>21212</x:v>
      </x:c>
      <x:c r="B864" s="9" t="d">
        <x:v>2011-04-08T00:00:00.000Z</x:v>
      </x:c>
      <x:c r="C864" s="13" t="n">
        <x:v>76</x:v>
      </x:c>
    </x:row>
    <x:row r="865" ht="20" customHeight="1">
      <x:c r="A865" s="1" t="str">
        <x:v>21212</x:v>
      </x:c>
      <x:c r="B865" s="9" t="d">
        <x:v>2011-04-09T00:00:00.000Z</x:v>
      </x:c>
      <x:c r="C865" s="13" t="n">
        <x:v>0</x:v>
      </x:c>
    </x:row>
    <x:row r="866" ht="20" customHeight="1">
      <x:c r="A866" s="1" t="str">
        <x:v>21212</x:v>
      </x:c>
      <x:c r="B866" s="9" t="d">
        <x:v>2011-04-10T00:00:00.000Z</x:v>
      </x:c>
      <x:c r="C866" s="13" t="n">
        <x:v>25</x:v>
      </x:c>
    </x:row>
    <x:row r="867" ht="20" customHeight="1">
      <x:c r="A867" s="1" t="str">
        <x:v>21212</x:v>
      </x:c>
      <x:c r="B867" s="9" t="d">
        <x:v>2011-04-11T00:00:00.000Z</x:v>
      </x:c>
      <x:c r="C867" s="13" t="n">
        <x:v>129</x:v>
      </x:c>
    </x:row>
    <x:row r="868" ht="20" customHeight="1">
      <x:c r="A868" s="1" t="str">
        <x:v>21212</x:v>
      </x:c>
      <x:c r="B868" s="9" t="d">
        <x:v>2011-04-12T00:00:00.000Z</x:v>
      </x:c>
      <x:c r="C868" s="13" t="n">
        <x:v>86</x:v>
      </x:c>
    </x:row>
    <x:row r="869" ht="20" customHeight="1">
      <x:c r="A869" s="1" t="str">
        <x:v>21212</x:v>
      </x:c>
      <x:c r="B869" s="9" t="d">
        <x:v>2011-04-13T00:00:00.000Z</x:v>
      </x:c>
      <x:c r="C869" s="13" t="n">
        <x:v>24</x:v>
      </x:c>
    </x:row>
    <x:row r="870" ht="20" customHeight="1">
      <x:c r="A870" s="1" t="str">
        <x:v>21212</x:v>
      </x:c>
      <x:c r="B870" s="9" t="d">
        <x:v>2011-04-14T00:00:00.000Z</x:v>
      </x:c>
      <x:c r="C870" s="13" t="n">
        <x:v>240</x:v>
      </x:c>
    </x:row>
    <x:row r="871" ht="20" customHeight="1">
      <x:c r="A871" s="1" t="str">
        <x:v>21212</x:v>
      </x:c>
      <x:c r="B871" s="9" t="d">
        <x:v>2011-04-15T00:00:00.000Z</x:v>
      </x:c>
      <x:c r="C871" s="13" t="n">
        <x:v>65</x:v>
      </x:c>
    </x:row>
    <x:row r="872" ht="20" customHeight="1">
      <x:c r="A872" s="1" t="str">
        <x:v>21212</x:v>
      </x:c>
      <x:c r="B872" s="9" t="d">
        <x:v>2011-04-16T00:00:00.000Z</x:v>
      </x:c>
      <x:c r="C872" s="13" t="n">
        <x:v>0</x:v>
      </x:c>
    </x:row>
    <x:row r="873" ht="20" customHeight="1">
      <x:c r="A873" s="1" t="str">
        <x:v>21212</x:v>
      </x:c>
      <x:c r="B873" s="9" t="d">
        <x:v>2011-04-17T00:00:00.000Z</x:v>
      </x:c>
      <x:c r="C873" s="13" t="n">
        <x:v>54</x:v>
      </x:c>
    </x:row>
    <x:row r="874" ht="20" customHeight="1">
      <x:c r="A874" s="1" t="str">
        <x:v>21212</x:v>
      </x:c>
      <x:c r="B874" s="9" t="d">
        <x:v>2011-04-18T00:00:00.000Z</x:v>
      </x:c>
      <x:c r="C874" s="13" t="n">
        <x:v>208</x:v>
      </x:c>
    </x:row>
    <x:row r="875" ht="20" customHeight="1">
      <x:c r="A875" s="1" t="str">
        <x:v>21212</x:v>
      </x:c>
      <x:c r="B875" s="9" t="d">
        <x:v>2011-04-19T00:00:00.000Z</x:v>
      </x:c>
      <x:c r="C875" s="13" t="n">
        <x:v>79</x:v>
      </x:c>
    </x:row>
    <x:row r="876" ht="20" customHeight="1">
      <x:c r="A876" s="1" t="str">
        <x:v>21212</x:v>
      </x:c>
      <x:c r="B876" s="9" t="d">
        <x:v>2011-04-20T00:00:00.000Z</x:v>
      </x:c>
      <x:c r="C876" s="13" t="n">
        <x:v>1108</x:v>
      </x:c>
    </x:row>
    <x:row r="877" ht="20" customHeight="1">
      <x:c r="A877" s="1" t="str">
        <x:v>21212</x:v>
      </x:c>
      <x:c r="B877" s="9" t="d">
        <x:v>2011-04-21T00:00:00.000Z</x:v>
      </x:c>
      <x:c r="C877" s="13" t="n">
        <x:v>26</x:v>
      </x:c>
    </x:row>
    <x:row r="878" ht="20" customHeight="1">
      <x:c r="A878" s="1" t="str">
        <x:v>21212</x:v>
      </x:c>
      <x:c r="B878" s="9" t="d">
        <x:v>2011-04-22T00:00:00.000Z</x:v>
      </x:c>
      <x:c r="C878" s="13" t="n">
        <x:v>0</x:v>
      </x:c>
    </x:row>
    <x:row r="879" ht="20" customHeight="1">
      <x:c r="A879" s="1" t="str">
        <x:v>21212</x:v>
      </x:c>
      <x:c r="B879" s="9" t="d">
        <x:v>2011-04-23T00:00:00.000Z</x:v>
      </x:c>
      <x:c r="C879" s="13" t="n">
        <x:v>0</x:v>
      </x:c>
    </x:row>
    <x:row r="880" ht="20" customHeight="1">
      <x:c r="A880" s="1" t="str">
        <x:v>21212</x:v>
      </x:c>
      <x:c r="B880" s="9" t="d">
        <x:v>2011-04-24T00:00:00.000Z</x:v>
      </x:c>
      <x:c r="C880" s="13" t="n">
        <x:v>0</x:v>
      </x:c>
    </x:row>
    <x:row r="881" ht="20" customHeight="1">
      <x:c r="A881" s="1" t="str">
        <x:v>21212</x:v>
      </x:c>
      <x:c r="B881" s="9" t="d">
        <x:v>2011-04-25T00:00:00.000Z</x:v>
      </x:c>
      <x:c r="C881" s="13" t="n">
        <x:v>0</x:v>
      </x:c>
    </x:row>
    <x:row r="882" ht="20" customHeight="1">
      <x:c r="A882" s="1" t="str">
        <x:v>21212</x:v>
      </x:c>
      <x:c r="B882" s="9" t="d">
        <x:v>2011-04-26T00:00:00.000Z</x:v>
      </x:c>
      <x:c r="C882" s="13" t="n">
        <x:v>139</x:v>
      </x:c>
    </x:row>
    <x:row r="883" ht="20" customHeight="1">
      <x:c r="A883" s="1" t="str">
        <x:v>21212</x:v>
      </x:c>
      <x:c r="B883" s="9" t="d">
        <x:v>2011-04-27T00:00:00.000Z</x:v>
      </x:c>
      <x:c r="C883" s="13" t="n">
        <x:v>53</x:v>
      </x:c>
    </x:row>
    <x:row r="884" ht="20" customHeight="1">
      <x:c r="A884" s="1" t="str">
        <x:v>21212</x:v>
      </x:c>
      <x:c r="B884" s="9" t="d">
        <x:v>2011-04-28T00:00:00.000Z</x:v>
      </x:c>
      <x:c r="C884" s="13" t="n">
        <x:v>99</x:v>
      </x:c>
    </x:row>
    <x:row r="885" ht="20" customHeight="1">
      <x:c r="A885" s="1" t="str">
        <x:v>21212</x:v>
      </x:c>
      <x:c r="B885" s="9" t="d">
        <x:v>2011-04-29T00:00:00.000Z</x:v>
      </x:c>
      <x:c r="C885" s="13" t="n">
        <x:v>0</x:v>
      </x:c>
    </x:row>
    <x:row r="886" ht="20" customHeight="1">
      <x:c r="A886" s="1" t="str">
        <x:v>21212</x:v>
      </x:c>
      <x:c r="B886" s="9" t="d">
        <x:v>2011-04-30T00:00:00.000Z</x:v>
      </x:c>
      <x:c r="C886" s="13" t="n">
        <x:v>0</x:v>
      </x:c>
    </x:row>
    <x:row r="887" ht="20" customHeight="1">
      <x:c r="A887" s="1" t="str">
        <x:v>21212</x:v>
      </x:c>
      <x:c r="B887" s="9" t="d">
        <x:v>2011-05-01T00:00:00.000Z</x:v>
      </x:c>
      <x:c r="C887" s="13" t="n">
        <x:v>24</x:v>
      </x:c>
    </x:row>
    <x:row r="888" ht="20" customHeight="1">
      <x:c r="A888" s="1" t="str">
        <x:v>21212</x:v>
      </x:c>
      <x:c r="B888" s="9" t="d">
        <x:v>2011-05-02T00:00:00.000Z</x:v>
      </x:c>
      <x:c r="C888" s="13" t="n">
        <x:v>0</x:v>
      </x:c>
    </x:row>
    <x:row r="889" ht="20" customHeight="1">
      <x:c r="A889" s="1" t="str">
        <x:v>21212</x:v>
      </x:c>
      <x:c r="B889" s="9" t="d">
        <x:v>2011-05-03T00:00:00.000Z</x:v>
      </x:c>
      <x:c r="C889" s="13" t="n">
        <x:v>116</x:v>
      </x:c>
    </x:row>
    <x:row r="890" ht="20" customHeight="1">
      <x:c r="A890" s="1" t="str">
        <x:v>21212</x:v>
      </x:c>
      <x:c r="B890" s="9" t="d">
        <x:v>2011-05-04T00:00:00.000Z</x:v>
      </x:c>
      <x:c r="C890" s="13" t="n">
        <x:v>56</x:v>
      </x:c>
    </x:row>
    <x:row r="891" ht="20" customHeight="1">
      <x:c r="A891" s="1" t="str">
        <x:v>21212</x:v>
      </x:c>
      <x:c r="B891" s="9" t="d">
        <x:v>2011-05-05T00:00:00.000Z</x:v>
      </x:c>
      <x:c r="C891" s="13" t="n">
        <x:v>146</x:v>
      </x:c>
    </x:row>
    <x:row r="892" ht="20" customHeight="1">
      <x:c r="A892" s="1" t="str">
        <x:v>21212</x:v>
      </x:c>
      <x:c r="B892" s="9" t="d">
        <x:v>2011-05-06T00:00:00.000Z</x:v>
      </x:c>
      <x:c r="C892" s="13" t="n">
        <x:v>392</x:v>
      </x:c>
    </x:row>
    <x:row r="893" ht="20" customHeight="1">
      <x:c r="A893" s="1" t="str">
        <x:v>21212</x:v>
      </x:c>
      <x:c r="B893" s="9" t="d">
        <x:v>2011-05-07T00:00:00.000Z</x:v>
      </x:c>
      <x:c r="C893" s="13" t="n">
        <x:v>0</x:v>
      </x:c>
    </x:row>
    <x:row r="894" ht="20" customHeight="1">
      <x:c r="A894" s="1" t="str">
        <x:v>21212</x:v>
      </x:c>
      <x:c r="B894" s="9" t="d">
        <x:v>2011-05-08T00:00:00.000Z</x:v>
      </x:c>
      <x:c r="C894" s="13" t="n">
        <x:v>77</x:v>
      </x:c>
    </x:row>
    <x:row r="895" ht="20" customHeight="1">
      <x:c r="A895" s="1" t="str">
        <x:v>21212</x:v>
      </x:c>
      <x:c r="B895" s="9" t="d">
        <x:v>2011-05-09T00:00:00.000Z</x:v>
      </x:c>
      <x:c r="C895" s="13" t="n">
        <x:v>105</x:v>
      </x:c>
    </x:row>
    <x:row r="896" ht="20" customHeight="1">
      <x:c r="A896" s="1" t="str">
        <x:v>21212</x:v>
      </x:c>
      <x:c r="B896" s="9" t="d">
        <x:v>2011-05-10T00:00:00.000Z</x:v>
      </x:c>
      <x:c r="C896" s="13" t="n">
        <x:v>97</x:v>
      </x:c>
    </x:row>
    <x:row r="897" ht="20" customHeight="1">
      <x:c r="A897" s="1" t="str">
        <x:v>21212</x:v>
      </x:c>
      <x:c r="B897" s="9" t="d">
        <x:v>2011-05-11T00:00:00.000Z</x:v>
      </x:c>
      <x:c r="C897" s="13" t="n">
        <x:v>52</x:v>
      </x:c>
    </x:row>
    <x:row r="898" ht="20" customHeight="1">
      <x:c r="A898" s="1" t="str">
        <x:v>21212</x:v>
      </x:c>
      <x:c r="B898" s="9" t="d">
        <x:v>2011-05-12T00:00:00.000Z</x:v>
      </x:c>
      <x:c r="C898" s="13" t="n">
        <x:v>1236</x:v>
      </x:c>
    </x:row>
    <x:row r="899" ht="20" customHeight="1">
      <x:c r="A899" s="1" t="str">
        <x:v>21212</x:v>
      </x:c>
      <x:c r="B899" s="9" t="d">
        <x:v>2011-05-13T00:00:00.000Z</x:v>
      </x:c>
      <x:c r="C899" s="13" t="n">
        <x:v>128</x:v>
      </x:c>
    </x:row>
    <x:row r="900" ht="20" customHeight="1">
      <x:c r="A900" s="1" t="str">
        <x:v>21212</x:v>
      </x:c>
      <x:c r="B900" s="9" t="d">
        <x:v>2011-05-14T00:00:00.000Z</x:v>
      </x:c>
      <x:c r="C900" s="13" t="n">
        <x:v>0</x:v>
      </x:c>
    </x:row>
    <x:row r="901" ht="20" customHeight="1">
      <x:c r="A901" s="1" t="str">
        <x:v>21212</x:v>
      </x:c>
      <x:c r="B901" s="9" t="d">
        <x:v>2011-05-15T00:00:00.000Z</x:v>
      </x:c>
      <x:c r="C901" s="13" t="n">
        <x:v>29</x:v>
      </x:c>
    </x:row>
    <x:row r="902" ht="20" customHeight="1">
      <x:c r="A902" s="1" t="str">
        <x:v>21212</x:v>
      </x:c>
      <x:c r="B902" s="9" t="d">
        <x:v>2011-05-16T00:00:00.000Z</x:v>
      </x:c>
      <x:c r="C902" s="13" t="n">
        <x:v>129</x:v>
      </x:c>
    </x:row>
    <x:row r="903" ht="20" customHeight="1">
      <x:c r="A903" s="1" t="str">
        <x:v>21212</x:v>
      </x:c>
      <x:c r="B903" s="9" t="d">
        <x:v>2011-05-17T00:00:00.000Z</x:v>
      </x:c>
      <x:c r="C903" s="13" t="n">
        <x:v>38</x:v>
      </x:c>
    </x:row>
    <x:row r="904" ht="20" customHeight="1">
      <x:c r="A904" s="1" t="str">
        <x:v>21212</x:v>
      </x:c>
      <x:c r="B904" s="9" t="d">
        <x:v>2011-05-18T00:00:00.000Z</x:v>
      </x:c>
      <x:c r="C904" s="13" t="n">
        <x:v>217</x:v>
      </x:c>
    </x:row>
    <x:row r="905" ht="20" customHeight="1">
      <x:c r="A905" s="1" t="str">
        <x:v>21212</x:v>
      </x:c>
      <x:c r="B905" s="9" t="d">
        <x:v>2011-05-19T00:00:00.000Z</x:v>
      </x:c>
      <x:c r="C905" s="13" t="n">
        <x:v>49</x:v>
      </x:c>
    </x:row>
    <x:row r="906" ht="20" customHeight="1">
      <x:c r="A906" s="1" t="str">
        <x:v>21212</x:v>
      </x:c>
      <x:c r="B906" s="9" t="d">
        <x:v>2011-05-20T00:00:00.000Z</x:v>
      </x:c>
      <x:c r="C906" s="13" t="n">
        <x:v>29</x:v>
      </x:c>
    </x:row>
    <x:row r="907" ht="20" customHeight="1">
      <x:c r="A907" s="1" t="str">
        <x:v>21212</x:v>
      </x:c>
      <x:c r="B907" s="9" t="d">
        <x:v>2011-05-21T00:00:00.000Z</x:v>
      </x:c>
      <x:c r="C907" s="13" t="n">
        <x:v>0</x:v>
      </x:c>
    </x:row>
    <x:row r="908" ht="20" customHeight="1">
      <x:c r="A908" s="1" t="str">
        <x:v>21212</x:v>
      </x:c>
      <x:c r="B908" s="9" t="d">
        <x:v>2011-05-22T00:00:00.000Z</x:v>
      </x:c>
      <x:c r="C908" s="13" t="n">
        <x:v>136</x:v>
      </x:c>
    </x:row>
    <x:row r="909" ht="20" customHeight="1">
      <x:c r="A909" s="1" t="str">
        <x:v>21212</x:v>
      </x:c>
      <x:c r="B909" s="9" t="d">
        <x:v>2011-05-23T00:00:00.000Z</x:v>
      </x:c>
      <x:c r="C909" s="13" t="n">
        <x:v>63</x:v>
      </x:c>
    </x:row>
    <x:row r="910" ht="20" customHeight="1">
      <x:c r="A910" s="1" t="str">
        <x:v>21212</x:v>
      </x:c>
      <x:c r="B910" s="9" t="d">
        <x:v>2011-05-24T00:00:00.000Z</x:v>
      </x:c>
      <x:c r="C910" s="13" t="n">
        <x:v>98</x:v>
      </x:c>
    </x:row>
    <x:row r="911" ht="20" customHeight="1">
      <x:c r="A911" s="1" t="str">
        <x:v>21212</x:v>
      </x:c>
      <x:c r="B911" s="9" t="d">
        <x:v>2011-05-25T00:00:00.000Z</x:v>
      </x:c>
      <x:c r="C911" s="13" t="n">
        <x:v>27</x:v>
      </x:c>
    </x:row>
    <x:row r="912" ht="20" customHeight="1">
      <x:c r="A912" s="1" t="str">
        <x:v>21212</x:v>
      </x:c>
      <x:c r="B912" s="9" t="d">
        <x:v>2011-05-26T00:00:00.000Z</x:v>
      </x:c>
      <x:c r="C912" s="13" t="n">
        <x:v>24</x:v>
      </x:c>
    </x:row>
    <x:row r="913" ht="20" customHeight="1">
      <x:c r="A913" s="1" t="str">
        <x:v>21212</x:v>
      </x:c>
      <x:c r="B913" s="9" t="d">
        <x:v>2011-05-27T00:00:00.000Z</x:v>
      </x:c>
      <x:c r="C913" s="13" t="n">
        <x:v>136</x:v>
      </x:c>
    </x:row>
    <x:row r="914" ht="20" customHeight="1">
      <x:c r="A914" s="1" t="str">
        <x:v>21212</x:v>
      </x:c>
      <x:c r="B914" s="9" t="d">
        <x:v>2011-05-28T00:00:00.000Z</x:v>
      </x:c>
      <x:c r="C914" s="13" t="n">
        <x:v>0</x:v>
      </x:c>
    </x:row>
    <x:row r="915" ht="20" customHeight="1">
      <x:c r="A915" s="1" t="str">
        <x:v>21212</x:v>
      </x:c>
      <x:c r="B915" s="9" t="d">
        <x:v>2011-05-29T00:00:00.000Z</x:v>
      </x:c>
      <x:c r="C915" s="13" t="n">
        <x:v>12</x:v>
      </x:c>
    </x:row>
    <x:row r="916" ht="20" customHeight="1">
      <x:c r="A916" s="1" t="str">
        <x:v>21212</x:v>
      </x:c>
      <x:c r="B916" s="9" t="d">
        <x:v>2011-05-30T00:00:00.000Z</x:v>
      </x:c>
      <x:c r="C916" s="13" t="n">
        <x:v>0</x:v>
      </x:c>
    </x:row>
    <x:row r="917" ht="20" customHeight="1">
      <x:c r="A917" s="1" t="str">
        <x:v>21212</x:v>
      </x:c>
      <x:c r="B917" s="9" t="d">
        <x:v>2011-05-31T00:00:00.000Z</x:v>
      </x:c>
      <x:c r="C917" s="13" t="n">
        <x:v>47</x:v>
      </x:c>
    </x:row>
    <x:row r="918" ht="20" customHeight="1">
      <x:c r="A918" s="1" t="str">
        <x:v>21212</x:v>
      </x:c>
      <x:c r="B918" s="9" t="d">
        <x:v>2011-06-01T00:00:00.000Z</x:v>
      </x:c>
      <x:c r="C918" s="13" t="n">
        <x:v>25</x:v>
      </x:c>
    </x:row>
    <x:row r="919" ht="20" customHeight="1">
      <x:c r="A919" s="1" t="str">
        <x:v>21212</x:v>
      </x:c>
      <x:c r="B919" s="9" t="d">
        <x:v>2011-06-02T00:00:00.000Z</x:v>
      </x:c>
      <x:c r="C919" s="13" t="n">
        <x:v>78</x:v>
      </x:c>
    </x:row>
    <x:row r="920" ht="20" customHeight="1">
      <x:c r="A920" s="1" t="str">
        <x:v>21212</x:v>
      </x:c>
      <x:c r="B920" s="9" t="d">
        <x:v>2011-06-03T00:00:00.000Z</x:v>
      </x:c>
      <x:c r="C920" s="13" t="n">
        <x:v>3</x:v>
      </x:c>
    </x:row>
    <x:row r="921" ht="20" customHeight="1">
      <x:c r="A921" s="1" t="str">
        <x:v>21212</x:v>
      </x:c>
      <x:c r="B921" s="9" t="d">
        <x:v>2011-06-04T00:00:00.000Z</x:v>
      </x:c>
      <x:c r="C921" s="13" t="n">
        <x:v>0</x:v>
      </x:c>
    </x:row>
    <x:row r="922" ht="20" customHeight="1">
      <x:c r="A922" s="1" t="str">
        <x:v>21212</x:v>
      </x:c>
      <x:c r="B922" s="9" t="d">
        <x:v>2011-06-05T00:00:00.000Z</x:v>
      </x:c>
      <x:c r="C922" s="13" t="n">
        <x:v>76</x:v>
      </x:c>
    </x:row>
    <x:row r="923" ht="20" customHeight="1">
      <x:c r="A923" s="1" t="str">
        <x:v>21212</x:v>
      </x:c>
      <x:c r="B923" s="9" t="d">
        <x:v>2011-06-06T00:00:00.000Z</x:v>
      </x:c>
      <x:c r="C923" s="13" t="n">
        <x:v>48</x:v>
      </x:c>
    </x:row>
    <x:row r="924" ht="20" customHeight="1">
      <x:c r="A924" s="1" t="str">
        <x:v>21212</x:v>
      </x:c>
      <x:c r="B924" s="9" t="d">
        <x:v>2011-06-07T00:00:00.000Z</x:v>
      </x:c>
      <x:c r="C924" s="13" t="n">
        <x:v>173</x:v>
      </x:c>
    </x:row>
    <x:row r="925" ht="20" customHeight="1">
      <x:c r="A925" s="1" t="str">
        <x:v>21212</x:v>
      </x:c>
      <x:c r="B925" s="9" t="d">
        <x:v>2011-06-08T00:00:00.000Z</x:v>
      </x:c>
      <x:c r="C925" s="13" t="n">
        <x:v>124</x:v>
      </x:c>
    </x:row>
    <x:row r="926" ht="20" customHeight="1">
      <x:c r="A926" s="1" t="str">
        <x:v>21212</x:v>
      </x:c>
      <x:c r="B926" s="9" t="d">
        <x:v>2011-06-09T00:00:00.000Z</x:v>
      </x:c>
      <x:c r="C926" s="13" t="n">
        <x:v>78</x:v>
      </x:c>
    </x:row>
    <x:row r="927" ht="20" customHeight="1">
      <x:c r="A927" s="1" t="str">
        <x:v>21212</x:v>
      </x:c>
      <x:c r="B927" s="9" t="d">
        <x:v>2011-06-10T00:00:00.000Z</x:v>
      </x:c>
      <x:c r="C927" s="13" t="n">
        <x:v>160</x:v>
      </x:c>
    </x:row>
    <x:row r="928" ht="20" customHeight="1">
      <x:c r="A928" s="1" t="str">
        <x:v>21212</x:v>
      </x:c>
      <x:c r="B928" s="9" t="d">
        <x:v>2011-06-11T00:00:00.000Z</x:v>
      </x:c>
      <x:c r="C928" s="13" t="n">
        <x:v>0</x:v>
      </x:c>
    </x:row>
    <x:row r="929" ht="20" customHeight="1">
      <x:c r="A929" s="1" t="str">
        <x:v>21212</x:v>
      </x:c>
      <x:c r="B929" s="9" t="d">
        <x:v>2011-06-12T00:00:00.000Z</x:v>
      </x:c>
      <x:c r="C929" s="13" t="n">
        <x:v>36</x:v>
      </x:c>
    </x:row>
    <x:row r="930" ht="20" customHeight="1">
      <x:c r="A930" s="1" t="str">
        <x:v>21212</x:v>
      </x:c>
      <x:c r="B930" s="9" t="d">
        <x:v>2011-06-13T00:00:00.000Z</x:v>
      </x:c>
      <x:c r="C930" s="13" t="n">
        <x:v>1</x:v>
      </x:c>
    </x:row>
    <x:row r="931" ht="20" customHeight="1">
      <x:c r="A931" s="1" t="str">
        <x:v>21212</x:v>
      </x:c>
      <x:c r="B931" s="9" t="d">
        <x:v>2011-06-14T00:00:00.000Z</x:v>
      </x:c>
      <x:c r="C931" s="13" t="n">
        <x:v>38</x:v>
      </x:c>
    </x:row>
    <x:row r="932" ht="20" customHeight="1">
      <x:c r="A932" s="1" t="str">
        <x:v>21212</x:v>
      </x:c>
      <x:c r="B932" s="9" t="d">
        <x:v>2011-06-15T00:00:00.000Z</x:v>
      </x:c>
      <x:c r="C932" s="13" t="n">
        <x:v>409</x:v>
      </x:c>
    </x:row>
    <x:row r="933" ht="20" customHeight="1">
      <x:c r="A933" s="1" t="str">
        <x:v>21212</x:v>
      </x:c>
      <x:c r="B933" s="9" t="d">
        <x:v>2011-06-16T00:00:00.000Z</x:v>
      </x:c>
      <x:c r="C933" s="13" t="n">
        <x:v>122</x:v>
      </x:c>
    </x:row>
    <x:row r="934" ht="20" customHeight="1">
      <x:c r="A934" s="1" t="str">
        <x:v>21212</x:v>
      </x:c>
      <x:c r="B934" s="9" t="d">
        <x:v>2011-06-17T00:00:00.000Z</x:v>
      </x:c>
      <x:c r="C934" s="13" t="n">
        <x:v>139</x:v>
      </x:c>
    </x:row>
    <x:row r="935" ht="20" customHeight="1">
      <x:c r="A935" s="1" t="str">
        <x:v>21212</x:v>
      </x:c>
      <x:c r="B935" s="9" t="d">
        <x:v>2011-06-18T00:00:00.000Z</x:v>
      </x:c>
      <x:c r="C935" s="13" t="n">
        <x:v>0</x:v>
      </x:c>
    </x:row>
    <x:row r="936" ht="20" customHeight="1">
      <x:c r="A936" s="1" t="str">
        <x:v>21212</x:v>
      </x:c>
      <x:c r="B936" s="9" t="d">
        <x:v>2011-06-19T00:00:00.000Z</x:v>
      </x:c>
      <x:c r="C936" s="13" t="n">
        <x:v>147</x:v>
      </x:c>
    </x:row>
    <x:row r="937" ht="20" customHeight="1">
      <x:c r="A937" s="1" t="str">
        <x:v>21212</x:v>
      </x:c>
      <x:c r="B937" s="9" t="d">
        <x:v>2011-06-20T00:00:00.000Z</x:v>
      </x:c>
      <x:c r="C937" s="13" t="n">
        <x:v>57</x:v>
      </x:c>
    </x:row>
    <x:row r="938" ht="20" customHeight="1">
      <x:c r="A938" s="1" t="str">
        <x:v>21212</x:v>
      </x:c>
      <x:c r="B938" s="9" t="d">
        <x:v>2011-06-21T00:00:00.000Z</x:v>
      </x:c>
      <x:c r="C938" s="13" t="n">
        <x:v>36</x:v>
      </x:c>
    </x:row>
    <x:row r="939" ht="20" customHeight="1">
      <x:c r="A939" s="1" t="str">
        <x:v>21212</x:v>
      </x:c>
      <x:c r="B939" s="9" t="d">
        <x:v>2011-06-22T00:00:00.000Z</x:v>
      </x:c>
      <x:c r="C939" s="13" t="n">
        <x:v>26</x:v>
      </x:c>
    </x:row>
    <x:row r="940" ht="20" customHeight="1">
      <x:c r="A940" s="1" t="str">
        <x:v>21212</x:v>
      </x:c>
      <x:c r="B940" s="9" t="d">
        <x:v>2011-06-23T00:00:00.000Z</x:v>
      </x:c>
      <x:c r="C940" s="13" t="n">
        <x:v>59</x:v>
      </x:c>
    </x:row>
    <x:row r="941" ht="20" customHeight="1">
      <x:c r="A941" s="1" t="str">
        <x:v>21212</x:v>
      </x:c>
      <x:c r="B941" s="9" t="d">
        <x:v>2011-06-24T00:00:00.000Z</x:v>
      </x:c>
      <x:c r="C941" s="13" t="n">
        <x:v>0</x:v>
      </x:c>
    </x:row>
    <x:row r="942" ht="20" customHeight="1">
      <x:c r="A942" s="1" t="str">
        <x:v>21212</x:v>
      </x:c>
      <x:c r="B942" s="9" t="d">
        <x:v>2011-06-25T00:00:00.000Z</x:v>
      </x:c>
      <x:c r="C942" s="13" t="n">
        <x:v>0</x:v>
      </x:c>
    </x:row>
    <x:row r="943" ht="20" customHeight="1">
      <x:c r="A943" s="1" t="str">
        <x:v>21212</x:v>
      </x:c>
      <x:c r="B943" s="9" t="d">
        <x:v>2011-06-26T00:00:00.000Z</x:v>
      </x:c>
      <x:c r="C943" s="13" t="n">
        <x:v>3</x:v>
      </x:c>
    </x:row>
    <x:row r="944" ht="20" customHeight="1">
      <x:c r="A944" s="1" t="str">
        <x:v>21212</x:v>
      </x:c>
      <x:c r="B944" s="9" t="d">
        <x:v>2011-06-27T00:00:00.000Z</x:v>
      </x:c>
      <x:c r="C944" s="13" t="n">
        <x:v>36</x:v>
      </x:c>
    </x:row>
    <x:row r="945" ht="20" customHeight="1">
      <x:c r="A945" s="1" t="str">
        <x:v>21212</x:v>
      </x:c>
      <x:c r="B945" s="9" t="d">
        <x:v>2011-06-28T00:00:00.000Z</x:v>
      </x:c>
      <x:c r="C945" s="13" t="n">
        <x:v>53</x:v>
      </x:c>
    </x:row>
    <x:row r="946" ht="20" customHeight="1">
      <x:c r="A946" s="1" t="str">
        <x:v>21212</x:v>
      </x:c>
      <x:c r="B946" s="9" t="d">
        <x:v>2011-06-29T00:00:00.000Z</x:v>
      </x:c>
      <x:c r="C946" s="13" t="n">
        <x:v>7</x:v>
      </x:c>
    </x:row>
    <x:row r="947" ht="20" customHeight="1">
      <x:c r="A947" s="1" t="str">
        <x:v>21212</x:v>
      </x:c>
      <x:c r="B947" s="9" t="d">
        <x:v>2011-06-30T00:00:00.000Z</x:v>
      </x:c>
      <x:c r="C947" s="13" t="n">
        <x:v>2</x:v>
      </x:c>
    </x:row>
    <x:row r="948" ht="20" customHeight="1">
      <x:c r="A948" s="1" t="str">
        <x:v>21212</x:v>
      </x:c>
      <x:c r="B948" s="9" t="d">
        <x:v>2011-07-01T00:00:00.000Z</x:v>
      </x:c>
      <x:c r="C948" s="13" t="n">
        <x:v>24</x:v>
      </x:c>
    </x:row>
    <x:row r="949" ht="20" customHeight="1">
      <x:c r="A949" s="1" t="str">
        <x:v>21212</x:v>
      </x:c>
      <x:c r="B949" s="9" t="d">
        <x:v>2011-07-02T00:00:00.000Z</x:v>
      </x:c>
      <x:c r="C949" s="13" t="n">
        <x:v>0</x:v>
      </x:c>
    </x:row>
    <x:row r="950" ht="20" customHeight="1">
      <x:c r="A950" s="1" t="str">
        <x:v>21212</x:v>
      </x:c>
      <x:c r="B950" s="9" t="d">
        <x:v>2011-07-03T00:00:00.000Z</x:v>
      </x:c>
      <x:c r="C950" s="13" t="n">
        <x:v>1</x:v>
      </x:c>
    </x:row>
    <x:row r="951" ht="20" customHeight="1">
      <x:c r="A951" s="1" t="str">
        <x:v>21212</x:v>
      </x:c>
      <x:c r="B951" s="9" t="d">
        <x:v>2011-07-04T00:00:00.000Z</x:v>
      </x:c>
      <x:c r="C951" s="13" t="n">
        <x:v>97</x:v>
      </x:c>
    </x:row>
    <x:row r="952" ht="20" customHeight="1">
      <x:c r="A952" s="1" t="str">
        <x:v>21212</x:v>
      </x:c>
      <x:c r="B952" s="9" t="d">
        <x:v>2011-07-05T00:00:00.000Z</x:v>
      </x:c>
      <x:c r="C952" s="13" t="n">
        <x:v>378</x:v>
      </x:c>
    </x:row>
    <x:row r="953" ht="20" customHeight="1">
      <x:c r="A953" s="1" t="str">
        <x:v>21212</x:v>
      </x:c>
      <x:c r="B953" s="9" t="d">
        <x:v>2011-07-06T00:00:00.000Z</x:v>
      </x:c>
      <x:c r="C953" s="13" t="n">
        <x:v>32</x:v>
      </x:c>
    </x:row>
    <x:row r="954" ht="20" customHeight="1">
      <x:c r="A954" s="1" t="str">
        <x:v>21212</x:v>
      </x:c>
      <x:c r="B954" s="9" t="d">
        <x:v>2011-07-07T00:00:00.000Z</x:v>
      </x:c>
      <x:c r="C954" s="13" t="n">
        <x:v>564</x:v>
      </x:c>
    </x:row>
    <x:row r="955" ht="20" customHeight="1">
      <x:c r="A955" s="1" t="str">
        <x:v>21212</x:v>
      </x:c>
      <x:c r="B955" s="9" t="d">
        <x:v>2011-07-08T00:00:00.000Z</x:v>
      </x:c>
      <x:c r="C955" s="13" t="n">
        <x:v>35</x:v>
      </x:c>
    </x:row>
    <x:row r="956" ht="20" customHeight="1">
      <x:c r="A956" s="1" t="str">
        <x:v>21212</x:v>
      </x:c>
      <x:c r="B956" s="9" t="d">
        <x:v>2011-07-09T00:00:00.000Z</x:v>
      </x:c>
      <x:c r="C956" s="13" t="n">
        <x:v>0</x:v>
      </x:c>
    </x:row>
    <x:row r="957" ht="20" customHeight="1">
      <x:c r="A957" s="1" t="str">
        <x:v>21212</x:v>
      </x:c>
      <x:c r="B957" s="9" t="d">
        <x:v>2011-07-10T00:00:00.000Z</x:v>
      </x:c>
      <x:c r="C957" s="13" t="n">
        <x:v>3</x:v>
      </x:c>
    </x:row>
    <x:row r="958" ht="20" customHeight="1">
      <x:c r="A958" s="1" t="str">
        <x:v>21212</x:v>
      </x:c>
      <x:c r="B958" s="9" t="d">
        <x:v>2011-07-11T00:00:00.000Z</x:v>
      </x:c>
      <x:c r="C958" s="13" t="n">
        <x:v>27</x:v>
      </x:c>
    </x:row>
    <x:row r="959" ht="20" customHeight="1">
      <x:c r="A959" s="1" t="str">
        <x:v>21212</x:v>
      </x:c>
      <x:c r="B959" s="9" t="d">
        <x:v>2011-07-12T00:00:00.000Z</x:v>
      </x:c>
      <x:c r="C959" s="13" t="n">
        <x:v>73</x:v>
      </x:c>
    </x:row>
    <x:row r="960" ht="20" customHeight="1">
      <x:c r="A960" s="1" t="str">
        <x:v>21212</x:v>
      </x:c>
      <x:c r="B960" s="9" t="d">
        <x:v>2011-07-13T00:00:00.000Z</x:v>
      </x:c>
      <x:c r="C960" s="13" t="n">
        <x:v>29</x:v>
      </x:c>
    </x:row>
    <x:row r="961" ht="20" customHeight="1">
      <x:c r="A961" s="1" t="str">
        <x:v>21212</x:v>
      </x:c>
      <x:c r="B961" s="9" t="d">
        <x:v>2011-07-14T00:00:00.000Z</x:v>
      </x:c>
      <x:c r="C961" s="13" t="n">
        <x:v>27</x:v>
      </x:c>
    </x:row>
    <x:row r="962" ht="20" customHeight="1">
      <x:c r="A962" s="1" t="str">
        <x:v>21212</x:v>
      </x:c>
      <x:c r="B962" s="9" t="d">
        <x:v>2011-07-15T00:00:00.000Z</x:v>
      </x:c>
      <x:c r="C962" s="13" t="n">
        <x:v>73</x:v>
      </x:c>
    </x:row>
    <x:row r="963" ht="20" customHeight="1">
      <x:c r="A963" s="1" t="str">
        <x:v>21212</x:v>
      </x:c>
      <x:c r="B963" s="9" t="d">
        <x:v>2011-07-16T00:00:00.000Z</x:v>
      </x:c>
      <x:c r="C963" s="13" t="n">
        <x:v>0</x:v>
      </x:c>
    </x:row>
    <x:row r="964" ht="20" customHeight="1">
      <x:c r="A964" s="1" t="str">
        <x:v>21212</x:v>
      </x:c>
      <x:c r="B964" s="9" t="d">
        <x:v>2011-07-17T00:00:00.000Z</x:v>
      </x:c>
      <x:c r="C964" s="13" t="n">
        <x:v>24</x:v>
      </x:c>
    </x:row>
    <x:row r="965" ht="20" customHeight="1">
      <x:c r="A965" s="1" t="str">
        <x:v>21212</x:v>
      </x:c>
      <x:c r="B965" s="9" t="d">
        <x:v>2011-07-18T00:00:00.000Z</x:v>
      </x:c>
      <x:c r="C965" s="13" t="n">
        <x:v>66</x:v>
      </x:c>
    </x:row>
    <x:row r="966" ht="20" customHeight="1">
      <x:c r="A966" s="1" t="str">
        <x:v>21212</x:v>
      </x:c>
      <x:c r="B966" s="9" t="d">
        <x:v>2011-07-19T00:00:00.000Z</x:v>
      </x:c>
      <x:c r="C966" s="13" t="n">
        <x:v>112</x:v>
      </x:c>
    </x:row>
    <x:row r="967" ht="20" customHeight="1">
      <x:c r="A967" s="1" t="str">
        <x:v>21212</x:v>
      </x:c>
      <x:c r="B967" s="9" t="d">
        <x:v>2011-07-20T00:00:00.000Z</x:v>
      </x:c>
      <x:c r="C967" s="13" t="n">
        <x:v>95</x:v>
      </x:c>
    </x:row>
    <x:row r="968" ht="20" customHeight="1">
      <x:c r="A968" s="1" t="str">
        <x:v>21212</x:v>
      </x:c>
      <x:c r="B968" s="9" t="d">
        <x:v>2011-07-21T00:00:00.000Z</x:v>
      </x:c>
      <x:c r="C968" s="13" t="n">
        <x:v>1</x:v>
      </x:c>
    </x:row>
    <x:row r="969" ht="20" customHeight="1">
      <x:c r="A969" s="1" t="str">
        <x:v>21212</x:v>
      </x:c>
      <x:c r="B969" s="9" t="d">
        <x:v>2011-07-22T00:00:00.000Z</x:v>
      </x:c>
      <x:c r="C969" s="13" t="n">
        <x:v>33</x:v>
      </x:c>
    </x:row>
    <x:row r="970" ht="20" customHeight="1">
      <x:c r="A970" s="1" t="str">
        <x:v>21212</x:v>
      </x:c>
      <x:c r="B970" s="9" t="d">
        <x:v>2011-07-23T00:00:00.000Z</x:v>
      </x:c>
      <x:c r="C970" s="13" t="n">
        <x:v>0</x:v>
      </x:c>
    </x:row>
    <x:row r="971" ht="20" customHeight="1">
      <x:c r="A971" s="1" t="str">
        <x:v>21212</x:v>
      </x:c>
      <x:c r="B971" s="9" t="d">
        <x:v>2011-07-24T00:00:00.000Z</x:v>
      </x:c>
      <x:c r="C971" s="13" t="n">
        <x:v>28</x:v>
      </x:c>
    </x:row>
    <x:row r="972" ht="20" customHeight="1">
      <x:c r="A972" s="1" t="str">
        <x:v>21212</x:v>
      </x:c>
      <x:c r="B972" s="9" t="d">
        <x:v>2011-07-25T00:00:00.000Z</x:v>
      </x:c>
      <x:c r="C972" s="13" t="n">
        <x:v>195</x:v>
      </x:c>
    </x:row>
    <x:row r="973" ht="20" customHeight="1">
      <x:c r="A973" s="1" t="str">
        <x:v>21212</x:v>
      </x:c>
      <x:c r="B973" s="9" t="d">
        <x:v>2011-07-26T00:00:00.000Z</x:v>
      </x:c>
      <x:c r="C973" s="13" t="n">
        <x:v>184</x:v>
      </x:c>
    </x:row>
    <x:row r="974" ht="20" customHeight="1">
      <x:c r="A974" s="1" t="str">
        <x:v>21212</x:v>
      </x:c>
      <x:c r="B974" s="9" t="d">
        <x:v>2011-07-27T00:00:00.000Z</x:v>
      </x:c>
      <x:c r="C974" s="13" t="n">
        <x:v>48</x:v>
      </x:c>
    </x:row>
    <x:row r="975" ht="20" customHeight="1">
      <x:c r="A975" s="1" t="str">
        <x:v>21212</x:v>
      </x:c>
      <x:c r="B975" s="9" t="d">
        <x:v>2011-07-28T00:00:00.000Z</x:v>
      </x:c>
      <x:c r="C975" s="13" t="n">
        <x:v>50</x:v>
      </x:c>
    </x:row>
    <x:row r="976" ht="20" customHeight="1">
      <x:c r="A976" s="1" t="str">
        <x:v>21212</x:v>
      </x:c>
      <x:c r="B976" s="9" t="d">
        <x:v>2011-07-29T00:00:00.000Z</x:v>
      </x:c>
      <x:c r="C976" s="13" t="n">
        <x:v>72</x:v>
      </x:c>
    </x:row>
    <x:row r="977" ht="20" customHeight="1">
      <x:c r="A977" s="1" t="str">
        <x:v>21212</x:v>
      </x:c>
      <x:c r="B977" s="9" t="d">
        <x:v>2011-07-30T00:00:00.000Z</x:v>
      </x:c>
      <x:c r="C977" s="13" t="n">
        <x:v>0</x:v>
      </x:c>
    </x:row>
    <x:row r="978" ht="20" customHeight="1">
      <x:c r="A978" s="1" t="str">
        <x:v>21212</x:v>
      </x:c>
      <x:c r="B978" s="9" t="d">
        <x:v>2011-07-31T00:00:00.000Z</x:v>
      </x:c>
      <x:c r="C978" s="13" t="n">
        <x:v>534</x:v>
      </x:c>
    </x:row>
    <x:row r="979" ht="20" customHeight="1">
      <x:c r="A979" s="1" t="str">
        <x:v>21212</x:v>
      </x:c>
      <x:c r="B979" s="9" t="d">
        <x:v>2011-08-01T00:00:00.000Z</x:v>
      </x:c>
      <x:c r="C979" s="13" t="n">
        <x:v>24</x:v>
      </x:c>
    </x:row>
    <x:row r="980" ht="20" customHeight="1">
      <x:c r="A980" s="1" t="str">
        <x:v>21212</x:v>
      </x:c>
      <x:c r="B980" s="9" t="d">
        <x:v>2011-08-02T00:00:00.000Z</x:v>
      </x:c>
      <x:c r="C980" s="13" t="n">
        <x:v>40</x:v>
      </x:c>
    </x:row>
    <x:row r="981" ht="20" customHeight="1">
      <x:c r="A981" s="1" t="str">
        <x:v>21212</x:v>
      </x:c>
      <x:c r="B981" s="9" t="d">
        <x:v>2011-08-03T00:00:00.000Z</x:v>
      </x:c>
      <x:c r="C981" s="13" t="n">
        <x:v>127</x:v>
      </x:c>
    </x:row>
    <x:row r="982" ht="20" customHeight="1">
      <x:c r="A982" s="1" t="str">
        <x:v>21212</x:v>
      </x:c>
      <x:c r="B982" s="9" t="d">
        <x:v>2011-08-04T00:00:00.000Z</x:v>
      </x:c>
      <x:c r="C982" s="13" t="n">
        <x:v>198</x:v>
      </x:c>
    </x:row>
    <x:row r="983" ht="20" customHeight="1">
      <x:c r="A983" s="1" t="str">
        <x:v>21212</x:v>
      </x:c>
      <x:c r="B983" s="9" t="d">
        <x:v>2011-08-05T00:00:00.000Z</x:v>
      </x:c>
      <x:c r="C983" s="13" t="n">
        <x:v>30</x:v>
      </x:c>
    </x:row>
    <x:row r="984" ht="20" customHeight="1">
      <x:c r="A984" s="1" t="str">
        <x:v>21212</x:v>
      </x:c>
      <x:c r="B984" s="9" t="d">
        <x:v>2011-08-06T00:00:00.000Z</x:v>
      </x:c>
      <x:c r="C984" s="13" t="n">
        <x:v>0</x:v>
      </x:c>
    </x:row>
    <x:row r="985" ht="20" customHeight="1">
      <x:c r="A985" s="1" t="str">
        <x:v>21212</x:v>
      </x:c>
      <x:c r="B985" s="9" t="d">
        <x:v>2011-08-07T00:00:00.000Z</x:v>
      </x:c>
      <x:c r="C985" s="13" t="n">
        <x:v>26</x:v>
      </x:c>
    </x:row>
    <x:row r="986" ht="20" customHeight="1">
      <x:c r="A986" s="1" t="str">
        <x:v>21212</x:v>
      </x:c>
      <x:c r="B986" s="9" t="d">
        <x:v>2011-08-08T00:00:00.000Z</x:v>
      </x:c>
      <x:c r="C986" s="13" t="n">
        <x:v>51</x:v>
      </x:c>
    </x:row>
    <x:row r="987" ht="20" customHeight="1">
      <x:c r="A987" s="1" t="str">
        <x:v>21212</x:v>
      </x:c>
      <x:c r="B987" s="9" t="d">
        <x:v>2011-08-09T00:00:00.000Z</x:v>
      </x:c>
      <x:c r="C987" s="13" t="n">
        <x:v>144</x:v>
      </x:c>
    </x:row>
    <x:row r="988" ht="20" customHeight="1">
      <x:c r="A988" s="1" t="str">
        <x:v>21212</x:v>
      </x:c>
      <x:c r="B988" s="9" t="d">
        <x:v>2011-08-10T00:00:00.000Z</x:v>
      </x:c>
      <x:c r="C988" s="13" t="n">
        <x:v>36</x:v>
      </x:c>
    </x:row>
    <x:row r="989" ht="20" customHeight="1">
      <x:c r="A989" s="1" t="str">
        <x:v>21212</x:v>
      </x:c>
      <x:c r="B989" s="9" t="d">
        <x:v>2011-08-11T00:00:00.000Z</x:v>
      </x:c>
      <x:c r="C989" s="13" t="n">
        <x:v>27</x:v>
      </x:c>
    </x:row>
    <x:row r="990" ht="20" customHeight="1">
      <x:c r="A990" s="1" t="str">
        <x:v>21212</x:v>
      </x:c>
      <x:c r="B990" s="9" t="d">
        <x:v>2011-08-12T00:00:00.000Z</x:v>
      </x:c>
      <x:c r="C990" s="13" t="n">
        <x:v>74</x:v>
      </x:c>
    </x:row>
    <x:row r="991" ht="20" customHeight="1">
      <x:c r="A991" s="1" t="str">
        <x:v>21212</x:v>
      </x:c>
      <x:c r="B991" s="9" t="d">
        <x:v>2011-08-13T00:00:00.000Z</x:v>
      </x:c>
      <x:c r="C991" s="13" t="n">
        <x:v>0</x:v>
      </x:c>
    </x:row>
    <x:row r="992" ht="20" customHeight="1">
      <x:c r="A992" s="1" t="str">
        <x:v>21212</x:v>
      </x:c>
      <x:c r="B992" s="9" t="d">
        <x:v>2011-08-14T00:00:00.000Z</x:v>
      </x:c>
      <x:c r="C992" s="13" t="n">
        <x:v>3</x:v>
      </x:c>
    </x:row>
    <x:row r="993" ht="20" customHeight="1">
      <x:c r="A993" s="1" t="str">
        <x:v>21212</x:v>
      </x:c>
      <x:c r="B993" s="9" t="d">
        <x:v>2011-08-15T00:00:00.000Z</x:v>
      </x:c>
      <x:c r="C993" s="13" t="n">
        <x:v>78</x:v>
      </x:c>
    </x:row>
    <x:row r="994" ht="20" customHeight="1">
      <x:c r="A994" s="1" t="str">
        <x:v>21212</x:v>
      </x:c>
      <x:c r="B994" s="9" t="d">
        <x:v>2011-08-16T00:00:00.000Z</x:v>
      </x:c>
      <x:c r="C994" s="13" t="n">
        <x:v>51</x:v>
      </x:c>
    </x:row>
    <x:row r="995" ht="20" customHeight="1">
      <x:c r="A995" s="1" t="str">
        <x:v>21212</x:v>
      </x:c>
      <x:c r="B995" s="9" t="d">
        <x:v>2011-08-17T00:00:00.000Z</x:v>
      </x:c>
      <x:c r="C995" s="13" t="n">
        <x:v>72</x:v>
      </x:c>
    </x:row>
    <x:row r="996" ht="20" customHeight="1">
      <x:c r="A996" s="1" t="str">
        <x:v>21212</x:v>
      </x:c>
      <x:c r="B996" s="9" t="d">
        <x:v>2011-08-18T00:00:00.000Z</x:v>
      </x:c>
      <x:c r="C996" s="13" t="n">
        <x:v>1369</x:v>
      </x:c>
    </x:row>
    <x:row r="997" ht="20" customHeight="1">
      <x:c r="A997" s="1" t="str">
        <x:v>21212</x:v>
      </x:c>
      <x:c r="B997" s="9" t="d">
        <x:v>2011-08-19T00:00:00.000Z</x:v>
      </x:c>
      <x:c r="C997" s="13" t="n">
        <x:v>72</x:v>
      </x:c>
    </x:row>
    <x:row r="998" ht="20" customHeight="1">
      <x:c r="A998" s="1" t="str">
        <x:v>21212</x:v>
      </x:c>
      <x:c r="B998" s="9" t="d">
        <x:v>2011-08-20T00:00:00.000Z</x:v>
      </x:c>
      <x:c r="C998" s="13" t="n">
        <x:v>0</x:v>
      </x:c>
    </x:row>
    <x:row r="999" ht="20" customHeight="1">
      <x:c r="A999" s="1" t="str">
        <x:v>21212</x:v>
      </x:c>
      <x:c r="B999" s="9" t="d">
        <x:v>2011-08-21T00:00:00.000Z</x:v>
      </x:c>
      <x:c r="C999" s="13" t="n">
        <x:v>8</x:v>
      </x:c>
    </x:row>
    <x:row r="1000" ht="20" customHeight="1">
      <x:c r="A1000" s="1" t="str">
        <x:v>21212</x:v>
      </x:c>
      <x:c r="B1000" s="9" t="d">
        <x:v>2011-08-22T00:00:00.000Z</x:v>
      </x:c>
      <x:c r="C1000" s="13" t="n">
        <x:v>72</x:v>
      </x:c>
    </x:row>
    <x:row r="1001" ht="20" customHeight="1">
      <x:c r="A1001" s="1" t="str">
        <x:v>21212</x:v>
      </x:c>
      <x:c r="B1001" s="9" t="d">
        <x:v>2011-08-23T00:00:00.000Z</x:v>
      </x:c>
      <x:c r="C1001" s="13" t="n">
        <x:v>132</x:v>
      </x:c>
    </x:row>
    <x:row r="1002" ht="20" customHeight="1">
      <x:c r="A1002" s="1" t="str">
        <x:v>21212</x:v>
      </x:c>
      <x:c r="B1002" s="9" t="d">
        <x:v>2011-08-24T00:00:00.000Z</x:v>
      </x:c>
      <x:c r="C1002" s="13" t="n">
        <x:v>77</x:v>
      </x:c>
    </x:row>
    <x:row r="1003" ht="20" customHeight="1">
      <x:c r="A1003" s="1" t="str">
        <x:v>21212</x:v>
      </x:c>
      <x:c r="B1003" s="9" t="d">
        <x:v>2011-08-25T00:00:00.000Z</x:v>
      </x:c>
      <x:c r="C1003" s="13" t="n">
        <x:v>24</x:v>
      </x:c>
    </x:row>
    <x:row r="1004" ht="20" customHeight="1">
      <x:c r="A1004" s="1" t="str">
        <x:v>21212</x:v>
      </x:c>
      <x:c r="B1004" s="9" t="d">
        <x:v>2011-08-26T00:00:00.000Z</x:v>
      </x:c>
      <x:c r="C1004" s="13" t="n">
        <x:v>197</x:v>
      </x:c>
    </x:row>
    <x:row r="1005" ht="20" customHeight="1">
      <x:c r="A1005" s="1" t="str">
        <x:v>21212</x:v>
      </x:c>
      <x:c r="B1005" s="9" t="d">
        <x:v>2011-08-27T00:00:00.000Z</x:v>
      </x:c>
      <x:c r="C1005" s="13" t="n">
        <x:v>0</x:v>
      </x:c>
    </x:row>
    <x:row r="1006" ht="20" customHeight="1">
      <x:c r="A1006" s="1" t="str">
        <x:v>21212</x:v>
      </x:c>
      <x:c r="B1006" s="9" t="d">
        <x:v>2011-08-28T00:00:00.000Z</x:v>
      </x:c>
      <x:c r="C1006" s="13" t="n">
        <x:v>5</x:v>
      </x:c>
    </x:row>
    <x:row r="1007" ht="20" customHeight="1">
      <x:c r="A1007" s="1" t="str">
        <x:v>21212</x:v>
      </x:c>
      <x:c r="B1007" s="9" t="d">
        <x:v>2011-08-29T00:00:00.000Z</x:v>
      </x:c>
      <x:c r="C1007" s="13" t="n">
        <x:v>0</x:v>
      </x:c>
    </x:row>
    <x:row r="1008" ht="20" customHeight="1">
      <x:c r="A1008" s="1" t="str">
        <x:v>21212</x:v>
      </x:c>
      <x:c r="B1008" s="9" t="d">
        <x:v>2011-08-30T00:00:00.000Z</x:v>
      </x:c>
      <x:c r="C1008" s="13" t="n">
        <x:v>39</x:v>
      </x:c>
    </x:row>
    <x:row r="1009" ht="20" customHeight="1">
      <x:c r="A1009" s="1" t="str">
        <x:v>21212</x:v>
      </x:c>
      <x:c r="B1009" s="9" t="d">
        <x:v>2011-08-31T00:00:00.000Z</x:v>
      </x:c>
      <x:c r="C1009" s="13" t="n">
        <x:v>37</x:v>
      </x:c>
    </x:row>
    <x:row r="1010" ht="20" customHeight="1">
      <x:c r="A1010" s="1" t="str">
        <x:v>21212</x:v>
      </x:c>
      <x:c r="B1010" s="9" t="d">
        <x:v>2011-09-01T00:00:00.000Z</x:v>
      </x:c>
      <x:c r="C1010" s="13" t="n">
        <x:v>75</x:v>
      </x:c>
    </x:row>
    <x:row r="1011" ht="20" customHeight="1">
      <x:c r="A1011" s="1" t="str">
        <x:v>21212</x:v>
      </x:c>
      <x:c r="B1011" s="9" t="d">
        <x:v>2011-09-02T00:00:00.000Z</x:v>
      </x:c>
      <x:c r="C1011" s="13" t="n">
        <x:v>229</x:v>
      </x:c>
    </x:row>
    <x:row r="1012" ht="20" customHeight="1">
      <x:c r="A1012" s="1" t="str">
        <x:v>21212</x:v>
      </x:c>
      <x:c r="B1012" s="9" t="d">
        <x:v>2011-09-03T00:00:00.000Z</x:v>
      </x:c>
      <x:c r="C1012" s="13" t="n">
        <x:v>0</x:v>
      </x:c>
    </x:row>
    <x:row r="1013" ht="20" customHeight="1">
      <x:c r="A1013" s="1" t="str">
        <x:v>21212</x:v>
      </x:c>
      <x:c r="B1013" s="9" t="d">
        <x:v>2011-09-04T00:00:00.000Z</x:v>
      </x:c>
      <x:c r="C1013" s="13" t="n">
        <x:v>78</x:v>
      </x:c>
    </x:row>
    <x:row r="1014" ht="20" customHeight="1">
      <x:c r="A1014" s="1" t="str">
        <x:v>21212</x:v>
      </x:c>
      <x:c r="B1014" s="9" t="d">
        <x:v>2011-09-05T00:00:00.000Z</x:v>
      </x:c>
      <x:c r="C1014" s="13" t="n">
        <x:v>156</x:v>
      </x:c>
    </x:row>
    <x:row r="1015" ht="20" customHeight="1">
      <x:c r="A1015" s="1" t="str">
        <x:v>21212</x:v>
      </x:c>
      <x:c r="B1015" s="9" t="d">
        <x:v>2011-09-06T00:00:00.000Z</x:v>
      </x:c>
      <x:c r="C1015" s="13" t="n">
        <x:v>37</x:v>
      </x:c>
    </x:row>
    <x:row r="1016" ht="20" customHeight="1">
      <x:c r="A1016" s="1" t="str">
        <x:v>21212</x:v>
      </x:c>
      <x:c r="B1016" s="9" t="d">
        <x:v>2011-09-07T00:00:00.000Z</x:v>
      </x:c>
      <x:c r="C1016" s="13" t="n">
        <x:v>50</x:v>
      </x:c>
    </x:row>
    <x:row r="1017" ht="20" customHeight="1">
      <x:c r="A1017" s="1" t="str">
        <x:v>21212</x:v>
      </x:c>
      <x:c r="B1017" s="9" t="d">
        <x:v>2011-09-08T00:00:00.000Z</x:v>
      </x:c>
      <x:c r="C1017" s="13" t="n">
        <x:v>122</x:v>
      </x:c>
    </x:row>
    <x:row r="1018" ht="20" customHeight="1">
      <x:c r="A1018" s="1" t="str">
        <x:v>21212</x:v>
      </x:c>
      <x:c r="B1018" s="9" t="d">
        <x:v>2011-09-09T00:00:00.000Z</x:v>
      </x:c>
      <x:c r="C1018" s="13" t="n">
        <x:v>179</x:v>
      </x:c>
    </x:row>
    <x:row r="1019" ht="20" customHeight="1">
      <x:c r="A1019" s="1" t="str">
        <x:v>21212</x:v>
      </x:c>
      <x:c r="B1019" s="9" t="d">
        <x:v>2011-09-10T00:00:00.000Z</x:v>
      </x:c>
      <x:c r="C1019" s="13" t="n">
        <x:v>0</x:v>
      </x:c>
    </x:row>
    <x:row r="1020" ht="20" customHeight="1">
      <x:c r="A1020" s="1" t="str">
        <x:v>21212</x:v>
      </x:c>
      <x:c r="B1020" s="9" t="d">
        <x:v>2011-09-11T00:00:00.000Z</x:v>
      </x:c>
      <x:c r="C1020" s="13" t="n">
        <x:v>168</x:v>
      </x:c>
    </x:row>
    <x:row r="1021" ht="20" customHeight="1">
      <x:c r="A1021" s="1" t="str">
        <x:v>21212</x:v>
      </x:c>
      <x:c r="B1021" s="9" t="d">
        <x:v>2011-09-12T00:00:00.000Z</x:v>
      </x:c>
      <x:c r="C1021" s="13" t="n">
        <x:v>0</x:v>
      </x:c>
    </x:row>
    <x:row r="1022" ht="20" customHeight="1">
      <x:c r="A1022" s="1" t="str">
        <x:v>21212</x:v>
      </x:c>
      <x:c r="B1022" s="9" t="d">
        <x:v>2011-09-13T00:00:00.000Z</x:v>
      </x:c>
      <x:c r="C1022" s="13" t="n">
        <x:v>810</x:v>
      </x:c>
    </x:row>
    <x:row r="1023" ht="20" customHeight="1">
      <x:c r="A1023" s="1" t="str">
        <x:v>21212</x:v>
      </x:c>
      <x:c r="B1023" s="9" t="d">
        <x:v>2011-09-14T00:00:00.000Z</x:v>
      </x:c>
      <x:c r="C1023" s="13" t="n">
        <x:v>36</x:v>
      </x:c>
    </x:row>
    <x:row r="1024" ht="20" customHeight="1">
      <x:c r="A1024" s="1" t="str">
        <x:v>21212</x:v>
      </x:c>
      <x:c r="B1024" s="9" t="d">
        <x:v>2011-09-15T00:00:00.000Z</x:v>
      </x:c>
      <x:c r="C1024" s="13" t="n">
        <x:v>65</x:v>
      </x:c>
    </x:row>
    <x:row r="1025" ht="20" customHeight="1">
      <x:c r="A1025" s="1" t="str">
        <x:v>21212</x:v>
      </x:c>
      <x:c r="B1025" s="9" t="d">
        <x:v>2011-09-16T00:00:00.000Z</x:v>
      </x:c>
      <x:c r="C1025" s="13" t="n">
        <x:v>41</x:v>
      </x:c>
    </x:row>
    <x:row r="1026" ht="20" customHeight="1">
      <x:c r="A1026" s="1" t="str">
        <x:v>21212</x:v>
      </x:c>
      <x:c r="B1026" s="9" t="d">
        <x:v>2011-09-17T00:00:00.000Z</x:v>
      </x:c>
      <x:c r="C1026" s="13" t="n">
        <x:v>0</x:v>
      </x:c>
    </x:row>
    <x:row r="1027" ht="20" customHeight="1">
      <x:c r="A1027" s="1" t="str">
        <x:v>21212</x:v>
      </x:c>
      <x:c r="B1027" s="9" t="d">
        <x:v>2011-09-18T00:00:00.000Z</x:v>
      </x:c>
      <x:c r="C1027" s="13" t="n">
        <x:v>3</x:v>
      </x:c>
    </x:row>
    <x:row r="1028" ht="20" customHeight="1">
      <x:c r="A1028" s="1" t="str">
        <x:v>21212</x:v>
      </x:c>
      <x:c r="B1028" s="9" t="d">
        <x:v>2011-09-19T00:00:00.000Z</x:v>
      </x:c>
      <x:c r="C1028" s="13" t="n">
        <x:v>362</x:v>
      </x:c>
    </x:row>
    <x:row r="1029" ht="20" customHeight="1">
      <x:c r="A1029" s="1" t="str">
        <x:v>21212</x:v>
      </x:c>
      <x:c r="B1029" s="9" t="d">
        <x:v>2011-09-20T00:00:00.000Z</x:v>
      </x:c>
      <x:c r="C1029" s="13" t="n">
        <x:v>94</x:v>
      </x:c>
    </x:row>
    <x:row r="1030" ht="20" customHeight="1">
      <x:c r="A1030" s="1" t="str">
        <x:v>21212</x:v>
      </x:c>
      <x:c r="B1030" s="9" t="d">
        <x:v>2011-09-21T00:00:00.000Z</x:v>
      </x:c>
      <x:c r="C1030" s="13" t="n">
        <x:v>230</x:v>
      </x:c>
    </x:row>
    <x:row r="1031" ht="20" customHeight="1">
      <x:c r="A1031" s="1" t="str">
        <x:v>21212</x:v>
      </x:c>
      <x:c r="B1031" s="9" t="d">
        <x:v>2011-09-22T00:00:00.000Z</x:v>
      </x:c>
      <x:c r="C1031" s="13" t="n">
        <x:v>248</x:v>
      </x:c>
    </x:row>
    <x:row r="1032" ht="20" customHeight="1">
      <x:c r="A1032" s="1" t="str">
        <x:v>21212</x:v>
      </x:c>
      <x:c r="B1032" s="9" t="d">
        <x:v>2011-09-23T00:00:00.000Z</x:v>
      </x:c>
      <x:c r="C1032" s="13" t="n">
        <x:v>83</x:v>
      </x:c>
    </x:row>
    <x:row r="1033" ht="20" customHeight="1">
      <x:c r="A1033" s="1" t="str">
        <x:v>21212</x:v>
      </x:c>
      <x:c r="B1033" s="9" t="d">
        <x:v>2011-09-24T00:00:00.000Z</x:v>
      </x:c>
      <x:c r="C1033" s="13" t="n">
        <x:v>0</x:v>
      </x:c>
    </x:row>
    <x:row r="1034" ht="20" customHeight="1">
      <x:c r="A1034" s="1" t="str">
        <x:v>21212</x:v>
      </x:c>
      <x:c r="B1034" s="9" t="d">
        <x:v>2011-09-25T00:00:00.000Z</x:v>
      </x:c>
      <x:c r="C1034" s="13" t="n">
        <x:v>11</x:v>
      </x:c>
    </x:row>
    <x:row r="1035" ht="20" customHeight="1">
      <x:c r="A1035" s="1" t="str">
        <x:v>21212</x:v>
      </x:c>
      <x:c r="B1035" s="9" t="d">
        <x:v>2011-09-26T00:00:00.000Z</x:v>
      </x:c>
      <x:c r="C1035" s="13" t="n">
        <x:v>28</x:v>
      </x:c>
    </x:row>
    <x:row r="1036" ht="20" customHeight="1">
      <x:c r="A1036" s="1" t="str">
        <x:v>21212</x:v>
      </x:c>
      <x:c r="B1036" s="9" t="d">
        <x:v>2011-09-27T00:00:00.000Z</x:v>
      </x:c>
      <x:c r="C1036" s="13" t="n">
        <x:v>89</x:v>
      </x:c>
    </x:row>
    <x:row r="1037" ht="20" customHeight="1">
      <x:c r="A1037" s="1" t="str">
        <x:v>21212</x:v>
      </x:c>
      <x:c r="B1037" s="9" t="d">
        <x:v>2011-09-28T00:00:00.000Z</x:v>
      </x:c>
      <x:c r="C1037" s="13" t="n">
        <x:v>34</x:v>
      </x:c>
    </x:row>
    <x:row r="1038" ht="20" customHeight="1">
      <x:c r="A1038" s="1" t="str">
        <x:v>21212</x:v>
      </x:c>
      <x:c r="B1038" s="9" t="d">
        <x:v>2011-09-29T00:00:00.000Z</x:v>
      </x:c>
      <x:c r="C1038" s="13" t="n">
        <x:v>148</x:v>
      </x:c>
    </x:row>
    <x:row r="1039" ht="20" customHeight="1">
      <x:c r="A1039" s="1" t="str">
        <x:v>21212</x:v>
      </x:c>
      <x:c r="B1039" s="9" t="d">
        <x:v>2011-09-30T00:00:00.000Z</x:v>
      </x:c>
      <x:c r="C1039" s="13" t="n">
        <x:v>49</x:v>
      </x:c>
    </x:row>
    <x:row r="1040" ht="20" customHeight="1">
      <x:c r="A1040" s="1" t="str">
        <x:v>21212</x:v>
      </x:c>
      <x:c r="B1040" s="9" t="d">
        <x:v>2011-10-01T00:00:00.000Z</x:v>
      </x:c>
      <x:c r="C1040" s="13" t="n">
        <x:v>0</x:v>
      </x:c>
    </x:row>
    <x:row r="1041" ht="20" customHeight="1">
      <x:c r="A1041" s="1" t="str">
        <x:v>21212</x:v>
      </x:c>
      <x:c r="B1041" s="9" t="d">
        <x:v>2011-10-02T00:00:00.000Z</x:v>
      </x:c>
      <x:c r="C1041" s="13" t="n">
        <x:v>11</x:v>
      </x:c>
    </x:row>
    <x:row r="1042" ht="20" customHeight="1">
      <x:c r="A1042" s="1" t="str">
        <x:v>21212</x:v>
      </x:c>
      <x:c r="B1042" s="9" t="d">
        <x:v>2011-10-03T00:00:00.000Z</x:v>
      </x:c>
      <x:c r="C1042" s="13" t="n">
        <x:v>26</x:v>
      </x:c>
    </x:row>
    <x:row r="1043" ht="20" customHeight="1">
      <x:c r="A1043" s="1" t="str">
        <x:v>21212</x:v>
      </x:c>
      <x:c r="B1043" s="9" t="d">
        <x:v>2011-10-04T00:00:00.000Z</x:v>
      </x:c>
      <x:c r="C1043" s="13" t="n">
        <x:v>83</x:v>
      </x:c>
    </x:row>
    <x:row r="1044" ht="20" customHeight="1">
      <x:c r="A1044" s="1" t="str">
        <x:v>21212</x:v>
      </x:c>
      <x:c r="B1044" s="9" t="d">
        <x:v>2011-10-05T00:00:00.000Z</x:v>
      </x:c>
      <x:c r="C1044" s="13" t="n">
        <x:v>24</x:v>
      </x:c>
    </x:row>
    <x:row r="1045" ht="20" customHeight="1">
      <x:c r="A1045" s="1" t="str">
        <x:v>21212</x:v>
      </x:c>
      <x:c r="B1045" s="9" t="d">
        <x:v>2011-10-06T00:00:00.000Z</x:v>
      </x:c>
      <x:c r="C1045" s="13" t="n">
        <x:v>146</x:v>
      </x:c>
    </x:row>
    <x:row r="1046" ht="20" customHeight="1">
      <x:c r="A1046" s="1" t="str">
        <x:v>21212</x:v>
      </x:c>
      <x:c r="B1046" s="9" t="d">
        <x:v>2011-10-07T00:00:00.000Z</x:v>
      </x:c>
      <x:c r="C1046" s="13" t="n">
        <x:v>186</x:v>
      </x:c>
    </x:row>
    <x:row r="1047" ht="20" customHeight="1">
      <x:c r="A1047" s="1" t="str">
        <x:v>21212</x:v>
      </x:c>
      <x:c r="B1047" s="9" t="d">
        <x:v>2011-10-08T00:00:00.000Z</x:v>
      </x:c>
      <x:c r="C1047" s="13" t="n">
        <x:v>0</x:v>
      </x:c>
    </x:row>
    <x:row r="1048" ht="20" customHeight="1">
      <x:c r="A1048" s="1" t="str">
        <x:v>21212</x:v>
      </x:c>
      <x:c r="B1048" s="9" t="d">
        <x:v>2011-10-09T00:00:00.000Z</x:v>
      </x:c>
      <x:c r="C1048" s="13" t="n">
        <x:v>12</x:v>
      </x:c>
    </x:row>
    <x:row r="1049" ht="20" customHeight="1">
      <x:c r="A1049" s="1" t="str">
        <x:v>21212</x:v>
      </x:c>
      <x:c r="B1049" s="9" t="d">
        <x:v>2011-10-10T00:00:00.000Z</x:v>
      </x:c>
      <x:c r="C1049" s="13" t="n">
        <x:v>105</x:v>
      </x:c>
    </x:row>
    <x:row r="1050" ht="20" customHeight="1">
      <x:c r="A1050" s="1" t="str">
        <x:v>21212</x:v>
      </x:c>
      <x:c r="B1050" s="9" t="d">
        <x:v>2011-10-11T00:00:00.000Z</x:v>
      </x:c>
      <x:c r="C1050" s="13" t="n">
        <x:v>83</x:v>
      </x:c>
    </x:row>
    <x:row r="1051" ht="20" customHeight="1">
      <x:c r="A1051" s="1" t="str">
        <x:v>21212</x:v>
      </x:c>
      <x:c r="B1051" s="9" t="d">
        <x:v>2011-10-12T00:00:00.000Z</x:v>
      </x:c>
      <x:c r="C1051" s="13" t="n">
        <x:v>73</x:v>
      </x:c>
    </x:row>
    <x:row r="1052" ht="20" customHeight="1">
      <x:c r="A1052" s="1" t="str">
        <x:v>21212</x:v>
      </x:c>
      <x:c r="B1052" s="9" t="d">
        <x:v>2011-10-13T00:00:00.000Z</x:v>
      </x:c>
      <x:c r="C1052" s="13" t="n">
        <x:v>169</x:v>
      </x:c>
    </x:row>
    <x:row r="1053" ht="20" customHeight="1">
      <x:c r="A1053" s="1" t="str">
        <x:v>21212</x:v>
      </x:c>
      <x:c r="B1053" s="9" t="d">
        <x:v>2011-10-14T00:00:00.000Z</x:v>
      </x:c>
      <x:c r="C1053" s="13" t="n">
        <x:v>45</x:v>
      </x:c>
    </x:row>
    <x:row r="1054" ht="20" customHeight="1">
      <x:c r="A1054" s="1" t="str">
        <x:v>21212</x:v>
      </x:c>
      <x:c r="B1054" s="9" t="d">
        <x:v>2011-10-15T00:00:00.000Z</x:v>
      </x:c>
      <x:c r="C1054" s="13" t="n">
        <x:v>0</x:v>
      </x:c>
    </x:row>
    <x:row r="1055" ht="20" customHeight="1">
      <x:c r="A1055" s="1" t="str">
        <x:v>21212</x:v>
      </x:c>
      <x:c r="B1055" s="9" t="d">
        <x:v>2011-10-16T00:00:00.000Z</x:v>
      </x:c>
      <x:c r="C1055" s="13" t="n">
        <x:v>24</x:v>
      </x:c>
    </x:row>
    <x:row r="1056" ht="20" customHeight="1">
      <x:c r="A1056" s="1" t="str">
        <x:v>21212</x:v>
      </x:c>
      <x:c r="B1056" s="9" t="d">
        <x:v>2011-10-17T00:00:00.000Z</x:v>
      </x:c>
      <x:c r="C1056" s="13" t="n">
        <x:v>275</x:v>
      </x:c>
    </x:row>
    <x:row r="1057" ht="20" customHeight="1">
      <x:c r="A1057" s="1" t="str">
        <x:v>21212</x:v>
      </x:c>
      <x:c r="B1057" s="9" t="d">
        <x:v>2011-10-18T00:00:00.000Z</x:v>
      </x:c>
      <x:c r="C1057" s="13" t="n">
        <x:v>80</x:v>
      </x:c>
    </x:row>
    <x:row r="1058" ht="20" customHeight="1">
      <x:c r="A1058" s="1" t="str">
        <x:v>21212</x:v>
      </x:c>
      <x:c r="B1058" s="9" t="d">
        <x:v>2011-10-19T00:00:00.000Z</x:v>
      </x:c>
      <x:c r="C1058" s="13" t="n">
        <x:v>0</x:v>
      </x:c>
    </x:row>
    <x:row r="1059" ht="20" customHeight="1">
      <x:c r="A1059" s="1" t="str">
        <x:v>21212</x:v>
      </x:c>
      <x:c r="B1059" s="9" t="d">
        <x:v>2011-10-20T00:00:00.000Z</x:v>
      </x:c>
      <x:c r="C1059" s="13" t="n">
        <x:v>72</x:v>
      </x:c>
    </x:row>
    <x:row r="1060" ht="20" customHeight="1">
      <x:c r="A1060" s="1" t="str">
        <x:v>21212</x:v>
      </x:c>
      <x:c r="B1060" s="9" t="d">
        <x:v>2011-10-21T00:00:00.000Z</x:v>
      </x:c>
      <x:c r="C1060" s="13" t="n">
        <x:v>49</x:v>
      </x:c>
    </x:row>
    <x:row r="1061" ht="20" customHeight="1">
      <x:c r="A1061" s="1" t="str">
        <x:v>21212</x:v>
      </x:c>
      <x:c r="B1061" s="9" t="d">
        <x:v>2011-10-22T00:00:00.000Z</x:v>
      </x:c>
      <x:c r="C1061" s="13" t="n">
        <x:v>0</x:v>
      </x:c>
    </x:row>
    <x:row r="1062" ht="20" customHeight="1">
      <x:c r="A1062" s="1" t="str">
        <x:v>21212</x:v>
      </x:c>
      <x:c r="B1062" s="9" t="d">
        <x:v>2011-10-23T00:00:00.000Z</x:v>
      </x:c>
      <x:c r="C1062" s="13" t="n">
        <x:v>27</x:v>
      </x:c>
    </x:row>
    <x:row r="1063" ht="20" customHeight="1">
      <x:c r="A1063" s="1" t="str">
        <x:v>21212</x:v>
      </x:c>
      <x:c r="B1063" s="9" t="d">
        <x:v>2011-10-24T00:00:00.000Z</x:v>
      </x:c>
      <x:c r="C1063" s="13" t="n">
        <x:v>14</x:v>
      </x:c>
    </x:row>
    <x:row r="1064" ht="20" customHeight="1">
      <x:c r="A1064" s="1" t="str">
        <x:v>21212</x:v>
      </x:c>
      <x:c r="B1064" s="9" t="d">
        <x:v>2011-10-25T00:00:00.000Z</x:v>
      </x:c>
      <x:c r="C1064" s="13" t="n">
        <x:v>61</x:v>
      </x:c>
    </x:row>
    <x:row r="1065" ht="20" customHeight="1">
      <x:c r="A1065" s="1" t="str">
        <x:v>21212</x:v>
      </x:c>
      <x:c r="B1065" s="9" t="d">
        <x:v>2011-10-26T00:00:00.000Z</x:v>
      </x:c>
      <x:c r="C1065" s="13" t="n">
        <x:v>60</x:v>
      </x:c>
    </x:row>
    <x:row r="1066" ht="20" customHeight="1">
      <x:c r="A1066" s="1" t="str">
        <x:v>21212</x:v>
      </x:c>
      <x:c r="B1066" s="9" t="d">
        <x:v>2011-10-27T00:00:00.000Z</x:v>
      </x:c>
      <x:c r="C1066" s="13" t="n">
        <x:v>61</x:v>
      </x:c>
    </x:row>
    <x:row r="1067" ht="20" customHeight="1">
      <x:c r="A1067" s="1" t="str">
        <x:v>21212</x:v>
      </x:c>
      <x:c r="B1067" s="9" t="d">
        <x:v>2011-10-28T00:00:00.000Z</x:v>
      </x:c>
      <x:c r="C1067" s="13" t="n">
        <x:v>244</x:v>
      </x:c>
    </x:row>
    <x:row r="1068" ht="20" customHeight="1">
      <x:c r="A1068" s="1" t="str">
        <x:v>21212</x:v>
      </x:c>
      <x:c r="B1068" s="9" t="d">
        <x:v>2011-10-29T00:00:00.000Z</x:v>
      </x:c>
      <x:c r="C1068" s="13" t="n">
        <x:v>0</x:v>
      </x:c>
    </x:row>
    <x:row r="1069" ht="20" customHeight="1">
      <x:c r="A1069" s="1" t="str">
        <x:v>21212</x:v>
      </x:c>
      <x:c r="B1069" s="9" t="d">
        <x:v>2011-10-30T00:00:00.000Z</x:v>
      </x:c>
      <x:c r="C1069" s="13" t="n">
        <x:v>81</x:v>
      </x:c>
    </x:row>
    <x:row r="1070" ht="20" customHeight="1">
      <x:c r="A1070" s="1" t="str">
        <x:v>21212</x:v>
      </x:c>
      <x:c r="B1070" s="9" t="d">
        <x:v>2011-10-31T00:00:00.000Z</x:v>
      </x:c>
      <x:c r="C1070" s="13" t="n">
        <x:v>64</x:v>
      </x:c>
    </x:row>
    <x:row r="1071" ht="20" customHeight="1">
      <x:c r="A1071" s="1" t="str">
        <x:v>21212</x:v>
      </x:c>
      <x:c r="B1071" s="9" t="d">
        <x:v>2011-11-01T00:00:00.000Z</x:v>
      </x:c>
      <x:c r="C1071" s="13" t="n">
        <x:v>28</x:v>
      </x:c>
    </x:row>
    <x:row r="1072" ht="20" customHeight="1">
      <x:c r="A1072" s="1" t="str">
        <x:v>21212</x:v>
      </x:c>
      <x:c r="B1072" s="9" t="d">
        <x:v>2011-11-02T00:00:00.000Z</x:v>
      </x:c>
      <x:c r="C1072" s="13" t="n">
        <x:v>219</x:v>
      </x:c>
    </x:row>
    <x:row r="1073" ht="20" customHeight="1">
      <x:c r="A1073" s="1" t="str">
        <x:v>21212</x:v>
      </x:c>
      <x:c r="B1073" s="9" t="d">
        <x:v>2011-11-03T00:00:00.000Z</x:v>
      </x:c>
      <x:c r="C1073" s="13" t="n">
        <x:v>529</x:v>
      </x:c>
    </x:row>
    <x:row r="1074" ht="20" customHeight="1">
      <x:c r="A1074" s="1" t="str">
        <x:v>21212</x:v>
      </x:c>
      <x:c r="B1074" s="9" t="d">
        <x:v>2011-11-04T00:00:00.000Z</x:v>
      </x:c>
      <x:c r="C1074" s="13" t="n">
        <x:v>55</x:v>
      </x:c>
    </x:row>
    <x:row r="1075" ht="20" customHeight="1">
      <x:c r="A1075" s="1" t="str">
        <x:v>21212</x:v>
      </x:c>
      <x:c r="B1075" s="9" t="d">
        <x:v>2011-11-05T00:00:00.000Z</x:v>
      </x:c>
      <x:c r="C1075" s="13" t="n">
        <x:v>0</x:v>
      </x:c>
    </x:row>
    <x:row r="1076" ht="20" customHeight="1">
      <x:c r="A1076" s="1" t="str">
        <x:v>21212</x:v>
      </x:c>
      <x:c r="B1076" s="9" t="d">
        <x:v>2011-11-06T00:00:00.000Z</x:v>
      </x:c>
      <x:c r="C1076" s="13" t="n">
        <x:v>146</x:v>
      </x:c>
    </x:row>
    <x:row r="1077" ht="20" customHeight="1">
      <x:c r="A1077" s="1" t="str">
        <x:v>21212</x:v>
      </x:c>
      <x:c r="B1077" s="9" t="d">
        <x:v>2011-11-07T00:00:00.000Z</x:v>
      </x:c>
      <x:c r="C1077" s="13" t="n">
        <x:v>77</x:v>
      </x:c>
    </x:row>
    <x:row r="1078" ht="20" customHeight="1">
      <x:c r="A1078" s="1" t="str">
        <x:v>21212</x:v>
      </x:c>
      <x:c r="B1078" s="9" t="d">
        <x:v>2011-11-08T00:00:00.000Z</x:v>
      </x:c>
      <x:c r="C1078" s="13" t="n">
        <x:v>66</x:v>
      </x:c>
    </x:row>
    <x:row r="1079" ht="20" customHeight="1">
      <x:c r="A1079" s="1" t="str">
        <x:v>21212</x:v>
      </x:c>
      <x:c r="B1079" s="9" t="d">
        <x:v>2011-11-09T00:00:00.000Z</x:v>
      </x:c>
      <x:c r="C1079" s="13" t="n">
        <x:v>4</x:v>
      </x:c>
    </x:row>
    <x:row r="1080" ht="20" customHeight="1">
      <x:c r="A1080" s="1" t="str">
        <x:v>21212</x:v>
      </x:c>
      <x:c r="B1080" s="9" t="d">
        <x:v>2011-11-10T00:00:00.000Z</x:v>
      </x:c>
      <x:c r="C1080" s="13" t="n">
        <x:v>78</x:v>
      </x:c>
    </x:row>
    <x:row r="1081" ht="20" customHeight="1">
      <x:c r="A1081" s="1" t="str">
        <x:v>21212</x:v>
      </x:c>
      <x:c r="B1081" s="9" t="d">
        <x:v>2011-11-11T00:00:00.000Z</x:v>
      </x:c>
      <x:c r="C1081" s="13" t="n">
        <x:v>50</x:v>
      </x:c>
    </x:row>
    <x:row r="1082" ht="20" customHeight="1">
      <x:c r="A1082" s="1" t="str">
        <x:v>21212</x:v>
      </x:c>
      <x:c r="B1082" s="9" t="d">
        <x:v>2011-11-12T00:00:00.000Z</x:v>
      </x:c>
      <x:c r="C1082" s="13" t="n">
        <x:v>0</x:v>
      </x:c>
    </x:row>
    <x:row r="1083" ht="20" customHeight="1">
      <x:c r="A1083" s="1" t="str">
        <x:v>21212</x:v>
      </x:c>
      <x:c r="B1083" s="9" t="d">
        <x:v>2011-11-13T00:00:00.000Z</x:v>
      </x:c>
      <x:c r="C1083" s="13" t="n">
        <x:v>87</x:v>
      </x:c>
    </x:row>
    <x:row r="1084" ht="20" customHeight="1">
      <x:c r="A1084" s="1" t="str">
        <x:v>21212</x:v>
      </x:c>
      <x:c r="B1084" s="9" t="d">
        <x:v>2011-11-14T00:00:00.000Z</x:v>
      </x:c>
      <x:c r="C1084" s="13" t="n">
        <x:v>164</x:v>
      </x:c>
    </x:row>
    <x:row r="1085" ht="20" customHeight="1">
      <x:c r="A1085" s="1" t="str">
        <x:v>21212</x:v>
      </x:c>
      <x:c r="B1085" s="9" t="d">
        <x:v>2011-11-15T00:00:00.000Z</x:v>
      </x:c>
      <x:c r="C1085" s="13" t="n">
        <x:v>62</x:v>
      </x:c>
    </x:row>
    <x:row r="1086" ht="20" customHeight="1">
      <x:c r="A1086" s="1" t="str">
        <x:v>21212</x:v>
      </x:c>
      <x:c r="B1086" s="9" t="d">
        <x:v>2011-11-16T00:00:00.000Z</x:v>
      </x:c>
      <x:c r="C1086" s="13" t="n">
        <x:v>88</x:v>
      </x:c>
    </x:row>
    <x:row r="1087" ht="20" customHeight="1">
      <x:c r="A1087" s="1" t="str">
        <x:v>21212</x:v>
      </x:c>
      <x:c r="B1087" s="9" t="d">
        <x:v>2011-11-17T00:00:00.000Z</x:v>
      </x:c>
      <x:c r="C1087" s="13" t="n">
        <x:v>84</x:v>
      </x:c>
    </x:row>
    <x:row r="1088" ht="20" customHeight="1">
      <x:c r="A1088" s="1" t="str">
        <x:v>21212</x:v>
      </x:c>
      <x:c r="B1088" s="9" t="d">
        <x:v>2011-11-18T00:00:00.000Z</x:v>
      </x:c>
      <x:c r="C1088" s="13" t="n">
        <x:v>109</x:v>
      </x:c>
    </x:row>
    <x:row r="1089" ht="20" customHeight="1">
      <x:c r="A1089" s="1" t="str">
        <x:v>21212</x:v>
      </x:c>
      <x:c r="B1089" s="9" t="d">
        <x:v>2011-11-19T00:00:00.000Z</x:v>
      </x:c>
      <x:c r="C1089" s="13" t="n">
        <x:v>0</x:v>
      </x:c>
    </x:row>
    <x:row r="1090" ht="20" customHeight="1">
      <x:c r="A1090" s="1" t="str">
        <x:v>21212</x:v>
      </x:c>
      <x:c r="B1090" s="9" t="d">
        <x:v>2011-11-20T00:00:00.000Z</x:v>
      </x:c>
      <x:c r="C1090" s="13" t="n">
        <x:v>81</x:v>
      </x:c>
    </x:row>
    <x:row r="1091" ht="20" customHeight="1">
      <x:c r="A1091" s="1" t="str">
        <x:v>21212</x:v>
      </x:c>
      <x:c r="B1091" s="9" t="d">
        <x:v>2011-11-21T00:00:00.000Z</x:v>
      </x:c>
      <x:c r="C1091" s="13" t="n">
        <x:v>100</x:v>
      </x:c>
    </x:row>
    <x:row r="1092" ht="20" customHeight="1">
      <x:c r="A1092" s="1" t="str">
        <x:v>21212</x:v>
      </x:c>
      <x:c r="B1092" s="9" t="d">
        <x:v>2011-11-22T00:00:00.000Z</x:v>
      </x:c>
      <x:c r="C1092" s="13" t="n">
        <x:v>99</x:v>
      </x:c>
    </x:row>
    <x:row r="1093" ht="20" customHeight="1">
      <x:c r="A1093" s="1" t="str">
        <x:v>21212</x:v>
      </x:c>
      <x:c r="B1093" s="9" t="d">
        <x:v>2011-11-23T00:00:00.000Z</x:v>
      </x:c>
      <x:c r="C1093" s="13" t="n">
        <x:v>81</x:v>
      </x:c>
    </x:row>
    <x:row r="1094" ht="20" customHeight="1">
      <x:c r="A1094" s="1" t="str">
        <x:v>21212</x:v>
      </x:c>
      <x:c r="B1094" s="9" t="d">
        <x:v>2011-11-24T00:00:00.000Z</x:v>
      </x:c>
      <x:c r="C1094" s="13" t="n">
        <x:v>1</x:v>
      </x:c>
    </x:row>
    <x:row r="1095" ht="20" customHeight="1">
      <x:c r="A1095" s="1" t="str">
        <x:v>21212</x:v>
      </x:c>
      <x:c r="B1095" s="9" t="d">
        <x:v>2011-11-25T00:00:00.000Z</x:v>
      </x:c>
      <x:c r="C1095" s="13" t="n">
        <x:v>45</x:v>
      </x:c>
    </x:row>
    <x:row r="1096" ht="20" customHeight="1">
      <x:c r="A1096" s="1" t="str">
        <x:v>21212</x:v>
      </x:c>
      <x:c r="B1096" s="9" t="d">
        <x:v>2011-11-26T00:00:00.000Z</x:v>
      </x:c>
      <x:c r="C1096" s="13" t="n">
        <x:v>0</x:v>
      </x:c>
    </x:row>
    <x:row r="1097" ht="20" customHeight="1">
      <x:c r="A1097" s="1" t="str">
        <x:v>21212</x:v>
      </x:c>
      <x:c r="B1097" s="9" t="d">
        <x:v>2011-11-27T00:00:00.000Z</x:v>
      </x:c>
      <x:c r="C1097" s="13" t="n">
        <x:v>15</x:v>
      </x:c>
    </x:row>
    <x:row r="1098" ht="20" customHeight="1">
      <x:c r="A1098" s="1" t="str">
        <x:v>21212</x:v>
      </x:c>
      <x:c r="B1098" s="9" t="d">
        <x:v>2011-11-28T00:00:00.000Z</x:v>
      </x:c>
      <x:c r="C1098" s="13" t="n">
        <x:v>60</x:v>
      </x:c>
    </x:row>
    <x:row r="1099" ht="20" customHeight="1">
      <x:c r="A1099" s="1" t="str">
        <x:v>21212</x:v>
      </x:c>
      <x:c r="B1099" s="9" t="d">
        <x:v>2011-11-29T00:00:00.000Z</x:v>
      </x:c>
      <x:c r="C1099" s="13" t="n">
        <x:v>52</x:v>
      </x:c>
    </x:row>
    <x:row r="1100" ht="20" customHeight="1">
      <x:c r="A1100" s="1" t="str">
        <x:v>21212</x:v>
      </x:c>
      <x:c r="B1100" s="9" t="d">
        <x:v>2011-11-30T00:00:00.000Z</x:v>
      </x:c>
      <x:c r="C1100" s="13" t="n">
        <x:v>241</x:v>
      </x:c>
    </x:row>
    <x:row r="1101" ht="20" customHeight="1">
      <x:c r="A1101" s="1" t="str">
        <x:v>21733</x:v>
      </x:c>
      <x:c r="B1101" s="9" t="d">
        <x:v>2010-12-01T00:00:00.000Z</x:v>
      </x:c>
      <x:c r="C1101" s="13" t="n">
        <x:v>82</x:v>
      </x:c>
    </x:row>
    <x:row r="1102" ht="20" customHeight="1">
      <x:c r="A1102" s="1" t="str">
        <x:v>21733</x:v>
      </x:c>
      <x:c r="B1102" s="9" t="d">
        <x:v>2010-12-02T00:00:00.000Z</x:v>
      </x:c>
      <x:c r="C1102" s="13" t="n">
        <x:v>24</x:v>
      </x:c>
    </x:row>
    <x:row r="1103" ht="20" customHeight="1">
      <x:c r="A1103" s="1" t="str">
        <x:v>21733</x:v>
      </x:c>
      <x:c r="B1103" s="9" t="d">
        <x:v>2010-12-03T00:00:00.000Z</x:v>
      </x:c>
      <x:c r="C1103" s="13" t="n">
        <x:v>50</x:v>
      </x:c>
    </x:row>
    <x:row r="1104" ht="20" customHeight="1">
      <x:c r="A1104" s="1" t="str">
        <x:v>21733</x:v>
      </x:c>
      <x:c r="B1104" s="9" t="d">
        <x:v>2010-12-04T00:00:00.000Z</x:v>
      </x:c>
      <x:c r="C1104" s="13" t="n">
        <x:v>0</x:v>
      </x:c>
    </x:row>
    <x:row r="1105" ht="20" customHeight="1">
      <x:c r="A1105" s="1" t="str">
        <x:v>21733</x:v>
      </x:c>
      <x:c r="B1105" s="9" t="d">
        <x:v>2010-12-05T00:00:00.000Z</x:v>
      </x:c>
      <x:c r="C1105" s="13" t="n">
        <x:v>72</x:v>
      </x:c>
    </x:row>
    <x:row r="1106" ht="20" customHeight="1">
      <x:c r="A1106" s="1" t="str">
        <x:v>21733</x:v>
      </x:c>
      <x:c r="B1106" s="9" t="d">
        <x:v>2010-12-06T00:00:00.000Z</x:v>
      </x:c>
      <x:c r="C1106" s="13" t="n">
        <x:v>15</x:v>
      </x:c>
    </x:row>
    <x:row r="1107" ht="20" customHeight="1">
      <x:c r="A1107" s="1" t="str">
        <x:v>21733</x:v>
      </x:c>
      <x:c r="B1107" s="9" t="d">
        <x:v>2010-12-07T00:00:00.000Z</x:v>
      </x:c>
      <x:c r="C1107" s="13" t="n">
        <x:v>36</x:v>
      </x:c>
    </x:row>
    <x:row r="1108" ht="20" customHeight="1">
      <x:c r="A1108" s="1" t="str">
        <x:v>21733</x:v>
      </x:c>
      <x:c r="B1108" s="9" t="d">
        <x:v>2010-12-08T00:00:00.000Z</x:v>
      </x:c>
      <x:c r="C1108" s="13" t="n">
        <x:v>26</x:v>
      </x:c>
    </x:row>
    <x:row r="1109" ht="20" customHeight="1">
      <x:c r="A1109" s="1" t="str">
        <x:v>21733</x:v>
      </x:c>
      <x:c r="B1109" s="9" t="d">
        <x:v>2010-12-09T00:00:00.000Z</x:v>
      </x:c>
      <x:c r="C1109" s="13" t="n">
        <x:v>80</x:v>
      </x:c>
    </x:row>
    <x:row r="1110" ht="20" customHeight="1">
      <x:c r="A1110" s="1" t="str">
        <x:v>21733</x:v>
      </x:c>
      <x:c r="B1110" s="9" t="d">
        <x:v>2010-12-10T00:00:00.000Z</x:v>
      </x:c>
      <x:c r="C1110" s="13" t="n">
        <x:v>73</x:v>
      </x:c>
    </x:row>
    <x:row r="1111" ht="20" customHeight="1">
      <x:c r="A1111" s="1" t="str">
        <x:v>21733</x:v>
      </x:c>
      <x:c r="B1111" s="9" t="d">
        <x:v>2010-12-11T00:00:00.000Z</x:v>
      </x:c>
      <x:c r="C1111" s="13" t="n">
        <x:v>0</x:v>
      </x:c>
    </x:row>
    <x:row r="1112" ht="20" customHeight="1">
      <x:c r="A1112" s="1" t="str">
        <x:v>21733</x:v>
      </x:c>
      <x:c r="B1112" s="9" t="d">
        <x:v>2010-12-12T00:00:00.000Z</x:v>
      </x:c>
      <x:c r="C1112" s="13" t="n">
        <x:v>27</x:v>
      </x:c>
    </x:row>
    <x:row r="1113" ht="20" customHeight="1">
      <x:c r="A1113" s="1" t="str">
        <x:v>21733</x:v>
      </x:c>
      <x:c r="B1113" s="9" t="d">
        <x:v>2010-12-13T00:00:00.000Z</x:v>
      </x:c>
      <x:c r="C1113" s="13" t="n">
        <x:v>22</x:v>
      </x:c>
    </x:row>
    <x:row r="1114" ht="20" customHeight="1">
      <x:c r="A1114" s="1" t="str">
        <x:v>21733</x:v>
      </x:c>
      <x:c r="B1114" s="9" t="d">
        <x:v>2010-12-14T00:00:00.000Z</x:v>
      </x:c>
      <x:c r="C1114" s="13" t="n">
        <x:v>68</x:v>
      </x:c>
    </x:row>
    <x:row r="1115" ht="20" customHeight="1">
      <x:c r="A1115" s="1" t="str">
        <x:v>21733</x:v>
      </x:c>
      <x:c r="B1115" s="9" t="d">
        <x:v>2010-12-15T00:00:00.000Z</x:v>
      </x:c>
      <x:c r="C1115" s="13" t="n">
        <x:v>44</x:v>
      </x:c>
    </x:row>
    <x:row r="1116" ht="20" customHeight="1">
      <x:c r="A1116" s="1" t="str">
        <x:v>21733</x:v>
      </x:c>
      <x:c r="B1116" s="9" t="d">
        <x:v>2010-12-16T00:00:00.000Z</x:v>
      </x:c>
      <x:c r="C1116" s="13" t="n">
        <x:v>49</x:v>
      </x:c>
    </x:row>
    <x:row r="1117" ht="20" customHeight="1">
      <x:c r="A1117" s="1" t="str">
        <x:v>21733</x:v>
      </x:c>
      <x:c r="B1117" s="9" t="d">
        <x:v>2010-12-17T00:00:00.000Z</x:v>
      </x:c>
      <x:c r="C1117" s="13" t="n">
        <x:v>12</x:v>
      </x:c>
    </x:row>
    <x:row r="1118" ht="20" customHeight="1">
      <x:c r="A1118" s="1" t="str">
        <x:v>21733</x:v>
      </x:c>
      <x:c r="B1118" s="9" t="d">
        <x:v>2010-12-18T00:00:00.000Z</x:v>
      </x:c>
      <x:c r="C1118" s="13" t="n">
        <x:v>0</x:v>
      </x:c>
    </x:row>
    <x:row r="1119" ht="20" customHeight="1">
      <x:c r="A1119" s="1" t="str">
        <x:v>21733</x:v>
      </x:c>
      <x:c r="B1119" s="9" t="d">
        <x:v>2010-12-19T00:00:00.000Z</x:v>
      </x:c>
      <x:c r="C1119" s="13" t="n">
        <x:v>4</x:v>
      </x:c>
    </x:row>
    <x:row r="1120" ht="20" customHeight="1">
      <x:c r="A1120" s="1" t="str">
        <x:v>21733</x:v>
      </x:c>
      <x:c r="B1120" s="9" t="d">
        <x:v>2010-12-20T00:00:00.000Z</x:v>
      </x:c>
      <x:c r="C1120" s="13" t="n">
        <x:v>38</x:v>
      </x:c>
    </x:row>
    <x:row r="1121" ht="20" customHeight="1">
      <x:c r="A1121" s="1" t="str">
        <x:v>21733</x:v>
      </x:c>
      <x:c r="B1121" s="9" t="d">
        <x:v>2010-12-21T00:00:00.000Z</x:v>
      </x:c>
      <x:c r="C1121" s="13" t="n">
        <x:v>7</x:v>
      </x:c>
    </x:row>
    <x:row r="1122" ht="20" customHeight="1">
      <x:c r="A1122" s="1" t="str">
        <x:v>21733</x:v>
      </x:c>
      <x:c r="B1122" s="9" t="d">
        <x:v>2010-12-22T00:00:00.000Z</x:v>
      </x:c>
      <x:c r="C1122" s="13" t="n">
        <x:v>0</x:v>
      </x:c>
    </x:row>
    <x:row r="1123" ht="20" customHeight="1">
      <x:c r="A1123" s="1" t="str">
        <x:v>21733</x:v>
      </x:c>
      <x:c r="B1123" s="9" t="d">
        <x:v>2010-12-23T00:00:00.000Z</x:v>
      </x:c>
      <x:c r="C1123" s="13" t="n">
        <x:v>3</x:v>
      </x:c>
    </x:row>
    <x:row r="1124" ht="20" customHeight="1">
      <x:c r="A1124" s="1" t="str">
        <x:v>21733</x:v>
      </x:c>
      <x:c r="B1124" s="9" t="d">
        <x:v>2010-12-24T00:00:00.000Z</x:v>
      </x:c>
      <x:c r="C1124" s="13" t="n">
        <x:v>0</x:v>
      </x:c>
    </x:row>
    <x:row r="1125" ht="20" customHeight="1">
      <x:c r="A1125" s="1" t="str">
        <x:v>21733</x:v>
      </x:c>
      <x:c r="B1125" s="9" t="d">
        <x:v>2010-12-25T00:00:00.000Z</x:v>
      </x:c>
      <x:c r="C1125" s="13" t="n">
        <x:v>0</x:v>
      </x:c>
    </x:row>
    <x:row r="1126" ht="20" customHeight="1">
      <x:c r="A1126" s="1" t="str">
        <x:v>21733</x:v>
      </x:c>
      <x:c r="B1126" s="9" t="d">
        <x:v>2010-12-26T00:00:00.000Z</x:v>
      </x:c>
      <x:c r="C1126" s="13" t="n">
        <x:v>0</x:v>
      </x:c>
    </x:row>
    <x:row r="1127" ht="20" customHeight="1">
      <x:c r="A1127" s="1" t="str">
        <x:v>21733</x:v>
      </x:c>
      <x:c r="B1127" s="9" t="d">
        <x:v>2010-12-27T00:00:00.000Z</x:v>
      </x:c>
      <x:c r="C1127" s="13" t="n">
        <x:v>0</x:v>
      </x:c>
    </x:row>
    <x:row r="1128" ht="20" customHeight="1">
      <x:c r="A1128" s="1" t="str">
        <x:v>21733</x:v>
      </x:c>
      <x:c r="B1128" s="9" t="d">
        <x:v>2010-12-28T00:00:00.000Z</x:v>
      </x:c>
      <x:c r="C1128" s="13" t="n">
        <x:v>0</x:v>
      </x:c>
    </x:row>
    <x:row r="1129" ht="20" customHeight="1">
      <x:c r="A1129" s="1" t="str">
        <x:v>21733</x:v>
      </x:c>
      <x:c r="B1129" s="9" t="d">
        <x:v>2010-12-29T00:00:00.000Z</x:v>
      </x:c>
      <x:c r="C1129" s="13" t="n">
        <x:v>0</x:v>
      </x:c>
    </x:row>
    <x:row r="1130" ht="20" customHeight="1">
      <x:c r="A1130" s="1" t="str">
        <x:v>21733</x:v>
      </x:c>
      <x:c r="B1130" s="9" t="d">
        <x:v>2010-12-30T00:00:00.000Z</x:v>
      </x:c>
      <x:c r="C1130" s="13" t="n">
        <x:v>0</x:v>
      </x:c>
    </x:row>
    <x:row r="1131" ht="20" customHeight="1">
      <x:c r="A1131" s="1" t="str">
        <x:v>21733</x:v>
      </x:c>
      <x:c r="B1131" s="9" t="d">
        <x:v>2010-12-31T00:00:00.000Z</x:v>
      </x:c>
      <x:c r="C1131" s="13" t="n">
        <x:v>0</x:v>
      </x:c>
    </x:row>
    <x:row r="1132" ht="20" customHeight="1">
      <x:c r="A1132" s="1" t="str">
        <x:v>21733</x:v>
      </x:c>
      <x:c r="B1132" s="9" t="d">
        <x:v>2011-01-01T00:00:00.000Z</x:v>
      </x:c>
      <x:c r="C1132" s="13" t="n">
        <x:v>0</x:v>
      </x:c>
    </x:row>
    <x:row r="1133" ht="20" customHeight="1">
      <x:c r="A1133" s="1" t="str">
        <x:v>21733</x:v>
      </x:c>
      <x:c r="B1133" s="9" t="d">
        <x:v>2011-01-02T00:00:00.000Z</x:v>
      </x:c>
      <x:c r="C1133" s="13" t="n">
        <x:v>0</x:v>
      </x:c>
    </x:row>
    <x:row r="1134" ht="20" customHeight="1">
      <x:c r="A1134" s="1" t="str">
        <x:v>21733</x:v>
      </x:c>
      <x:c r="B1134" s="9" t="d">
        <x:v>2011-01-03T00:00:00.000Z</x:v>
      </x:c>
      <x:c r="C1134" s="13" t="n">
        <x:v>0</x:v>
      </x:c>
    </x:row>
    <x:row r="1135" ht="20" customHeight="1">
      <x:c r="A1135" s="1" t="str">
        <x:v>21733</x:v>
      </x:c>
      <x:c r="B1135" s="9" t="d">
        <x:v>2011-01-04T00:00:00.000Z</x:v>
      </x:c>
      <x:c r="C1135" s="13" t="n">
        <x:v>36</x:v>
      </x:c>
    </x:row>
    <x:row r="1136" ht="20" customHeight="1">
      <x:c r="A1136" s="1" t="str">
        <x:v>21733</x:v>
      </x:c>
      <x:c r="B1136" s="9" t="d">
        <x:v>2011-01-05T00:00:00.000Z</x:v>
      </x:c>
      <x:c r="C1136" s="13" t="n">
        <x:v>20</x:v>
      </x:c>
    </x:row>
    <x:row r="1137" ht="20" customHeight="1">
      <x:c r="A1137" s="1" t="str">
        <x:v>21733</x:v>
      </x:c>
      <x:c r="B1137" s="9" t="d">
        <x:v>2011-01-06T00:00:00.000Z</x:v>
      </x:c>
      <x:c r="C1137" s="13" t="n">
        <x:v>7</x:v>
      </x:c>
    </x:row>
    <x:row r="1138" ht="20" customHeight="1">
      <x:c r="A1138" s="1" t="str">
        <x:v>21733</x:v>
      </x:c>
      <x:c r="B1138" s="9" t="d">
        <x:v>2011-01-07T00:00:00.000Z</x:v>
      </x:c>
      <x:c r="C1138" s="13" t="n">
        <x:v>51</x:v>
      </x:c>
    </x:row>
    <x:row r="1139" ht="20" customHeight="1">
      <x:c r="A1139" s="1" t="str">
        <x:v>21733</x:v>
      </x:c>
      <x:c r="B1139" s="9" t="d">
        <x:v>2011-01-08T00:00:00.000Z</x:v>
      </x:c>
      <x:c r="C1139" s="13" t="n">
        <x:v>0</x:v>
      </x:c>
    </x:row>
    <x:row r="1140" ht="20" customHeight="1">
      <x:c r="A1140" s="1" t="str">
        <x:v>21733</x:v>
      </x:c>
      <x:c r="B1140" s="9" t="d">
        <x:v>2011-01-09T00:00:00.000Z</x:v>
      </x:c>
      <x:c r="C1140" s="13" t="n">
        <x:v>67</x:v>
      </x:c>
    </x:row>
    <x:row r="1141" ht="20" customHeight="1">
      <x:c r="A1141" s="1" t="str">
        <x:v>21733</x:v>
      </x:c>
      <x:c r="B1141" s="9" t="d">
        <x:v>2011-01-10T00:00:00.000Z</x:v>
      </x:c>
      <x:c r="C1141" s="13" t="n">
        <x:v>9</x:v>
      </x:c>
    </x:row>
    <x:row r="1142" ht="20" customHeight="1">
      <x:c r="A1142" s="1" t="str">
        <x:v>21733</x:v>
      </x:c>
      <x:c r="B1142" s="9" t="d">
        <x:v>2011-01-11T00:00:00.000Z</x:v>
      </x:c>
      <x:c r="C1142" s="13" t="n">
        <x:v>906</x:v>
      </x:c>
    </x:row>
    <x:row r="1143" ht="20" customHeight="1">
      <x:c r="A1143" s="1" t="str">
        <x:v>21733</x:v>
      </x:c>
      <x:c r="B1143" s="9" t="d">
        <x:v>2011-01-12T00:00:00.000Z</x:v>
      </x:c>
      <x:c r="C1143" s="13" t="n">
        <x:v>24</x:v>
      </x:c>
    </x:row>
    <x:row r="1144" ht="20" customHeight="1">
      <x:c r="A1144" s="1" t="str">
        <x:v>21733</x:v>
      </x:c>
      <x:c r="B1144" s="9" t="d">
        <x:v>2011-01-13T00:00:00.000Z</x:v>
      </x:c>
      <x:c r="C1144" s="13" t="n">
        <x:v>6</x:v>
      </x:c>
    </x:row>
    <x:row r="1145" ht="20" customHeight="1">
      <x:c r="A1145" s="1" t="str">
        <x:v>21733</x:v>
      </x:c>
      <x:c r="B1145" s="9" t="d">
        <x:v>2011-01-14T00:00:00.000Z</x:v>
      </x:c>
      <x:c r="C1145" s="13" t="n">
        <x:v>46</x:v>
      </x:c>
    </x:row>
    <x:row r="1146" ht="20" customHeight="1">
      <x:c r="A1146" s="1" t="str">
        <x:v>21733</x:v>
      </x:c>
      <x:c r="B1146" s="9" t="d">
        <x:v>2011-01-15T00:00:00.000Z</x:v>
      </x:c>
      <x:c r="C1146" s="13" t="n">
        <x:v>0</x:v>
      </x:c>
    </x:row>
    <x:row r="1147" ht="20" customHeight="1">
      <x:c r="A1147" s="1" t="str">
        <x:v>21733</x:v>
      </x:c>
      <x:c r="B1147" s="9" t="d">
        <x:v>2011-01-16T00:00:00.000Z</x:v>
      </x:c>
      <x:c r="C1147" s="13" t="n">
        <x:v>9</x:v>
      </x:c>
    </x:row>
    <x:row r="1148" ht="20" customHeight="1">
      <x:c r="A1148" s="1" t="str">
        <x:v>21733</x:v>
      </x:c>
      <x:c r="B1148" s="9" t="d">
        <x:v>2011-01-17T00:00:00.000Z</x:v>
      </x:c>
      <x:c r="C1148" s="13" t="n">
        <x:v>22</x:v>
      </x:c>
    </x:row>
    <x:row r="1149" ht="20" customHeight="1">
      <x:c r="A1149" s="1" t="str">
        <x:v>21733</x:v>
      </x:c>
      <x:c r="B1149" s="9" t="d">
        <x:v>2011-01-18T00:00:00.000Z</x:v>
      </x:c>
      <x:c r="C1149" s="13" t="n">
        <x:v>0</x:v>
      </x:c>
    </x:row>
    <x:row r="1150" ht="20" customHeight="1">
      <x:c r="A1150" s="1" t="str">
        <x:v>21733</x:v>
      </x:c>
      <x:c r="B1150" s="9" t="d">
        <x:v>2011-01-19T00:00:00.000Z</x:v>
      </x:c>
      <x:c r="C1150" s="13" t="n">
        <x:v>26</x:v>
      </x:c>
    </x:row>
    <x:row r="1151" ht="20" customHeight="1">
      <x:c r="A1151" s="1" t="str">
        <x:v>21733</x:v>
      </x:c>
      <x:c r="B1151" s="9" t="d">
        <x:v>2011-01-20T00:00:00.000Z</x:v>
      </x:c>
      <x:c r="C1151" s="13" t="n">
        <x:v>16</x:v>
      </x:c>
    </x:row>
    <x:row r="1152" ht="20" customHeight="1">
      <x:c r="A1152" s="1" t="str">
        <x:v>21733</x:v>
      </x:c>
      <x:c r="B1152" s="9" t="d">
        <x:v>2011-01-21T00:00:00.000Z</x:v>
      </x:c>
      <x:c r="C1152" s="13" t="n">
        <x:v>6</x:v>
      </x:c>
    </x:row>
    <x:row r="1153" ht="20" customHeight="1">
      <x:c r="A1153" s="1" t="str">
        <x:v>21733</x:v>
      </x:c>
      <x:c r="B1153" s="9" t="d">
        <x:v>2011-01-22T00:00:00.000Z</x:v>
      </x:c>
      <x:c r="C1153" s="13" t="n">
        <x:v>0</x:v>
      </x:c>
    </x:row>
    <x:row r="1154" ht="20" customHeight="1">
      <x:c r="A1154" s="1" t="str">
        <x:v>21733</x:v>
      </x:c>
      <x:c r="B1154" s="9" t="d">
        <x:v>2011-01-23T00:00:00.000Z</x:v>
      </x:c>
      <x:c r="C1154" s="13" t="n">
        <x:v>25</x:v>
      </x:c>
    </x:row>
    <x:row r="1155" ht="20" customHeight="1">
      <x:c r="A1155" s="1" t="str">
        <x:v>21733</x:v>
      </x:c>
      <x:c r="B1155" s="9" t="d">
        <x:v>2011-01-24T00:00:00.000Z</x:v>
      </x:c>
      <x:c r="C1155" s="13" t="n">
        <x:v>8</x:v>
      </x:c>
    </x:row>
    <x:row r="1156" ht="20" customHeight="1">
      <x:c r="A1156" s="1" t="str">
        <x:v>21733</x:v>
      </x:c>
      <x:c r="B1156" s="9" t="d">
        <x:v>2011-01-25T00:00:00.000Z</x:v>
      </x:c>
      <x:c r="C1156" s="13" t="n">
        <x:v>56</x:v>
      </x:c>
    </x:row>
    <x:row r="1157" ht="20" customHeight="1">
      <x:c r="A1157" s="1" t="str">
        <x:v>21733</x:v>
      </x:c>
      <x:c r="B1157" s="9" t="d">
        <x:v>2011-01-26T00:00:00.000Z</x:v>
      </x:c>
      <x:c r="C1157" s="13" t="n">
        <x:v>40</x:v>
      </x:c>
    </x:row>
    <x:row r="1158" ht="20" customHeight="1">
      <x:c r="A1158" s="1" t="str">
        <x:v>21733</x:v>
      </x:c>
      <x:c r="B1158" s="9" t="d">
        <x:v>2011-01-27T00:00:00.000Z</x:v>
      </x:c>
      <x:c r="C1158" s="13" t="n">
        <x:v>25</x:v>
      </x:c>
    </x:row>
    <x:row r="1159" ht="20" customHeight="1">
      <x:c r="A1159" s="1" t="str">
        <x:v>21733</x:v>
      </x:c>
      <x:c r="B1159" s="9" t="d">
        <x:v>2011-01-28T00:00:00.000Z</x:v>
      </x:c>
      <x:c r="C1159" s="13" t="n">
        <x:v>107</x:v>
      </x:c>
    </x:row>
    <x:row r="1160" ht="20" customHeight="1">
      <x:c r="A1160" s="1" t="str">
        <x:v>21733</x:v>
      </x:c>
      <x:c r="B1160" s="9" t="d">
        <x:v>2011-01-29T00:00:00.000Z</x:v>
      </x:c>
      <x:c r="C1160" s="13" t="n">
        <x:v>0</x:v>
      </x:c>
    </x:row>
    <x:row r="1161" ht="20" customHeight="1">
      <x:c r="A1161" s="1" t="str">
        <x:v>21733</x:v>
      </x:c>
      <x:c r="B1161" s="9" t="d">
        <x:v>2011-01-30T00:00:00.000Z</x:v>
      </x:c>
      <x:c r="C1161" s="13" t="n">
        <x:v>60</x:v>
      </x:c>
    </x:row>
    <x:row r="1162" ht="20" customHeight="1">
      <x:c r="A1162" s="1" t="str">
        <x:v>21733</x:v>
      </x:c>
      <x:c r="B1162" s="9" t="d">
        <x:v>2011-01-31T00:00:00.000Z</x:v>
      </x:c>
      <x:c r="C1162" s="13" t="n">
        <x:v>17</x:v>
      </x:c>
    </x:row>
    <x:row r="1163" ht="20" customHeight="1">
      <x:c r="A1163" s="1" t="str">
        <x:v>21733</x:v>
      </x:c>
      <x:c r="B1163" s="9" t="d">
        <x:v>2011-02-01T00:00:00.000Z</x:v>
      </x:c>
      <x:c r="C1163" s="13" t="n">
        <x:v>40</x:v>
      </x:c>
    </x:row>
    <x:row r="1164" ht="20" customHeight="1">
      <x:c r="A1164" s="1" t="str">
        <x:v>21733</x:v>
      </x:c>
      <x:c r="B1164" s="9" t="d">
        <x:v>2011-02-02T00:00:00.000Z</x:v>
      </x:c>
      <x:c r="C1164" s="13" t="n">
        <x:v>43</x:v>
      </x:c>
    </x:row>
    <x:row r="1165" ht="20" customHeight="1">
      <x:c r="A1165" s="1" t="str">
        <x:v>21733</x:v>
      </x:c>
      <x:c r="B1165" s="9" t="d">
        <x:v>2011-02-03T00:00:00.000Z</x:v>
      </x:c>
      <x:c r="C1165" s="13" t="n">
        <x:v>28</x:v>
      </x:c>
    </x:row>
    <x:row r="1166" ht="20" customHeight="1">
      <x:c r="A1166" s="1" t="str">
        <x:v>21733</x:v>
      </x:c>
      <x:c r="B1166" s="9" t="d">
        <x:v>2011-02-04T00:00:00.000Z</x:v>
      </x:c>
      <x:c r="C1166" s="13" t="n">
        <x:v>0</x:v>
      </x:c>
    </x:row>
    <x:row r="1167" ht="20" customHeight="1">
      <x:c r="A1167" s="1" t="str">
        <x:v>21733</x:v>
      </x:c>
      <x:c r="B1167" s="9" t="d">
        <x:v>2011-02-05T00:00:00.000Z</x:v>
      </x:c>
      <x:c r="C1167" s="13" t="n">
        <x:v>0</x:v>
      </x:c>
    </x:row>
    <x:row r="1168" ht="20" customHeight="1">
      <x:c r="A1168" s="1" t="str">
        <x:v>21733</x:v>
      </x:c>
      <x:c r="B1168" s="9" t="d">
        <x:v>2011-02-06T00:00:00.000Z</x:v>
      </x:c>
      <x:c r="C1168" s="13" t="n">
        <x:v>0</x:v>
      </x:c>
    </x:row>
    <x:row r="1169" ht="20" customHeight="1">
      <x:c r="A1169" s="1" t="str">
        <x:v>21733</x:v>
      </x:c>
      <x:c r="B1169" s="9" t="d">
        <x:v>2011-02-07T00:00:00.000Z</x:v>
      </x:c>
      <x:c r="C1169" s="13" t="n">
        <x:v>21</x:v>
      </x:c>
    </x:row>
    <x:row r="1170" ht="20" customHeight="1">
      <x:c r="A1170" s="1" t="str">
        <x:v>21733</x:v>
      </x:c>
      <x:c r="B1170" s="9" t="d">
        <x:v>2011-02-08T00:00:00.000Z</x:v>
      </x:c>
      <x:c r="C1170" s="13" t="n">
        <x:v>39</x:v>
      </x:c>
    </x:row>
    <x:row r="1171" ht="20" customHeight="1">
      <x:c r="A1171" s="1" t="str">
        <x:v>21733</x:v>
      </x:c>
      <x:c r="B1171" s="9" t="d">
        <x:v>2011-02-09T00:00:00.000Z</x:v>
      </x:c>
      <x:c r="C1171" s="13" t="n">
        <x:v>7</x:v>
      </x:c>
    </x:row>
    <x:row r="1172" ht="20" customHeight="1">
      <x:c r="A1172" s="1" t="str">
        <x:v>21733</x:v>
      </x:c>
      <x:c r="B1172" s="9" t="d">
        <x:v>2011-02-10T00:00:00.000Z</x:v>
      </x:c>
      <x:c r="C1172" s="13" t="n">
        <x:v>6</x:v>
      </x:c>
    </x:row>
    <x:row r="1173" ht="20" customHeight="1">
      <x:c r="A1173" s="1" t="str">
        <x:v>21733</x:v>
      </x:c>
      <x:c r="B1173" s="9" t="d">
        <x:v>2011-02-11T00:00:00.000Z</x:v>
      </x:c>
      <x:c r="C1173" s="13" t="n">
        <x:v>0</x:v>
      </x:c>
    </x:row>
    <x:row r="1174" ht="20" customHeight="1">
      <x:c r="A1174" s="1" t="str">
        <x:v>21733</x:v>
      </x:c>
      <x:c r="B1174" s="9" t="d">
        <x:v>2011-02-12T00:00:00.000Z</x:v>
      </x:c>
      <x:c r="C1174" s="13" t="n">
        <x:v>0</x:v>
      </x:c>
    </x:row>
    <x:row r="1175" ht="20" customHeight="1">
      <x:c r="A1175" s="1" t="str">
        <x:v>21733</x:v>
      </x:c>
      <x:c r="B1175" s="9" t="d">
        <x:v>2011-02-13T00:00:00.000Z</x:v>
      </x:c>
      <x:c r="C1175" s="13" t="n">
        <x:v>10</x:v>
      </x:c>
    </x:row>
    <x:row r="1176" ht="20" customHeight="1">
      <x:c r="A1176" s="1" t="str">
        <x:v>21733</x:v>
      </x:c>
      <x:c r="B1176" s="9" t="d">
        <x:v>2011-02-14T00:00:00.000Z</x:v>
      </x:c>
      <x:c r="C1176" s="13" t="n">
        <x:v>2</x:v>
      </x:c>
    </x:row>
    <x:row r="1177" ht="20" customHeight="1">
      <x:c r="A1177" s="1" t="str">
        <x:v>21733</x:v>
      </x:c>
      <x:c r="B1177" s="9" t="d">
        <x:v>2011-02-15T00:00:00.000Z</x:v>
      </x:c>
      <x:c r="C1177" s="13" t="n">
        <x:v>4</x:v>
      </x:c>
    </x:row>
    <x:row r="1178" ht="20" customHeight="1">
      <x:c r="A1178" s="1" t="str">
        <x:v>21733</x:v>
      </x:c>
      <x:c r="B1178" s="9" t="d">
        <x:v>2011-02-16T00:00:00.000Z</x:v>
      </x:c>
      <x:c r="C1178" s="13" t="n">
        <x:v>8</x:v>
      </x:c>
    </x:row>
    <x:row r="1179" ht="20" customHeight="1">
      <x:c r="A1179" s="1" t="str">
        <x:v>21733</x:v>
      </x:c>
      <x:c r="B1179" s="9" t="d">
        <x:v>2011-02-17T00:00:00.000Z</x:v>
      </x:c>
      <x:c r="C1179" s="13" t="n">
        <x:v>0</x:v>
      </x:c>
    </x:row>
    <x:row r="1180" ht="20" customHeight="1">
      <x:c r="A1180" s="1" t="str">
        <x:v>21733</x:v>
      </x:c>
      <x:c r="B1180" s="9" t="d">
        <x:v>2011-02-18T00:00:00.000Z</x:v>
      </x:c>
      <x:c r="C1180" s="13" t="n">
        <x:v>0</x:v>
      </x:c>
    </x:row>
    <x:row r="1181" ht="20" customHeight="1">
      <x:c r="A1181" s="1" t="str">
        <x:v>21733</x:v>
      </x:c>
      <x:c r="B1181" s="9" t="d">
        <x:v>2011-02-19T00:00:00.000Z</x:v>
      </x:c>
      <x:c r="C1181" s="13" t="n">
        <x:v>0</x:v>
      </x:c>
    </x:row>
    <x:row r="1182" ht="20" customHeight="1">
      <x:c r="A1182" s="1" t="str">
        <x:v>21733</x:v>
      </x:c>
      <x:c r="B1182" s="9" t="d">
        <x:v>2011-02-20T00:00:00.000Z</x:v>
      </x:c>
      <x:c r="C1182" s="13" t="n">
        <x:v>0</x:v>
      </x:c>
    </x:row>
    <x:row r="1183" ht="20" customHeight="1">
      <x:c r="A1183" s="1" t="str">
        <x:v>21733</x:v>
      </x:c>
      <x:c r="B1183" s="9" t="d">
        <x:v>2011-02-21T00:00:00.000Z</x:v>
      </x:c>
      <x:c r="C1183" s="13" t="n">
        <x:v>0</x:v>
      </x:c>
    </x:row>
    <x:row r="1184" ht="20" customHeight="1">
      <x:c r="A1184" s="1" t="str">
        <x:v>21733</x:v>
      </x:c>
      <x:c r="B1184" s="9" t="d">
        <x:v>2011-02-22T00:00:00.000Z</x:v>
      </x:c>
      <x:c r="C1184" s="13" t="n">
        <x:v>0</x:v>
      </x:c>
    </x:row>
    <x:row r="1185" ht="20" customHeight="1">
      <x:c r="A1185" s="1" t="str">
        <x:v>21733</x:v>
      </x:c>
      <x:c r="B1185" s="9" t="d">
        <x:v>2011-02-23T00:00:00.000Z</x:v>
      </x:c>
      <x:c r="C1185" s="13" t="n">
        <x:v>45</x:v>
      </x:c>
    </x:row>
    <x:row r="1186" ht="20" customHeight="1">
      <x:c r="A1186" s="1" t="str">
        <x:v>21733</x:v>
      </x:c>
      <x:c r="B1186" s="9" t="d">
        <x:v>2011-02-24T00:00:00.000Z</x:v>
      </x:c>
      <x:c r="C1186" s="13" t="n">
        <x:v>54</x:v>
      </x:c>
    </x:row>
    <x:row r="1187" ht="20" customHeight="1">
      <x:c r="A1187" s="1" t="str">
        <x:v>21733</x:v>
      </x:c>
      <x:c r="B1187" s="9" t="d">
        <x:v>2011-02-25T00:00:00.000Z</x:v>
      </x:c>
      <x:c r="C1187" s="13" t="n">
        <x:v>0</x:v>
      </x:c>
    </x:row>
    <x:row r="1188" ht="20" customHeight="1">
      <x:c r="A1188" s="1" t="str">
        <x:v>21733</x:v>
      </x:c>
      <x:c r="B1188" s="9" t="d">
        <x:v>2011-02-26T00:00:00.000Z</x:v>
      </x:c>
      <x:c r="C1188" s="13" t="n">
        <x:v>0</x:v>
      </x:c>
    </x:row>
    <x:row r="1189" ht="20" customHeight="1">
      <x:c r="A1189" s="1" t="str">
        <x:v>21733</x:v>
      </x:c>
      <x:c r="B1189" s="9" t="d">
        <x:v>2011-02-27T00:00:00.000Z</x:v>
      </x:c>
      <x:c r="C1189" s="13" t="n">
        <x:v>12</x:v>
      </x:c>
    </x:row>
    <x:row r="1190" ht="20" customHeight="1">
      <x:c r="A1190" s="1" t="str">
        <x:v>21733</x:v>
      </x:c>
      <x:c r="B1190" s="9" t="d">
        <x:v>2011-02-28T00:00:00.000Z</x:v>
      </x:c>
      <x:c r="C1190" s="13" t="n">
        <x:v>29</x:v>
      </x:c>
    </x:row>
    <x:row r="1191" ht="20" customHeight="1">
      <x:c r="A1191" s="1" t="str">
        <x:v>21733</x:v>
      </x:c>
      <x:c r="B1191" s="9" t="d">
        <x:v>2011-03-01T00:00:00.000Z</x:v>
      </x:c>
      <x:c r="C1191" s="13" t="n">
        <x:v>19</x:v>
      </x:c>
    </x:row>
    <x:row r="1192" ht="20" customHeight="1">
      <x:c r="A1192" s="1" t="str">
        <x:v>21733</x:v>
      </x:c>
      <x:c r="B1192" s="9" t="d">
        <x:v>2011-03-02T00:00:00.000Z</x:v>
      </x:c>
      <x:c r="C1192" s="13" t="n">
        <x:v>6</x:v>
      </x:c>
    </x:row>
    <x:row r="1193" ht="20" customHeight="1">
      <x:c r="A1193" s="1" t="str">
        <x:v>21733</x:v>
      </x:c>
      <x:c r="B1193" s="9" t="d">
        <x:v>2011-03-03T00:00:00.000Z</x:v>
      </x:c>
      <x:c r="C1193" s="13" t="n">
        <x:v>8</x:v>
      </x:c>
    </x:row>
    <x:row r="1194" ht="20" customHeight="1">
      <x:c r="A1194" s="1" t="str">
        <x:v>21733</x:v>
      </x:c>
      <x:c r="B1194" s="9" t="d">
        <x:v>2011-03-04T00:00:00.000Z</x:v>
      </x:c>
      <x:c r="C1194" s="13" t="n">
        <x:v>2</x:v>
      </x:c>
    </x:row>
    <x:row r="1195" ht="20" customHeight="1">
      <x:c r="A1195" s="1" t="str">
        <x:v>21733</x:v>
      </x:c>
      <x:c r="B1195" s="9" t="d">
        <x:v>2011-03-05T00:00:00.000Z</x:v>
      </x:c>
      <x:c r="C1195" s="13" t="n">
        <x:v>0</x:v>
      </x:c>
    </x:row>
    <x:row r="1196" ht="20" customHeight="1">
      <x:c r="A1196" s="1" t="str">
        <x:v>21733</x:v>
      </x:c>
      <x:c r="B1196" s="9" t="d">
        <x:v>2011-03-06T00:00:00.000Z</x:v>
      </x:c>
      <x:c r="C1196" s="13" t="n">
        <x:v>3</x:v>
      </x:c>
    </x:row>
    <x:row r="1197" ht="20" customHeight="1">
      <x:c r="A1197" s="1" t="str">
        <x:v>21733</x:v>
      </x:c>
      <x:c r="B1197" s="9" t="d">
        <x:v>2011-03-07T00:00:00.000Z</x:v>
      </x:c>
      <x:c r="C1197" s="13" t="n">
        <x:v>0</x:v>
      </x:c>
    </x:row>
    <x:row r="1198" ht="20" customHeight="1">
      <x:c r="A1198" s="1" t="str">
        <x:v>21733</x:v>
      </x:c>
      <x:c r="B1198" s="9" t="d">
        <x:v>2011-03-08T00:00:00.000Z</x:v>
      </x:c>
      <x:c r="C1198" s="13" t="n">
        <x:v>38</x:v>
      </x:c>
    </x:row>
    <x:row r="1199" ht="20" customHeight="1">
      <x:c r="A1199" s="1" t="str">
        <x:v>21733</x:v>
      </x:c>
      <x:c r="B1199" s="9" t="d">
        <x:v>2011-03-09T00:00:00.000Z</x:v>
      </x:c>
      <x:c r="C1199" s="13" t="n">
        <x:v>6</x:v>
      </x:c>
    </x:row>
    <x:row r="1200" ht="20" customHeight="1">
      <x:c r="A1200" s="1" t="str">
        <x:v>21733</x:v>
      </x:c>
      <x:c r="B1200" s="9" t="d">
        <x:v>2011-03-10T00:00:00.000Z</x:v>
      </x:c>
      <x:c r="C1200" s="13" t="n">
        <x:v>8</x:v>
      </x:c>
    </x:row>
    <x:row r="1201" ht="20" customHeight="1">
      <x:c r="A1201" s="1" t="str">
        <x:v>21733</x:v>
      </x:c>
      <x:c r="B1201" s="9" t="d">
        <x:v>2011-03-11T00:00:00.000Z</x:v>
      </x:c>
      <x:c r="C1201" s="13" t="n">
        <x:v>12</x:v>
      </x:c>
    </x:row>
    <x:row r="1202" ht="20" customHeight="1">
      <x:c r="A1202" s="1" t="str">
        <x:v>21733</x:v>
      </x:c>
      <x:c r="B1202" s="9" t="d">
        <x:v>2011-03-12T00:00:00.000Z</x:v>
      </x:c>
      <x:c r="C1202" s="13" t="n">
        <x:v>0</x:v>
      </x:c>
    </x:row>
    <x:row r="1203" ht="20" customHeight="1">
      <x:c r="A1203" s="1" t="str">
        <x:v>21733</x:v>
      </x:c>
      <x:c r="B1203" s="9" t="d">
        <x:v>2011-03-13T00:00:00.000Z</x:v>
      </x:c>
      <x:c r="C1203" s="13" t="n">
        <x:v>0</x:v>
      </x:c>
    </x:row>
    <x:row r="1204" ht="20" customHeight="1">
      <x:c r="A1204" s="1" t="str">
        <x:v>21733</x:v>
      </x:c>
      <x:c r="B1204" s="9" t="d">
        <x:v>2011-03-14T00:00:00.000Z</x:v>
      </x:c>
      <x:c r="C1204" s="13" t="n">
        <x:v>8</x:v>
      </x:c>
    </x:row>
    <x:row r="1205" ht="20" customHeight="1">
      <x:c r="A1205" s="1" t="str">
        <x:v>21733</x:v>
      </x:c>
      <x:c r="B1205" s="9" t="d">
        <x:v>2011-03-15T00:00:00.000Z</x:v>
      </x:c>
      <x:c r="C1205" s="13" t="n">
        <x:v>12</x:v>
      </x:c>
    </x:row>
    <x:row r="1206" ht="20" customHeight="1">
      <x:c r="A1206" s="1" t="str">
        <x:v>21733</x:v>
      </x:c>
      <x:c r="B1206" s="9" t="d">
        <x:v>2011-03-16T00:00:00.000Z</x:v>
      </x:c>
      <x:c r="C1206" s="13" t="n">
        <x:v>32</x:v>
      </x:c>
    </x:row>
    <x:row r="1207" ht="20" customHeight="1">
      <x:c r="A1207" s="1" t="str">
        <x:v>21733</x:v>
      </x:c>
      <x:c r="B1207" s="9" t="d">
        <x:v>2011-03-17T00:00:00.000Z</x:v>
      </x:c>
      <x:c r="C1207" s="13" t="n">
        <x:v>8</x:v>
      </x:c>
    </x:row>
    <x:row r="1208" ht="20" customHeight="1">
      <x:c r="A1208" s="1" t="str">
        <x:v>21733</x:v>
      </x:c>
      <x:c r="B1208" s="9" t="d">
        <x:v>2011-03-18T00:00:00.000Z</x:v>
      </x:c>
      <x:c r="C1208" s="13" t="n">
        <x:v>0</x:v>
      </x:c>
    </x:row>
    <x:row r="1209" ht="20" customHeight="1">
      <x:c r="A1209" s="1" t="str">
        <x:v>21733</x:v>
      </x:c>
      <x:c r="B1209" s="9" t="d">
        <x:v>2011-03-19T00:00:00.000Z</x:v>
      </x:c>
      <x:c r="C1209" s="13" t="n">
        <x:v>0</x:v>
      </x:c>
    </x:row>
    <x:row r="1210" ht="20" customHeight="1">
      <x:c r="A1210" s="1" t="str">
        <x:v>21733</x:v>
      </x:c>
      <x:c r="B1210" s="9" t="d">
        <x:v>2011-03-20T00:00:00.000Z</x:v>
      </x:c>
      <x:c r="C1210" s="13" t="n">
        <x:v>16</x:v>
      </x:c>
    </x:row>
    <x:row r="1211" ht="20" customHeight="1">
      <x:c r="A1211" s="1" t="str">
        <x:v>21733</x:v>
      </x:c>
      <x:c r="B1211" s="9" t="d">
        <x:v>2011-03-21T00:00:00.000Z</x:v>
      </x:c>
      <x:c r="C1211" s="13" t="n">
        <x:v>32</x:v>
      </x:c>
    </x:row>
    <x:row r="1212" ht="20" customHeight="1">
      <x:c r="A1212" s="1" t="str">
        <x:v>21733</x:v>
      </x:c>
      <x:c r="B1212" s="9" t="d">
        <x:v>2011-03-22T00:00:00.000Z</x:v>
      </x:c>
      <x:c r="C1212" s="13" t="n">
        <x:v>15</x:v>
      </x:c>
    </x:row>
    <x:row r="1213" ht="20" customHeight="1">
      <x:c r="A1213" s="1" t="str">
        <x:v>21733</x:v>
      </x:c>
      <x:c r="B1213" s="9" t="d">
        <x:v>2011-03-23T00:00:00.000Z</x:v>
      </x:c>
      <x:c r="C1213" s="13" t="n">
        <x:v>2</x:v>
      </x:c>
    </x:row>
    <x:row r="1214" ht="20" customHeight="1">
      <x:c r="A1214" s="1" t="str">
        <x:v>21733</x:v>
      </x:c>
      <x:c r="B1214" s="9" t="d">
        <x:v>2011-03-24T00:00:00.000Z</x:v>
      </x:c>
      <x:c r="C1214" s="13" t="n">
        <x:v>6</x:v>
      </x:c>
    </x:row>
    <x:row r="1215" ht="20" customHeight="1">
      <x:c r="A1215" s="1" t="str">
        <x:v>21733</x:v>
      </x:c>
      <x:c r="B1215" s="9" t="d">
        <x:v>2011-03-25T00:00:00.000Z</x:v>
      </x:c>
      <x:c r="C1215" s="13" t="n">
        <x:v>10</x:v>
      </x:c>
    </x:row>
    <x:row r="1216" ht="20" customHeight="1">
      <x:c r="A1216" s="1" t="str">
        <x:v>21733</x:v>
      </x:c>
      <x:c r="B1216" s="9" t="d">
        <x:v>2011-03-26T00:00:00.000Z</x:v>
      </x:c>
      <x:c r="C1216" s="13" t="n">
        <x:v>0</x:v>
      </x:c>
    </x:row>
    <x:row r="1217" ht="20" customHeight="1">
      <x:c r="A1217" s="1" t="str">
        <x:v>21733</x:v>
      </x:c>
      <x:c r="B1217" s="9" t="d">
        <x:v>2011-03-27T00:00:00.000Z</x:v>
      </x:c>
      <x:c r="C1217" s="13" t="n">
        <x:v>2</x:v>
      </x:c>
    </x:row>
    <x:row r="1218" ht="20" customHeight="1">
      <x:c r="A1218" s="1" t="str">
        <x:v>21733</x:v>
      </x:c>
      <x:c r="B1218" s="9" t="d">
        <x:v>2011-03-28T00:00:00.000Z</x:v>
      </x:c>
      <x:c r="C1218" s="13" t="n">
        <x:v>0</x:v>
      </x:c>
    </x:row>
    <x:row r="1219" ht="20" customHeight="1">
      <x:c r="A1219" s="1" t="str">
        <x:v>21733</x:v>
      </x:c>
      <x:c r="B1219" s="9" t="d">
        <x:v>2011-03-29T00:00:00.000Z</x:v>
      </x:c>
      <x:c r="C1219" s="13" t="n">
        <x:v>0</x:v>
      </x:c>
    </x:row>
    <x:row r="1220" ht="20" customHeight="1">
      <x:c r="A1220" s="1" t="str">
        <x:v>21733</x:v>
      </x:c>
      <x:c r="B1220" s="9" t="d">
        <x:v>2011-03-30T00:00:00.000Z</x:v>
      </x:c>
      <x:c r="C1220" s="13" t="n">
        <x:v>33</x:v>
      </x:c>
    </x:row>
    <x:row r="1221" ht="20" customHeight="1">
      <x:c r="A1221" s="1" t="str">
        <x:v>21733</x:v>
      </x:c>
      <x:c r="B1221" s="9" t="d">
        <x:v>2011-03-31T00:00:00.000Z</x:v>
      </x:c>
      <x:c r="C1221" s="13" t="n">
        <x:v>8</x:v>
      </x:c>
    </x:row>
    <x:row r="1222" ht="20" customHeight="1">
      <x:c r="A1222" s="1" t="str">
        <x:v>21733</x:v>
      </x:c>
      <x:c r="B1222" s="9" t="d">
        <x:v>2011-04-01T00:00:00.000Z</x:v>
      </x:c>
      <x:c r="C1222" s="13" t="n">
        <x:v>7</x:v>
      </x:c>
    </x:row>
    <x:row r="1223" ht="20" customHeight="1">
      <x:c r="A1223" s="1" t="str">
        <x:v>21733</x:v>
      </x:c>
      <x:c r="B1223" s="9" t="d">
        <x:v>2011-04-02T00:00:00.000Z</x:v>
      </x:c>
      <x:c r="C1223" s="13" t="n">
        <x:v>0</x:v>
      </x:c>
    </x:row>
    <x:row r="1224" ht="20" customHeight="1">
      <x:c r="A1224" s="1" t="str">
        <x:v>21733</x:v>
      </x:c>
      <x:c r="B1224" s="9" t="d">
        <x:v>2011-04-03T00:00:00.000Z</x:v>
      </x:c>
      <x:c r="C1224" s="13" t="n">
        <x:v>2</x:v>
      </x:c>
    </x:row>
    <x:row r="1225" ht="20" customHeight="1">
      <x:c r="A1225" s="1" t="str">
        <x:v>21733</x:v>
      </x:c>
      <x:c r="B1225" s="9" t="d">
        <x:v>2011-04-04T00:00:00.000Z</x:v>
      </x:c>
      <x:c r="C1225" s="13" t="n">
        <x:v>15</x:v>
      </x:c>
    </x:row>
    <x:row r="1226" ht="20" customHeight="1">
      <x:c r="A1226" s="1" t="str">
        <x:v>21733</x:v>
      </x:c>
      <x:c r="B1226" s="9" t="d">
        <x:v>2011-04-05T00:00:00.000Z</x:v>
      </x:c>
      <x:c r="C1226" s="13" t="n">
        <x:v>0</x:v>
      </x:c>
    </x:row>
    <x:row r="1227" ht="20" customHeight="1">
      <x:c r="A1227" s="1" t="str">
        <x:v>21733</x:v>
      </x:c>
      <x:c r="B1227" s="9" t="d">
        <x:v>2011-04-06T00:00:00.000Z</x:v>
      </x:c>
      <x:c r="C1227" s="13" t="n">
        <x:v>10</x:v>
      </x:c>
    </x:row>
    <x:row r="1228" ht="20" customHeight="1">
      <x:c r="A1228" s="1" t="str">
        <x:v>21733</x:v>
      </x:c>
      <x:c r="B1228" s="9" t="d">
        <x:v>2011-04-07T00:00:00.000Z</x:v>
      </x:c>
      <x:c r="C1228" s="13" t="n">
        <x:v>2</x:v>
      </x:c>
    </x:row>
    <x:row r="1229" ht="20" customHeight="1">
      <x:c r="A1229" s="1" t="str">
        <x:v>21733</x:v>
      </x:c>
      <x:c r="B1229" s="9" t="d">
        <x:v>2011-04-08T00:00:00.000Z</x:v>
      </x:c>
      <x:c r="C1229" s="13" t="n">
        <x:v>0</x:v>
      </x:c>
    </x:row>
    <x:row r="1230" ht="20" customHeight="1">
      <x:c r="A1230" s="1" t="str">
        <x:v>21733</x:v>
      </x:c>
      <x:c r="B1230" s="9" t="d">
        <x:v>2011-04-09T00:00:00.000Z</x:v>
      </x:c>
      <x:c r="C1230" s="13" t="n">
        <x:v>0</x:v>
      </x:c>
    </x:row>
    <x:row r="1231" ht="20" customHeight="1">
      <x:c r="A1231" s="1" t="str">
        <x:v>21733</x:v>
      </x:c>
      <x:c r="B1231" s="9" t="d">
        <x:v>2011-04-10T00:00:00.000Z</x:v>
      </x:c>
      <x:c r="C1231" s="13" t="n">
        <x:v>0</x:v>
      </x:c>
    </x:row>
    <x:row r="1232" ht="20" customHeight="1">
      <x:c r="A1232" s="1" t="str">
        <x:v>21733</x:v>
      </x:c>
      <x:c r="B1232" s="9" t="d">
        <x:v>2011-04-11T00:00:00.000Z</x:v>
      </x:c>
      <x:c r="C1232" s="13" t="n">
        <x:v>35</x:v>
      </x:c>
    </x:row>
    <x:row r="1233" ht="20" customHeight="1">
      <x:c r="A1233" s="1" t="str">
        <x:v>21733</x:v>
      </x:c>
      <x:c r="B1233" s="9" t="d">
        <x:v>2011-04-12T00:00:00.000Z</x:v>
      </x:c>
      <x:c r="C1233" s="13" t="n">
        <x:v>0</x:v>
      </x:c>
    </x:row>
    <x:row r="1234" ht="20" customHeight="1">
      <x:c r="A1234" s="1" t="str">
        <x:v>21733</x:v>
      </x:c>
      <x:c r="B1234" s="9" t="d">
        <x:v>2011-04-13T00:00:00.000Z</x:v>
      </x:c>
      <x:c r="C1234" s="13" t="n">
        <x:v>12</x:v>
      </x:c>
    </x:row>
    <x:row r="1235" ht="20" customHeight="1">
      <x:c r="A1235" s="1" t="str">
        <x:v>21733</x:v>
      </x:c>
      <x:c r="B1235" s="9" t="d">
        <x:v>2011-04-14T00:00:00.000Z</x:v>
      </x:c>
      <x:c r="C1235" s="13" t="n">
        <x:v>4</x:v>
      </x:c>
    </x:row>
    <x:row r="1236" ht="20" customHeight="1">
      <x:c r="A1236" s="1" t="str">
        <x:v>21733</x:v>
      </x:c>
      <x:c r="B1236" s="9" t="d">
        <x:v>2011-04-15T00:00:00.000Z</x:v>
      </x:c>
      <x:c r="C1236" s="13" t="n">
        <x:v>0</x:v>
      </x:c>
    </x:row>
    <x:row r="1237" ht="20" customHeight="1">
      <x:c r="A1237" s="1" t="str">
        <x:v>21733</x:v>
      </x:c>
      <x:c r="B1237" s="9" t="d">
        <x:v>2011-04-16T00:00:00.000Z</x:v>
      </x:c>
      <x:c r="C1237" s="13" t="n">
        <x:v>0</x:v>
      </x:c>
    </x:row>
    <x:row r="1238" ht="20" customHeight="1">
      <x:c r="A1238" s="1" t="str">
        <x:v>21733</x:v>
      </x:c>
      <x:c r="B1238" s="9" t="d">
        <x:v>2011-04-17T00:00:00.000Z</x:v>
      </x:c>
      <x:c r="C1238" s="13" t="n">
        <x:v>2</x:v>
      </x:c>
    </x:row>
    <x:row r="1239" ht="20" customHeight="1">
      <x:c r="A1239" s="1" t="str">
        <x:v>21733</x:v>
      </x:c>
      <x:c r="B1239" s="9" t="d">
        <x:v>2011-04-18T00:00:00.000Z</x:v>
      </x:c>
      <x:c r="C1239" s="13" t="n">
        <x:v>3</x:v>
      </x:c>
    </x:row>
    <x:row r="1240" ht="20" customHeight="1">
      <x:c r="A1240" s="1" t="str">
        <x:v>21733</x:v>
      </x:c>
      <x:c r="B1240" s="9" t="d">
        <x:v>2011-04-19T00:00:00.000Z</x:v>
      </x:c>
      <x:c r="C1240" s="13" t="n">
        <x:v>0</x:v>
      </x:c>
    </x:row>
    <x:row r="1241" ht="20" customHeight="1">
      <x:c r="A1241" s="1" t="str">
        <x:v>21733</x:v>
      </x:c>
      <x:c r="B1241" s="9" t="d">
        <x:v>2011-04-20T00:00:00.000Z</x:v>
      </x:c>
      <x:c r="C1241" s="13" t="n">
        <x:v>44</x:v>
      </x:c>
    </x:row>
    <x:row r="1242" ht="20" customHeight="1">
      <x:c r="A1242" s="1" t="str">
        <x:v>21733</x:v>
      </x:c>
      <x:c r="B1242" s="9" t="d">
        <x:v>2011-04-21T00:00:00.000Z</x:v>
      </x:c>
      <x:c r="C1242" s="13" t="n">
        <x:v>3</x:v>
      </x:c>
    </x:row>
    <x:row r="1243" ht="20" customHeight="1">
      <x:c r="A1243" s="1" t="str">
        <x:v>21733</x:v>
      </x:c>
      <x:c r="B1243" s="9" t="d">
        <x:v>2011-04-22T00:00:00.000Z</x:v>
      </x:c>
      <x:c r="C1243" s="13" t="n">
        <x:v>0</x:v>
      </x:c>
    </x:row>
    <x:row r="1244" ht="20" customHeight="1">
      <x:c r="A1244" s="1" t="str">
        <x:v>21733</x:v>
      </x:c>
      <x:c r="B1244" s="9" t="d">
        <x:v>2011-04-23T00:00:00.000Z</x:v>
      </x:c>
      <x:c r="C1244" s="13" t="n">
        <x:v>0</x:v>
      </x:c>
    </x:row>
    <x:row r="1245" ht="20" customHeight="1">
      <x:c r="A1245" s="1" t="str">
        <x:v>21733</x:v>
      </x:c>
      <x:c r="B1245" s="9" t="d">
        <x:v>2011-04-24T00:00:00.000Z</x:v>
      </x:c>
      <x:c r="C1245" s="13" t="n">
        <x:v>0</x:v>
      </x:c>
    </x:row>
    <x:row r="1246" ht="20" customHeight="1">
      <x:c r="A1246" s="1" t="str">
        <x:v>21733</x:v>
      </x:c>
      <x:c r="B1246" s="9" t="d">
        <x:v>2011-04-25T00:00:00.000Z</x:v>
      </x:c>
      <x:c r="C1246" s="13" t="n">
        <x:v>0</x:v>
      </x:c>
    </x:row>
    <x:row r="1247" ht="20" customHeight="1">
      <x:c r="A1247" s="1" t="str">
        <x:v>21733</x:v>
      </x:c>
      <x:c r="B1247" s="9" t="d">
        <x:v>2011-04-26T00:00:00.000Z</x:v>
      </x:c>
      <x:c r="C1247" s="13" t="n">
        <x:v>7</x:v>
      </x:c>
    </x:row>
    <x:row r="1248" ht="20" customHeight="1">
      <x:c r="A1248" s="1" t="str">
        <x:v>21733</x:v>
      </x:c>
      <x:c r="B1248" s="9" t="d">
        <x:v>2011-04-27T00:00:00.000Z</x:v>
      </x:c>
      <x:c r="C1248" s="13" t="n">
        <x:v>1</x:v>
      </x:c>
    </x:row>
    <x:row r="1249" ht="20" customHeight="1">
      <x:c r="A1249" s="1" t="str">
        <x:v>21733</x:v>
      </x:c>
      <x:c r="B1249" s="9" t="d">
        <x:v>2011-04-28T00:00:00.000Z</x:v>
      </x:c>
      <x:c r="C1249" s="13" t="n">
        <x:v>35</x:v>
      </x:c>
    </x:row>
    <x:row r="1250" ht="20" customHeight="1">
      <x:c r="A1250" s="1" t="str">
        <x:v>21733</x:v>
      </x:c>
      <x:c r="B1250" s="9" t="d">
        <x:v>2011-04-29T00:00:00.000Z</x:v>
      </x:c>
      <x:c r="C1250" s="13" t="n">
        <x:v>0</x:v>
      </x:c>
    </x:row>
    <x:row r="1251" ht="20" customHeight="1">
      <x:c r="A1251" s="1" t="str">
        <x:v>21733</x:v>
      </x:c>
      <x:c r="B1251" s="9" t="d">
        <x:v>2011-04-30T00:00:00.000Z</x:v>
      </x:c>
      <x:c r="C1251" s="13" t="n">
        <x:v>0</x:v>
      </x:c>
    </x:row>
    <x:row r="1252" ht="20" customHeight="1">
      <x:c r="A1252" s="1" t="str">
        <x:v>21733</x:v>
      </x:c>
      <x:c r="B1252" s="9" t="d">
        <x:v>2011-05-01T00:00:00.000Z</x:v>
      </x:c>
      <x:c r="C1252" s="13" t="n">
        <x:v>0</x:v>
      </x:c>
    </x:row>
    <x:row r="1253" ht="20" customHeight="1">
      <x:c r="A1253" s="1" t="str">
        <x:v>21733</x:v>
      </x:c>
      <x:c r="B1253" s="9" t="d">
        <x:v>2011-05-02T00:00:00.000Z</x:v>
      </x:c>
      <x:c r="C1253" s="13" t="n">
        <x:v>0</x:v>
      </x:c>
    </x:row>
    <x:row r="1254" ht="20" customHeight="1">
      <x:c r="A1254" s="1" t="str">
        <x:v>21733</x:v>
      </x:c>
      <x:c r="B1254" s="9" t="d">
        <x:v>2011-05-03T00:00:00.000Z</x:v>
      </x:c>
      <x:c r="C1254" s="13" t="n">
        <x:v>6</x:v>
      </x:c>
    </x:row>
    <x:row r="1255" ht="20" customHeight="1">
      <x:c r="A1255" s="1" t="str">
        <x:v>21733</x:v>
      </x:c>
      <x:c r="B1255" s="9" t="d">
        <x:v>2011-05-04T00:00:00.000Z</x:v>
      </x:c>
      <x:c r="C1255" s="13" t="n">
        <x:v>3</x:v>
      </x:c>
    </x:row>
    <x:row r="1256" ht="20" customHeight="1">
      <x:c r="A1256" s="1" t="str">
        <x:v>21733</x:v>
      </x:c>
      <x:c r="B1256" s="9" t="d">
        <x:v>2011-05-05T00:00:00.000Z</x:v>
      </x:c>
      <x:c r="C1256" s="13" t="n">
        <x:v>99</x:v>
      </x:c>
    </x:row>
    <x:row r="1257" ht="20" customHeight="1">
      <x:c r="A1257" s="1" t="str">
        <x:v>21733</x:v>
      </x:c>
      <x:c r="B1257" s="9" t="d">
        <x:v>2011-05-06T00:00:00.000Z</x:v>
      </x:c>
      <x:c r="C1257" s="13" t="n">
        <x:v>34</x:v>
      </x:c>
    </x:row>
    <x:row r="1258" ht="20" customHeight="1">
      <x:c r="A1258" s="1" t="str">
        <x:v>21733</x:v>
      </x:c>
      <x:c r="B1258" s="9" t="d">
        <x:v>2011-05-07T00:00:00.000Z</x:v>
      </x:c>
      <x:c r="C1258" s="13" t="n">
        <x:v>0</x:v>
      </x:c>
    </x:row>
    <x:row r="1259" ht="20" customHeight="1">
      <x:c r="A1259" s="1" t="str">
        <x:v>21733</x:v>
      </x:c>
      <x:c r="B1259" s="9" t="d">
        <x:v>2011-05-08T00:00:00.000Z</x:v>
      </x:c>
      <x:c r="C1259" s="13" t="n">
        <x:v>0</x:v>
      </x:c>
    </x:row>
    <x:row r="1260" ht="20" customHeight="1">
      <x:c r="A1260" s="1" t="str">
        <x:v>21733</x:v>
      </x:c>
      <x:c r="B1260" s="9" t="d">
        <x:v>2011-05-09T00:00:00.000Z</x:v>
      </x:c>
      <x:c r="C1260" s="13" t="n">
        <x:v>128</x:v>
      </x:c>
    </x:row>
    <x:row r="1261" ht="20" customHeight="1">
      <x:c r="A1261" s="1" t="str">
        <x:v>21733</x:v>
      </x:c>
      <x:c r="B1261" s="9" t="d">
        <x:v>2011-05-10T00:00:00.000Z</x:v>
      </x:c>
      <x:c r="C1261" s="13" t="n">
        <x:v>7</x:v>
      </x:c>
    </x:row>
    <x:row r="1262" ht="20" customHeight="1">
      <x:c r="A1262" s="1" t="str">
        <x:v>21733</x:v>
      </x:c>
      <x:c r="B1262" s="9" t="d">
        <x:v>2011-05-11T00:00:00.000Z</x:v>
      </x:c>
      <x:c r="C1262" s="13" t="n">
        <x:v>40</x:v>
      </x:c>
    </x:row>
    <x:row r="1263" ht="20" customHeight="1">
      <x:c r="A1263" s="1" t="str">
        <x:v>21733</x:v>
      </x:c>
      <x:c r="B1263" s="9" t="d">
        <x:v>2011-05-12T00:00:00.000Z</x:v>
      </x:c>
      <x:c r="C1263" s="13" t="n">
        <x:v>11</x:v>
      </x:c>
    </x:row>
    <x:row r="1264" ht="20" customHeight="1">
      <x:c r="A1264" s="1" t="str">
        <x:v>21733</x:v>
      </x:c>
      <x:c r="B1264" s="9" t="d">
        <x:v>2011-05-13T00:00:00.000Z</x:v>
      </x:c>
      <x:c r="C1264" s="13" t="n">
        <x:v>9</x:v>
      </x:c>
    </x:row>
    <x:row r="1265" ht="20" customHeight="1">
      <x:c r="A1265" s="1" t="str">
        <x:v>21733</x:v>
      </x:c>
      <x:c r="B1265" s="9" t="d">
        <x:v>2011-05-14T00:00:00.000Z</x:v>
      </x:c>
      <x:c r="C1265" s="13" t="n">
        <x:v>0</x:v>
      </x:c>
    </x:row>
    <x:row r="1266" ht="20" customHeight="1">
      <x:c r="A1266" s="1" t="str">
        <x:v>21733</x:v>
      </x:c>
      <x:c r="B1266" s="9" t="d">
        <x:v>2011-05-15T00:00:00.000Z</x:v>
      </x:c>
      <x:c r="C1266" s="13" t="n">
        <x:v>8</x:v>
      </x:c>
    </x:row>
    <x:row r="1267" ht="20" customHeight="1">
      <x:c r="A1267" s="1" t="str">
        <x:v>21733</x:v>
      </x:c>
      <x:c r="B1267" s="9" t="d">
        <x:v>2011-05-16T00:00:00.000Z</x:v>
      </x:c>
      <x:c r="C1267" s="13" t="n">
        <x:v>0</x:v>
      </x:c>
    </x:row>
    <x:row r="1268" ht="20" customHeight="1">
      <x:c r="A1268" s="1" t="str">
        <x:v>21733</x:v>
      </x:c>
      <x:c r="B1268" s="9" t="d">
        <x:v>2011-05-17T00:00:00.000Z</x:v>
      </x:c>
      <x:c r="C1268" s="13" t="n">
        <x:v>3</x:v>
      </x:c>
    </x:row>
    <x:row r="1269" ht="20" customHeight="1">
      <x:c r="A1269" s="1" t="str">
        <x:v>21733</x:v>
      </x:c>
      <x:c r="B1269" s="9" t="d">
        <x:v>2011-05-18T00:00:00.000Z</x:v>
      </x:c>
      <x:c r="C1269" s="13" t="n">
        <x:v>7</x:v>
      </x:c>
    </x:row>
    <x:row r="1270" ht="20" customHeight="1">
      <x:c r="A1270" s="1" t="str">
        <x:v>21733</x:v>
      </x:c>
      <x:c r="B1270" s="9" t="d">
        <x:v>2011-05-19T00:00:00.000Z</x:v>
      </x:c>
      <x:c r="C1270" s="13" t="n">
        <x:v>18</x:v>
      </x:c>
    </x:row>
    <x:row r="1271" ht="20" customHeight="1">
      <x:c r="A1271" s="1" t="str">
        <x:v>21733</x:v>
      </x:c>
      <x:c r="B1271" s="9" t="d">
        <x:v>2011-05-20T00:00:00.000Z</x:v>
      </x:c>
      <x:c r="C1271" s="13" t="n">
        <x:v>0</x:v>
      </x:c>
    </x:row>
    <x:row r="1272" ht="20" customHeight="1">
      <x:c r="A1272" s="1" t="str">
        <x:v>21733</x:v>
      </x:c>
      <x:c r="B1272" s="9" t="d">
        <x:v>2011-05-21T00:00:00.000Z</x:v>
      </x:c>
      <x:c r="C1272" s="13" t="n">
        <x:v>0</x:v>
      </x:c>
    </x:row>
    <x:row r="1273" ht="20" customHeight="1">
      <x:c r="A1273" s="1" t="str">
        <x:v>21733</x:v>
      </x:c>
      <x:c r="B1273" s="9" t="d">
        <x:v>2011-05-22T00:00:00.000Z</x:v>
      </x:c>
      <x:c r="C1273" s="13" t="n">
        <x:v>64</x:v>
      </x:c>
    </x:row>
    <x:row r="1274" ht="20" customHeight="1">
      <x:c r="A1274" s="1" t="str">
        <x:v>21733</x:v>
      </x:c>
      <x:c r="B1274" s="9" t="d">
        <x:v>2011-05-23T00:00:00.000Z</x:v>
      </x:c>
      <x:c r="C1274" s="13" t="n">
        <x:v>6</x:v>
      </x:c>
    </x:row>
    <x:row r="1275" ht="20" customHeight="1">
      <x:c r="A1275" s="1" t="str">
        <x:v>21733</x:v>
      </x:c>
      <x:c r="B1275" s="9" t="d">
        <x:v>2011-05-24T00:00:00.000Z</x:v>
      </x:c>
      <x:c r="C1275" s="13" t="n">
        <x:v>18</x:v>
      </x:c>
    </x:row>
    <x:row r="1276" ht="20" customHeight="1">
      <x:c r="A1276" s="1" t="str">
        <x:v>21733</x:v>
      </x:c>
      <x:c r="B1276" s="9" t="d">
        <x:v>2011-05-25T00:00:00.000Z</x:v>
      </x:c>
      <x:c r="C1276" s="13" t="n">
        <x:v>12</x:v>
      </x:c>
    </x:row>
    <x:row r="1277" ht="20" customHeight="1">
      <x:c r="A1277" s="1" t="str">
        <x:v>21733</x:v>
      </x:c>
      <x:c r="B1277" s="9" t="d">
        <x:v>2011-05-26T00:00:00.000Z</x:v>
      </x:c>
      <x:c r="C1277" s="13" t="n">
        <x:v>272</x:v>
      </x:c>
    </x:row>
    <x:row r="1278" ht="20" customHeight="1">
      <x:c r="A1278" s="1" t="str">
        <x:v>21733</x:v>
      </x:c>
      <x:c r="B1278" s="9" t="d">
        <x:v>2011-05-27T00:00:00.000Z</x:v>
      </x:c>
      <x:c r="C1278" s="13" t="n">
        <x:v>0</x:v>
      </x:c>
    </x:row>
    <x:row r="1279" ht="20" customHeight="1">
      <x:c r="A1279" s="1" t="str">
        <x:v>21733</x:v>
      </x:c>
      <x:c r="B1279" s="9" t="d">
        <x:v>2011-05-28T00:00:00.000Z</x:v>
      </x:c>
      <x:c r="C1279" s="13" t="n">
        <x:v>0</x:v>
      </x:c>
    </x:row>
    <x:row r="1280" ht="20" customHeight="1">
      <x:c r="A1280" s="1" t="str">
        <x:v>21733</x:v>
      </x:c>
      <x:c r="B1280" s="9" t="d">
        <x:v>2011-05-29T00:00:00.000Z</x:v>
      </x:c>
      <x:c r="C1280" s="13" t="n">
        <x:v>2</x:v>
      </x:c>
    </x:row>
    <x:row r="1281" ht="20" customHeight="1">
      <x:c r="A1281" s="1" t="str">
        <x:v>21733</x:v>
      </x:c>
      <x:c r="B1281" s="9" t="d">
        <x:v>2011-05-30T00:00:00.000Z</x:v>
      </x:c>
      <x:c r="C1281" s="13" t="n">
        <x:v>0</x:v>
      </x:c>
    </x:row>
    <x:row r="1282" ht="20" customHeight="1">
      <x:c r="A1282" s="1" t="str">
        <x:v>21733</x:v>
      </x:c>
      <x:c r="B1282" s="9" t="d">
        <x:v>2011-05-31T00:00:00.000Z</x:v>
      </x:c>
      <x:c r="C1282" s="13" t="n">
        <x:v>0</x:v>
      </x:c>
    </x:row>
    <x:row r="1283" ht="20" customHeight="1">
      <x:c r="A1283" s="1" t="str">
        <x:v>21733</x:v>
      </x:c>
      <x:c r="B1283" s="9" t="d">
        <x:v>2011-06-01T00:00:00.000Z</x:v>
      </x:c>
      <x:c r="C1283" s="13" t="n">
        <x:v>6</x:v>
      </x:c>
    </x:row>
    <x:row r="1284" ht="20" customHeight="1">
      <x:c r="A1284" s="1" t="str">
        <x:v>21733</x:v>
      </x:c>
      <x:c r="B1284" s="9" t="d">
        <x:v>2011-06-02T00:00:00.000Z</x:v>
      </x:c>
      <x:c r="C1284" s="13" t="n">
        <x:v>0</x:v>
      </x:c>
    </x:row>
    <x:row r="1285" ht="20" customHeight="1">
      <x:c r="A1285" s="1" t="str">
        <x:v>21733</x:v>
      </x:c>
      <x:c r="B1285" s="9" t="d">
        <x:v>2011-06-03T00:00:00.000Z</x:v>
      </x:c>
      <x:c r="C1285" s="13" t="n">
        <x:v>6</x:v>
      </x:c>
    </x:row>
    <x:row r="1286" ht="20" customHeight="1">
      <x:c r="A1286" s="1" t="str">
        <x:v>21733</x:v>
      </x:c>
      <x:c r="B1286" s="9" t="d">
        <x:v>2011-06-04T00:00:00.000Z</x:v>
      </x:c>
      <x:c r="C1286" s="13" t="n">
        <x:v>0</x:v>
      </x:c>
    </x:row>
    <x:row r="1287" ht="20" customHeight="1">
      <x:c r="A1287" s="1" t="str">
        <x:v>21733</x:v>
      </x:c>
      <x:c r="B1287" s="9" t="d">
        <x:v>2011-06-05T00:00:00.000Z</x:v>
      </x:c>
      <x:c r="C1287" s="13" t="n">
        <x:v>0</x:v>
      </x:c>
    </x:row>
    <x:row r="1288" ht="20" customHeight="1">
      <x:c r="A1288" s="1" t="str">
        <x:v>21733</x:v>
      </x:c>
      <x:c r="B1288" s="9" t="d">
        <x:v>2011-06-06T00:00:00.000Z</x:v>
      </x:c>
      <x:c r="C1288" s="13" t="n">
        <x:v>12</x:v>
      </x:c>
    </x:row>
    <x:row r="1289" ht="20" customHeight="1">
      <x:c r="A1289" s="1" t="str">
        <x:v>21733</x:v>
      </x:c>
      <x:c r="B1289" s="9" t="d">
        <x:v>2011-06-07T00:00:00.000Z</x:v>
      </x:c>
      <x:c r="C1289" s="13" t="n">
        <x:v>8</x:v>
      </x:c>
    </x:row>
    <x:row r="1290" ht="20" customHeight="1">
      <x:c r="A1290" s="1" t="str">
        <x:v>21733</x:v>
      </x:c>
      <x:c r="B1290" s="9" t="d">
        <x:v>2011-06-08T00:00:00.000Z</x:v>
      </x:c>
      <x:c r="C1290" s="13" t="n">
        <x:v>8</x:v>
      </x:c>
    </x:row>
    <x:row r="1291" ht="20" customHeight="1">
      <x:c r="A1291" s="1" t="str">
        <x:v>21733</x:v>
      </x:c>
      <x:c r="B1291" s="9" t="d">
        <x:v>2011-06-09T00:00:00.000Z</x:v>
      </x:c>
      <x:c r="C1291" s="13" t="n">
        <x:v>12</x:v>
      </x:c>
    </x:row>
    <x:row r="1292" ht="20" customHeight="1">
      <x:c r="A1292" s="1" t="str">
        <x:v>21733</x:v>
      </x:c>
      <x:c r="B1292" s="9" t="d">
        <x:v>2011-06-10T00:00:00.000Z</x:v>
      </x:c>
      <x:c r="C1292" s="13" t="n">
        <x:v>0</x:v>
      </x:c>
    </x:row>
    <x:row r="1293" ht="20" customHeight="1">
      <x:c r="A1293" s="1" t="str">
        <x:v>21733</x:v>
      </x:c>
      <x:c r="B1293" s="9" t="d">
        <x:v>2011-06-11T00:00:00.000Z</x:v>
      </x:c>
      <x:c r="C1293" s="13" t="n">
        <x:v>0</x:v>
      </x:c>
    </x:row>
    <x:row r="1294" ht="20" customHeight="1">
      <x:c r="A1294" s="1" t="str">
        <x:v>21733</x:v>
      </x:c>
      <x:c r="B1294" s="9" t="d">
        <x:v>2011-06-12T00:00:00.000Z</x:v>
      </x:c>
      <x:c r="C1294" s="13" t="n">
        <x:v>3</x:v>
      </x:c>
    </x:row>
    <x:row r="1295" ht="20" customHeight="1">
      <x:c r="A1295" s="1" t="str">
        <x:v>21733</x:v>
      </x:c>
      <x:c r="B1295" s="9" t="d">
        <x:v>2011-06-13T00:00:00.000Z</x:v>
      </x:c>
      <x:c r="C1295" s="13" t="n">
        <x:v>10</x:v>
      </x:c>
    </x:row>
    <x:row r="1296" ht="20" customHeight="1">
      <x:c r="A1296" s="1" t="str">
        <x:v>21733</x:v>
      </x:c>
      <x:c r="B1296" s="9" t="d">
        <x:v>2011-06-14T00:00:00.000Z</x:v>
      </x:c>
      <x:c r="C1296" s="13" t="n">
        <x:v>1</x:v>
      </x:c>
    </x:row>
    <x:row r="1297" ht="20" customHeight="1">
      <x:c r="A1297" s="1" t="str">
        <x:v>21733</x:v>
      </x:c>
      <x:c r="B1297" s="9" t="d">
        <x:v>2011-06-15T00:00:00.000Z</x:v>
      </x:c>
      <x:c r="C1297" s="13" t="n">
        <x:v>6</x:v>
      </x:c>
    </x:row>
    <x:row r="1298" ht="20" customHeight="1">
      <x:c r="A1298" s="1" t="str">
        <x:v>21733</x:v>
      </x:c>
      <x:c r="B1298" s="9" t="d">
        <x:v>2011-06-16T00:00:00.000Z</x:v>
      </x:c>
      <x:c r="C1298" s="13" t="n">
        <x:v>7</x:v>
      </x:c>
    </x:row>
    <x:row r="1299" ht="20" customHeight="1">
      <x:c r="A1299" s="1" t="str">
        <x:v>21733</x:v>
      </x:c>
      <x:c r="B1299" s="9" t="d">
        <x:v>2011-06-17T00:00:00.000Z</x:v>
      </x:c>
      <x:c r="C1299" s="13" t="n">
        <x:v>1</x:v>
      </x:c>
    </x:row>
    <x:row r="1300" ht="20" customHeight="1">
      <x:c r="A1300" s="1" t="str">
        <x:v>21733</x:v>
      </x:c>
      <x:c r="B1300" s="9" t="d">
        <x:v>2011-06-18T00:00:00.000Z</x:v>
      </x:c>
      <x:c r="C1300" s="13" t="n">
        <x:v>0</x:v>
      </x:c>
    </x:row>
    <x:row r="1301" ht="20" customHeight="1">
      <x:c r="A1301" s="1" t="str">
        <x:v>21733</x:v>
      </x:c>
      <x:c r="B1301" s="9" t="d">
        <x:v>2011-06-19T00:00:00.000Z</x:v>
      </x:c>
      <x:c r="C1301" s="13" t="n">
        <x:v>6</x:v>
      </x:c>
    </x:row>
    <x:row r="1302" ht="20" customHeight="1">
      <x:c r="A1302" s="1" t="str">
        <x:v>21733</x:v>
      </x:c>
      <x:c r="B1302" s="9" t="d">
        <x:v>2011-06-20T00:00:00.000Z</x:v>
      </x:c>
      <x:c r="C1302" s="13" t="n">
        <x:v>0</x:v>
      </x:c>
    </x:row>
    <x:row r="1303" ht="20" customHeight="1">
      <x:c r="A1303" s="1" t="str">
        <x:v>21733</x:v>
      </x:c>
      <x:c r="B1303" s="9" t="d">
        <x:v>2011-06-21T00:00:00.000Z</x:v>
      </x:c>
      <x:c r="C1303" s="13" t="n">
        <x:v>0</x:v>
      </x:c>
    </x:row>
    <x:row r="1304" ht="20" customHeight="1">
      <x:c r="A1304" s="1" t="str">
        <x:v>21733</x:v>
      </x:c>
      <x:c r="B1304" s="9" t="d">
        <x:v>2011-06-22T00:00:00.000Z</x:v>
      </x:c>
      <x:c r="C1304" s="13" t="n">
        <x:v>0</x:v>
      </x:c>
    </x:row>
    <x:row r="1305" ht="20" customHeight="1">
      <x:c r="A1305" s="1" t="str">
        <x:v>21733</x:v>
      </x:c>
      <x:c r="B1305" s="9" t="d">
        <x:v>2011-06-23T00:00:00.000Z</x:v>
      </x:c>
      <x:c r="C1305" s="13" t="n">
        <x:v>7</x:v>
      </x:c>
    </x:row>
    <x:row r="1306" ht="20" customHeight="1">
      <x:c r="A1306" s="1" t="str">
        <x:v>21733</x:v>
      </x:c>
      <x:c r="B1306" s="9" t="d">
        <x:v>2011-06-24T00:00:00.000Z</x:v>
      </x:c>
      <x:c r="C1306" s="13" t="n">
        <x:v>5</x:v>
      </x:c>
    </x:row>
    <x:row r="1307" ht="20" customHeight="1">
      <x:c r="A1307" s="1" t="str">
        <x:v>21733</x:v>
      </x:c>
      <x:c r="B1307" s="9" t="d">
        <x:v>2011-06-25T00:00:00.000Z</x:v>
      </x:c>
      <x:c r="C1307" s="13" t="n">
        <x:v>0</x:v>
      </x:c>
    </x:row>
    <x:row r="1308" ht="20" customHeight="1">
      <x:c r="A1308" s="1" t="str">
        <x:v>21733</x:v>
      </x:c>
      <x:c r="B1308" s="9" t="d">
        <x:v>2011-06-26T00:00:00.000Z</x:v>
      </x:c>
      <x:c r="C1308" s="13" t="n">
        <x:v>0</x:v>
      </x:c>
    </x:row>
    <x:row r="1309" ht="20" customHeight="1">
      <x:c r="A1309" s="1" t="str">
        <x:v>21733</x:v>
      </x:c>
      <x:c r="B1309" s="9" t="d">
        <x:v>2011-06-27T00:00:00.000Z</x:v>
      </x:c>
      <x:c r="C1309" s="13" t="n">
        <x:v>0</x:v>
      </x:c>
    </x:row>
    <x:row r="1310" ht="20" customHeight="1">
      <x:c r="A1310" s="1" t="str">
        <x:v>21733</x:v>
      </x:c>
      <x:c r="B1310" s="9" t="d">
        <x:v>2011-06-28T00:00:00.000Z</x:v>
      </x:c>
      <x:c r="C1310" s="13" t="n">
        <x:v>0</x:v>
      </x:c>
    </x:row>
    <x:row r="1311" ht="20" customHeight="1">
      <x:c r="A1311" s="1" t="str">
        <x:v>21733</x:v>
      </x:c>
      <x:c r="B1311" s="9" t="d">
        <x:v>2011-06-29T00:00:00.000Z</x:v>
      </x:c>
      <x:c r="C1311" s="13" t="n">
        <x:v>0</x:v>
      </x:c>
    </x:row>
    <x:row r="1312" ht="20" customHeight="1">
      <x:c r="A1312" s="1" t="str">
        <x:v>21733</x:v>
      </x:c>
      <x:c r="B1312" s="9" t="d">
        <x:v>2011-06-30T00:00:00.000Z</x:v>
      </x:c>
      <x:c r="C1312" s="13" t="n">
        <x:v>17</x:v>
      </x:c>
    </x:row>
    <x:row r="1313" ht="20" customHeight="1">
      <x:c r="A1313" s="1" t="str">
        <x:v>21733</x:v>
      </x:c>
      <x:c r="B1313" s="9" t="d">
        <x:v>2011-07-01T00:00:00.000Z</x:v>
      </x:c>
      <x:c r="C1313" s="13" t="n">
        <x:v>0</x:v>
      </x:c>
    </x:row>
    <x:row r="1314" ht="20" customHeight="1">
      <x:c r="A1314" s="1" t="str">
        <x:v>21733</x:v>
      </x:c>
      <x:c r="B1314" s="9" t="d">
        <x:v>2011-07-02T00:00:00.000Z</x:v>
      </x:c>
      <x:c r="C1314" s="13" t="n">
        <x:v>0</x:v>
      </x:c>
    </x:row>
    <x:row r="1315" ht="20" customHeight="1">
      <x:c r="A1315" s="1" t="str">
        <x:v>21733</x:v>
      </x:c>
      <x:c r="B1315" s="9" t="d">
        <x:v>2011-07-03T00:00:00.000Z</x:v>
      </x:c>
      <x:c r="C1315" s="13" t="n">
        <x:v>6</x:v>
      </x:c>
    </x:row>
    <x:row r="1316" ht="20" customHeight="1">
      <x:c r="A1316" s="1" t="str">
        <x:v>21733</x:v>
      </x:c>
      <x:c r="B1316" s="9" t="d">
        <x:v>2011-07-04T00:00:00.000Z</x:v>
      </x:c>
      <x:c r="C1316" s="13" t="n">
        <x:v>3</x:v>
      </x:c>
    </x:row>
    <x:row r="1317" ht="20" customHeight="1">
      <x:c r="A1317" s="1" t="str">
        <x:v>21733</x:v>
      </x:c>
      <x:c r="B1317" s="9" t="d">
        <x:v>2011-07-05T00:00:00.000Z</x:v>
      </x:c>
      <x:c r="C1317" s="13" t="n">
        <x:v>0</x:v>
      </x:c>
    </x:row>
    <x:row r="1318" ht="20" customHeight="1">
      <x:c r="A1318" s="1" t="str">
        <x:v>21733</x:v>
      </x:c>
      <x:c r="B1318" s="9" t="d">
        <x:v>2011-07-06T00:00:00.000Z</x:v>
      </x:c>
      <x:c r="C1318" s="13" t="n">
        <x:v>0</x:v>
      </x:c>
    </x:row>
    <x:row r="1319" ht="20" customHeight="1">
      <x:c r="A1319" s="1" t="str">
        <x:v>21733</x:v>
      </x:c>
      <x:c r="B1319" s="9" t="d">
        <x:v>2011-07-07T00:00:00.000Z</x:v>
      </x:c>
      <x:c r="C1319" s="13" t="n">
        <x:v>9</x:v>
      </x:c>
    </x:row>
    <x:row r="1320" ht="20" customHeight="1">
      <x:c r="A1320" s="1" t="str">
        <x:v>21733</x:v>
      </x:c>
      <x:c r="B1320" s="9" t="d">
        <x:v>2011-07-08T00:00:00.000Z</x:v>
      </x:c>
      <x:c r="C1320" s="13" t="n">
        <x:v>2</x:v>
      </x:c>
    </x:row>
    <x:row r="1321" ht="20" customHeight="1">
      <x:c r="A1321" s="1" t="str">
        <x:v>21733</x:v>
      </x:c>
      <x:c r="B1321" s="9" t="d">
        <x:v>2011-07-09T00:00:00.000Z</x:v>
      </x:c>
      <x:c r="C1321" s="13" t="n">
        <x:v>0</x:v>
      </x:c>
    </x:row>
    <x:row r="1322" ht="20" customHeight="1">
      <x:c r="A1322" s="1" t="str">
        <x:v>21733</x:v>
      </x:c>
      <x:c r="B1322" s="9" t="d">
        <x:v>2011-07-10T00:00:00.000Z</x:v>
      </x:c>
      <x:c r="C1322" s="13" t="n">
        <x:v>1</x:v>
      </x:c>
    </x:row>
    <x:row r="1323" ht="20" customHeight="1">
      <x:c r="A1323" s="1" t="str">
        <x:v>21733</x:v>
      </x:c>
      <x:c r="B1323" s="9" t="d">
        <x:v>2011-07-11T00:00:00.000Z</x:v>
      </x:c>
      <x:c r="C1323" s="13" t="n">
        <x:v>5</x:v>
      </x:c>
    </x:row>
    <x:row r="1324" ht="20" customHeight="1">
      <x:c r="A1324" s="1" t="str">
        <x:v>21733</x:v>
      </x:c>
      <x:c r="B1324" s="9" t="d">
        <x:v>2011-07-12T00:00:00.000Z</x:v>
      </x:c>
      <x:c r="C1324" s="13" t="n">
        <x:v>173</x:v>
      </x:c>
    </x:row>
    <x:row r="1325" ht="20" customHeight="1">
      <x:c r="A1325" s="1" t="str">
        <x:v>21733</x:v>
      </x:c>
      <x:c r="B1325" s="9" t="d">
        <x:v>2011-07-13T00:00:00.000Z</x:v>
      </x:c>
      <x:c r="C1325" s="13" t="n">
        <x:v>3</x:v>
      </x:c>
    </x:row>
    <x:row r="1326" ht="20" customHeight="1">
      <x:c r="A1326" s="1" t="str">
        <x:v>21733</x:v>
      </x:c>
      <x:c r="B1326" s="9" t="d">
        <x:v>2011-07-14T00:00:00.000Z</x:v>
      </x:c>
      <x:c r="C1326" s="13" t="n">
        <x:v>11</x:v>
      </x:c>
    </x:row>
    <x:row r="1327" ht="20" customHeight="1">
      <x:c r="A1327" s="1" t="str">
        <x:v>21733</x:v>
      </x:c>
      <x:c r="B1327" s="9" t="d">
        <x:v>2011-07-15T00:00:00.000Z</x:v>
      </x:c>
      <x:c r="C1327" s="13" t="n">
        <x:v>0</x:v>
      </x:c>
    </x:row>
    <x:row r="1328" ht="20" customHeight="1">
      <x:c r="A1328" s="1" t="str">
        <x:v>21733</x:v>
      </x:c>
      <x:c r="B1328" s="9" t="d">
        <x:v>2011-07-16T00:00:00.000Z</x:v>
      </x:c>
      <x:c r="C1328" s="13" t="n">
        <x:v>0</x:v>
      </x:c>
    </x:row>
    <x:row r="1329" ht="20" customHeight="1">
      <x:c r="A1329" s="1" t="str">
        <x:v>21733</x:v>
      </x:c>
      <x:c r="B1329" s="9" t="d">
        <x:v>2011-07-17T00:00:00.000Z</x:v>
      </x:c>
      <x:c r="C1329" s="13" t="n">
        <x:v>4</x:v>
      </x:c>
    </x:row>
    <x:row r="1330" ht="20" customHeight="1">
      <x:c r="A1330" s="1" t="str">
        <x:v>21733</x:v>
      </x:c>
      <x:c r="B1330" s="9" t="d">
        <x:v>2011-07-18T00:00:00.000Z</x:v>
      </x:c>
      <x:c r="C1330" s="13" t="n">
        <x:v>32</x:v>
      </x:c>
    </x:row>
    <x:row r="1331" ht="20" customHeight="1">
      <x:c r="A1331" s="1" t="str">
        <x:v>21733</x:v>
      </x:c>
      <x:c r="B1331" s="9" t="d">
        <x:v>2011-07-19T00:00:00.000Z</x:v>
      </x:c>
      <x:c r="C1331" s="13" t="n">
        <x:v>33</x:v>
      </x:c>
    </x:row>
    <x:row r="1332" ht="20" customHeight="1">
      <x:c r="A1332" s="1" t="str">
        <x:v>21733</x:v>
      </x:c>
      <x:c r="B1332" s="9" t="d">
        <x:v>2011-07-20T00:00:00.000Z</x:v>
      </x:c>
      <x:c r="C1332" s="13" t="n">
        <x:v>15</x:v>
      </x:c>
    </x:row>
    <x:row r="1333" ht="20" customHeight="1">
      <x:c r="A1333" s="1" t="str">
        <x:v>21733</x:v>
      </x:c>
      <x:c r="B1333" s="9" t="d">
        <x:v>2011-07-21T00:00:00.000Z</x:v>
      </x:c>
      <x:c r="C1333" s="13" t="n">
        <x:v>24</x:v>
      </x:c>
    </x:row>
    <x:row r="1334" ht="20" customHeight="1">
      <x:c r="A1334" s="1" t="str">
        <x:v>21733</x:v>
      </x:c>
      <x:c r="B1334" s="9" t="d">
        <x:v>2011-07-22T00:00:00.000Z</x:v>
      </x:c>
      <x:c r="C1334" s="13" t="n">
        <x:v>12</x:v>
      </x:c>
    </x:row>
    <x:row r="1335" ht="20" customHeight="1">
      <x:c r="A1335" s="1" t="str">
        <x:v>21733</x:v>
      </x:c>
      <x:c r="B1335" s="9" t="d">
        <x:v>2011-07-23T00:00:00.000Z</x:v>
      </x:c>
      <x:c r="C1335" s="13" t="n">
        <x:v>0</x:v>
      </x:c>
    </x:row>
    <x:row r="1336" ht="20" customHeight="1">
      <x:c r="A1336" s="1" t="str">
        <x:v>21733</x:v>
      </x:c>
      <x:c r="B1336" s="9" t="d">
        <x:v>2011-07-24T00:00:00.000Z</x:v>
      </x:c>
      <x:c r="C1336" s="13" t="n">
        <x:v>23</x:v>
      </x:c>
    </x:row>
    <x:row r="1337" ht="20" customHeight="1">
      <x:c r="A1337" s="1" t="str">
        <x:v>21733</x:v>
      </x:c>
      <x:c r="B1337" s="9" t="d">
        <x:v>2011-07-25T00:00:00.000Z</x:v>
      </x:c>
      <x:c r="C1337" s="13" t="n">
        <x:v>28</x:v>
      </x:c>
    </x:row>
    <x:row r="1338" ht="20" customHeight="1">
      <x:c r="A1338" s="1" t="str">
        <x:v>21733</x:v>
      </x:c>
      <x:c r="B1338" s="9" t="d">
        <x:v>2011-07-26T00:00:00.000Z</x:v>
      </x:c>
      <x:c r="C1338" s="13" t="n">
        <x:v>0</x:v>
      </x:c>
    </x:row>
    <x:row r="1339" ht="20" customHeight="1">
      <x:c r="A1339" s="1" t="str">
        <x:v>21733</x:v>
      </x:c>
      <x:c r="B1339" s="9" t="d">
        <x:v>2011-07-27T00:00:00.000Z</x:v>
      </x:c>
      <x:c r="C1339" s="13" t="n">
        <x:v>9</x:v>
      </x:c>
    </x:row>
    <x:row r="1340" ht="20" customHeight="1">
      <x:c r="A1340" s="1" t="str">
        <x:v>21733</x:v>
      </x:c>
      <x:c r="B1340" s="9" t="d">
        <x:v>2011-07-28T00:00:00.000Z</x:v>
      </x:c>
      <x:c r="C1340" s="13" t="n">
        <x:v>355</x:v>
      </x:c>
    </x:row>
    <x:row r="1341" ht="20" customHeight="1">
      <x:c r="A1341" s="1" t="str">
        <x:v>21733</x:v>
      </x:c>
      <x:c r="B1341" s="9" t="d">
        <x:v>2011-07-29T00:00:00.000Z</x:v>
      </x:c>
      <x:c r="C1341" s="13" t="n">
        <x:v>11</x:v>
      </x:c>
    </x:row>
    <x:row r="1342" ht="20" customHeight="1">
      <x:c r="A1342" s="1" t="str">
        <x:v>21733</x:v>
      </x:c>
      <x:c r="B1342" s="9" t="d">
        <x:v>2011-07-30T00:00:00.000Z</x:v>
      </x:c>
      <x:c r="C1342" s="13" t="n">
        <x:v>0</x:v>
      </x:c>
    </x:row>
    <x:row r="1343" ht="20" customHeight="1">
      <x:c r="A1343" s="1" t="str">
        <x:v>21733</x:v>
      </x:c>
      <x:c r="B1343" s="9" t="d">
        <x:v>2011-07-31T00:00:00.000Z</x:v>
      </x:c>
      <x:c r="C1343" s="13" t="n">
        <x:v>0</x:v>
      </x:c>
    </x:row>
    <x:row r="1344" ht="20" customHeight="1">
      <x:c r="A1344" s="1" t="str">
        <x:v>21733</x:v>
      </x:c>
      <x:c r="B1344" s="9" t="d">
        <x:v>2011-08-01T00:00:00.000Z</x:v>
      </x:c>
      <x:c r="C1344" s="13" t="n">
        <x:v>0</x:v>
      </x:c>
    </x:row>
    <x:row r="1345" ht="20" customHeight="1">
      <x:c r="A1345" s="1" t="str">
        <x:v>21733</x:v>
      </x:c>
      <x:c r="B1345" s="9" t="d">
        <x:v>2011-08-02T00:00:00.000Z</x:v>
      </x:c>
      <x:c r="C1345" s="13" t="n">
        <x:v>0</x:v>
      </x:c>
    </x:row>
    <x:row r="1346" ht="20" customHeight="1">
      <x:c r="A1346" s="1" t="str">
        <x:v>21733</x:v>
      </x:c>
      <x:c r="B1346" s="9" t="d">
        <x:v>2011-08-03T00:00:00.000Z</x:v>
      </x:c>
      <x:c r="C1346" s="13" t="n">
        <x:v>12</x:v>
      </x:c>
    </x:row>
    <x:row r="1347" ht="20" customHeight="1">
      <x:c r="A1347" s="1" t="str">
        <x:v>21733</x:v>
      </x:c>
      <x:c r="B1347" s="9" t="d">
        <x:v>2011-08-04T00:00:00.000Z</x:v>
      </x:c>
      <x:c r="C1347" s="13" t="n">
        <x:v>1</x:v>
      </x:c>
    </x:row>
    <x:row r="1348" ht="20" customHeight="1">
      <x:c r="A1348" s="1" t="str">
        <x:v>21733</x:v>
      </x:c>
      <x:c r="B1348" s="9" t="d">
        <x:v>2011-08-05T00:00:00.000Z</x:v>
      </x:c>
      <x:c r="C1348" s="13" t="n">
        <x:v>17</x:v>
      </x:c>
    </x:row>
    <x:row r="1349" ht="20" customHeight="1">
      <x:c r="A1349" s="1" t="str">
        <x:v>21733</x:v>
      </x:c>
      <x:c r="B1349" s="9" t="d">
        <x:v>2011-08-06T00:00:00.000Z</x:v>
      </x:c>
      <x:c r="C1349" s="13" t="n">
        <x:v>0</x:v>
      </x:c>
    </x:row>
    <x:row r="1350" ht="20" customHeight="1">
      <x:c r="A1350" s="1" t="str">
        <x:v>21733</x:v>
      </x:c>
      <x:c r="B1350" s="9" t="d">
        <x:v>2011-08-07T00:00:00.000Z</x:v>
      </x:c>
      <x:c r="C1350" s="13" t="n">
        <x:v>2</x:v>
      </x:c>
    </x:row>
    <x:row r="1351" ht="20" customHeight="1">
      <x:c r="A1351" s="1" t="str">
        <x:v>21733</x:v>
      </x:c>
      <x:c r="B1351" s="9" t="d">
        <x:v>2011-08-08T00:00:00.000Z</x:v>
      </x:c>
      <x:c r="C1351" s="13" t="n">
        <x:v>14</x:v>
      </x:c>
    </x:row>
    <x:row r="1352" ht="20" customHeight="1">
      <x:c r="A1352" s="1" t="str">
        <x:v>21733</x:v>
      </x:c>
      <x:c r="B1352" s="9" t="d">
        <x:v>2011-08-09T00:00:00.000Z</x:v>
      </x:c>
      <x:c r="C1352" s="13" t="n">
        <x:v>39</x:v>
      </x:c>
    </x:row>
    <x:row r="1353" ht="20" customHeight="1">
      <x:c r="A1353" s="1" t="str">
        <x:v>21733</x:v>
      </x:c>
      <x:c r="B1353" s="9" t="d">
        <x:v>2011-08-10T00:00:00.000Z</x:v>
      </x:c>
      <x:c r="C1353" s="13" t="n">
        <x:v>7</x:v>
      </x:c>
    </x:row>
    <x:row r="1354" ht="20" customHeight="1">
      <x:c r="A1354" s="1" t="str">
        <x:v>21733</x:v>
      </x:c>
      <x:c r="B1354" s="9" t="d">
        <x:v>2011-08-11T00:00:00.000Z</x:v>
      </x:c>
      <x:c r="C1354" s="13" t="n">
        <x:v>1</x:v>
      </x:c>
    </x:row>
    <x:row r="1355" ht="20" customHeight="1">
      <x:c r="A1355" s="1" t="str">
        <x:v>21733</x:v>
      </x:c>
      <x:c r="B1355" s="9" t="d">
        <x:v>2011-08-12T00:00:00.000Z</x:v>
      </x:c>
      <x:c r="C1355" s="13" t="n">
        <x:v>0</x:v>
      </x:c>
    </x:row>
    <x:row r="1356" ht="20" customHeight="1">
      <x:c r="A1356" s="1" t="str">
        <x:v>21733</x:v>
      </x:c>
      <x:c r="B1356" s="9" t="d">
        <x:v>2011-08-13T00:00:00.000Z</x:v>
      </x:c>
      <x:c r="C1356" s="13" t="n">
        <x:v>0</x:v>
      </x:c>
    </x:row>
    <x:row r="1357" ht="20" customHeight="1">
      <x:c r="A1357" s="1" t="str">
        <x:v>21733</x:v>
      </x:c>
      <x:c r="B1357" s="9" t="d">
        <x:v>2011-08-14T00:00:00.000Z</x:v>
      </x:c>
      <x:c r="C1357" s="13" t="n">
        <x:v>0</x:v>
      </x:c>
    </x:row>
    <x:row r="1358" ht="20" customHeight="1">
      <x:c r="A1358" s="1" t="str">
        <x:v>21733</x:v>
      </x:c>
      <x:c r="B1358" s="9" t="d">
        <x:v>2011-08-15T00:00:00.000Z</x:v>
      </x:c>
      <x:c r="C1358" s="13" t="n">
        <x:v>24</x:v>
      </x:c>
    </x:row>
    <x:row r="1359" ht="20" customHeight="1">
      <x:c r="A1359" s="1" t="str">
        <x:v>21733</x:v>
      </x:c>
      <x:c r="B1359" s="9" t="d">
        <x:v>2011-08-16T00:00:00.000Z</x:v>
      </x:c>
      <x:c r="C1359" s="13" t="n">
        <x:v>0</x:v>
      </x:c>
    </x:row>
    <x:row r="1360" ht="20" customHeight="1">
      <x:c r="A1360" s="1" t="str">
        <x:v>21733</x:v>
      </x:c>
      <x:c r="B1360" s="9" t="d">
        <x:v>2011-08-17T00:00:00.000Z</x:v>
      </x:c>
      <x:c r="C1360" s="13" t="n">
        <x:v>3</x:v>
      </x:c>
    </x:row>
    <x:row r="1361" ht="20" customHeight="1">
      <x:c r="A1361" s="1" t="str">
        <x:v>21733</x:v>
      </x:c>
      <x:c r="B1361" s="9" t="d">
        <x:v>2011-08-18T00:00:00.000Z</x:v>
      </x:c>
      <x:c r="C1361" s="13" t="n">
        <x:v>6</x:v>
      </x:c>
    </x:row>
    <x:row r="1362" ht="20" customHeight="1">
      <x:c r="A1362" s="1" t="str">
        <x:v>21733</x:v>
      </x:c>
      <x:c r="B1362" s="9" t="d">
        <x:v>2011-08-19T00:00:00.000Z</x:v>
      </x:c>
      <x:c r="C1362" s="13" t="n">
        <x:v>6</x:v>
      </x:c>
    </x:row>
    <x:row r="1363" ht="20" customHeight="1">
      <x:c r="A1363" s="1" t="str">
        <x:v>21733</x:v>
      </x:c>
      <x:c r="B1363" s="9" t="d">
        <x:v>2011-08-20T00:00:00.000Z</x:v>
      </x:c>
      <x:c r="C1363" s="13" t="n">
        <x:v>0</x:v>
      </x:c>
    </x:row>
    <x:row r="1364" ht="20" customHeight="1">
      <x:c r="A1364" s="1" t="str">
        <x:v>21733</x:v>
      </x:c>
      <x:c r="B1364" s="9" t="d">
        <x:v>2011-08-21T00:00:00.000Z</x:v>
      </x:c>
      <x:c r="C1364" s="13" t="n">
        <x:v>2</x:v>
      </x:c>
    </x:row>
    <x:row r="1365" ht="20" customHeight="1">
      <x:c r="A1365" s="1" t="str">
        <x:v>21733</x:v>
      </x:c>
      <x:c r="B1365" s="9" t="d">
        <x:v>2011-08-22T00:00:00.000Z</x:v>
      </x:c>
      <x:c r="C1365" s="13" t="n">
        <x:v>0</x:v>
      </x:c>
    </x:row>
    <x:row r="1366" ht="20" customHeight="1">
      <x:c r="A1366" s="1" t="str">
        <x:v>21733</x:v>
      </x:c>
      <x:c r="B1366" s="9" t="d">
        <x:v>2011-08-23T00:00:00.000Z</x:v>
      </x:c>
      <x:c r="C1366" s="13" t="n">
        <x:v>2</x:v>
      </x:c>
    </x:row>
    <x:row r="1367" ht="20" customHeight="1">
      <x:c r="A1367" s="1" t="str">
        <x:v>21733</x:v>
      </x:c>
      <x:c r="B1367" s="9" t="d">
        <x:v>2011-08-24T00:00:00.000Z</x:v>
      </x:c>
      <x:c r="C1367" s="13" t="n">
        <x:v>40</x:v>
      </x:c>
    </x:row>
    <x:row r="1368" ht="20" customHeight="1">
      <x:c r="A1368" s="1" t="str">
        <x:v>21733</x:v>
      </x:c>
      <x:c r="B1368" s="9" t="d">
        <x:v>2011-08-25T00:00:00.000Z</x:v>
      </x:c>
      <x:c r="C1368" s="13" t="n">
        <x:v>12</x:v>
      </x:c>
    </x:row>
    <x:row r="1369" ht="20" customHeight="1">
      <x:c r="A1369" s="1" t="str">
        <x:v>21733</x:v>
      </x:c>
      <x:c r="B1369" s="9" t="d">
        <x:v>2011-08-26T00:00:00.000Z</x:v>
      </x:c>
      <x:c r="C1369" s="13" t="n">
        <x:v>4</x:v>
      </x:c>
    </x:row>
    <x:row r="1370" ht="20" customHeight="1">
      <x:c r="A1370" s="1" t="str">
        <x:v>21733</x:v>
      </x:c>
      <x:c r="B1370" s="9" t="d">
        <x:v>2011-08-27T00:00:00.000Z</x:v>
      </x:c>
      <x:c r="C1370" s="13" t="n">
        <x:v>0</x:v>
      </x:c>
    </x:row>
    <x:row r="1371" ht="20" customHeight="1">
      <x:c r="A1371" s="1" t="str">
        <x:v>21733</x:v>
      </x:c>
      <x:c r="B1371" s="9" t="d">
        <x:v>2011-08-28T00:00:00.000Z</x:v>
      </x:c>
      <x:c r="C1371" s="13" t="n">
        <x:v>2</x:v>
      </x:c>
    </x:row>
    <x:row r="1372" ht="20" customHeight="1">
      <x:c r="A1372" s="1" t="str">
        <x:v>21733</x:v>
      </x:c>
      <x:c r="B1372" s="9" t="d">
        <x:v>2011-08-29T00:00:00.000Z</x:v>
      </x:c>
      <x:c r="C1372" s="13" t="n">
        <x:v>0</x:v>
      </x:c>
    </x:row>
    <x:row r="1373" ht="20" customHeight="1">
      <x:c r="A1373" s="1" t="str">
        <x:v>21733</x:v>
      </x:c>
      <x:c r="B1373" s="9" t="d">
        <x:v>2011-08-30T00:00:00.000Z</x:v>
      </x:c>
      <x:c r="C1373" s="13" t="n">
        <x:v>3</x:v>
      </x:c>
    </x:row>
    <x:row r="1374" ht="20" customHeight="1">
      <x:c r="A1374" s="1" t="str">
        <x:v>21733</x:v>
      </x:c>
      <x:c r="B1374" s="9" t="d">
        <x:v>2011-08-31T00:00:00.000Z</x:v>
      </x:c>
      <x:c r="C1374" s="13" t="n">
        <x:v>1</x:v>
      </x:c>
    </x:row>
    <x:row r="1375" ht="20" customHeight="1">
      <x:c r="A1375" s="1" t="str">
        <x:v>21733</x:v>
      </x:c>
      <x:c r="B1375" s="9" t="d">
        <x:v>2011-09-01T00:00:00.000Z</x:v>
      </x:c>
      <x:c r="C1375" s="13" t="n">
        <x:v>30</x:v>
      </x:c>
    </x:row>
    <x:row r="1376" ht="20" customHeight="1">
      <x:c r="A1376" s="1" t="str">
        <x:v>21733</x:v>
      </x:c>
      <x:c r="B1376" s="9" t="d">
        <x:v>2011-09-02T00:00:00.000Z</x:v>
      </x:c>
      <x:c r="C1376" s="13" t="n">
        <x:v>8</x:v>
      </x:c>
    </x:row>
    <x:row r="1377" ht="20" customHeight="1">
      <x:c r="A1377" s="1" t="str">
        <x:v>21733</x:v>
      </x:c>
      <x:c r="B1377" s="9" t="d">
        <x:v>2011-09-03T00:00:00.000Z</x:v>
      </x:c>
      <x:c r="C1377" s="13" t="n">
        <x:v>0</x:v>
      </x:c>
    </x:row>
    <x:row r="1378" ht="20" customHeight="1">
      <x:c r="A1378" s="1" t="str">
        <x:v>21733</x:v>
      </x:c>
      <x:c r="B1378" s="9" t="d">
        <x:v>2011-09-04T00:00:00.000Z</x:v>
      </x:c>
      <x:c r="C1378" s="13" t="n">
        <x:v>0</x:v>
      </x:c>
    </x:row>
    <x:row r="1379" ht="20" customHeight="1">
      <x:c r="A1379" s="1" t="str">
        <x:v>21733</x:v>
      </x:c>
      <x:c r="B1379" s="9" t="d">
        <x:v>2011-09-05T00:00:00.000Z</x:v>
      </x:c>
      <x:c r="C1379" s="13" t="n">
        <x:v>4</x:v>
      </x:c>
    </x:row>
    <x:row r="1380" ht="20" customHeight="1">
      <x:c r="A1380" s="1" t="str">
        <x:v>21733</x:v>
      </x:c>
      <x:c r="B1380" s="9" t="d">
        <x:v>2011-09-06T00:00:00.000Z</x:v>
      </x:c>
      <x:c r="C1380" s="13" t="n">
        <x:v>2</x:v>
      </x:c>
    </x:row>
    <x:row r="1381" ht="20" customHeight="1">
      <x:c r="A1381" s="1" t="str">
        <x:v>21733</x:v>
      </x:c>
      <x:c r="B1381" s="9" t="d">
        <x:v>2011-09-07T00:00:00.000Z</x:v>
      </x:c>
      <x:c r="C1381" s="13" t="n">
        <x:v>0</x:v>
      </x:c>
    </x:row>
    <x:row r="1382" ht="20" customHeight="1">
      <x:c r="A1382" s="1" t="str">
        <x:v>21733</x:v>
      </x:c>
      <x:c r="B1382" s="9" t="d">
        <x:v>2011-09-08T00:00:00.000Z</x:v>
      </x:c>
      <x:c r="C1382" s="13" t="n">
        <x:v>4</x:v>
      </x:c>
    </x:row>
    <x:row r="1383" ht="20" customHeight="1">
      <x:c r="A1383" s="1" t="str">
        <x:v>21733</x:v>
      </x:c>
      <x:c r="B1383" s="9" t="d">
        <x:v>2011-09-09T00:00:00.000Z</x:v>
      </x:c>
      <x:c r="C1383" s="13" t="n">
        <x:v>2</x:v>
      </x:c>
    </x:row>
    <x:row r="1384" ht="20" customHeight="1">
      <x:c r="A1384" s="1" t="str">
        <x:v>21733</x:v>
      </x:c>
      <x:c r="B1384" s="9" t="d">
        <x:v>2011-09-10T00:00:00.000Z</x:v>
      </x:c>
      <x:c r="C1384" s="13" t="n">
        <x:v>0</x:v>
      </x:c>
    </x:row>
    <x:row r="1385" ht="20" customHeight="1">
      <x:c r="A1385" s="1" t="str">
        <x:v>21733</x:v>
      </x:c>
      <x:c r="B1385" s="9" t="d">
        <x:v>2011-09-11T00:00:00.000Z</x:v>
      </x:c>
      <x:c r="C1385" s="13" t="n">
        <x:v>24</x:v>
      </x:c>
    </x:row>
    <x:row r="1386" ht="20" customHeight="1">
      <x:c r="A1386" s="1" t="str">
        <x:v>21733</x:v>
      </x:c>
      <x:c r="B1386" s="9" t="d">
        <x:v>2011-09-12T00:00:00.000Z</x:v>
      </x:c>
      <x:c r="C1386" s="13" t="n">
        <x:v>21</x:v>
      </x:c>
    </x:row>
    <x:row r="1387" ht="20" customHeight="1">
      <x:c r="A1387" s="1" t="str">
        <x:v>21733</x:v>
      </x:c>
      <x:c r="B1387" s="9" t="d">
        <x:v>2011-09-13T00:00:00.000Z</x:v>
      </x:c>
      <x:c r="C1387" s="13" t="n">
        <x:v>13</x:v>
      </x:c>
    </x:row>
    <x:row r="1388" ht="20" customHeight="1">
      <x:c r="A1388" s="1" t="str">
        <x:v>21733</x:v>
      </x:c>
      <x:c r="B1388" s="9" t="d">
        <x:v>2011-09-14T00:00:00.000Z</x:v>
      </x:c>
      <x:c r="C1388" s="13" t="n">
        <x:v>18</x:v>
      </x:c>
    </x:row>
    <x:row r="1389" ht="20" customHeight="1">
      <x:c r="A1389" s="1" t="str">
        <x:v>21733</x:v>
      </x:c>
      <x:c r="B1389" s="9" t="d">
        <x:v>2011-09-15T00:00:00.000Z</x:v>
      </x:c>
      <x:c r="C1389" s="13" t="n">
        <x:v>13</x:v>
      </x:c>
    </x:row>
    <x:row r="1390" ht="20" customHeight="1">
      <x:c r="A1390" s="1" t="str">
        <x:v>21733</x:v>
      </x:c>
      <x:c r="B1390" s="9" t="d">
        <x:v>2011-09-16T00:00:00.000Z</x:v>
      </x:c>
      <x:c r="C1390" s="13" t="n">
        <x:v>43</x:v>
      </x:c>
    </x:row>
    <x:row r="1391" ht="20" customHeight="1">
      <x:c r="A1391" s="1" t="str">
        <x:v>21733</x:v>
      </x:c>
      <x:c r="B1391" s="9" t="d">
        <x:v>2011-09-17T00:00:00.000Z</x:v>
      </x:c>
      <x:c r="C1391" s="13" t="n">
        <x:v>0</x:v>
      </x:c>
    </x:row>
    <x:row r="1392" ht="20" customHeight="1">
      <x:c r="A1392" s="1" t="str">
        <x:v>21733</x:v>
      </x:c>
      <x:c r="B1392" s="9" t="d">
        <x:v>2011-09-18T00:00:00.000Z</x:v>
      </x:c>
      <x:c r="C1392" s="13" t="n">
        <x:v>15</x:v>
      </x:c>
    </x:row>
    <x:row r="1393" ht="20" customHeight="1">
      <x:c r="A1393" s="1" t="str">
        <x:v>21733</x:v>
      </x:c>
      <x:c r="B1393" s="9" t="d">
        <x:v>2011-09-19T00:00:00.000Z</x:v>
      </x:c>
      <x:c r="C1393" s="13" t="n">
        <x:v>14</x:v>
      </x:c>
    </x:row>
    <x:row r="1394" ht="20" customHeight="1">
      <x:c r="A1394" s="1" t="str">
        <x:v>21733</x:v>
      </x:c>
      <x:c r="B1394" s="9" t="d">
        <x:v>2011-09-20T00:00:00.000Z</x:v>
      </x:c>
      <x:c r="C1394" s="13" t="n">
        <x:v>346</x:v>
      </x:c>
    </x:row>
    <x:row r="1395" ht="20" customHeight="1">
      <x:c r="A1395" s="1" t="str">
        <x:v>21733</x:v>
      </x:c>
      <x:c r="B1395" s="9" t="d">
        <x:v>2011-09-21T00:00:00.000Z</x:v>
      </x:c>
      <x:c r="C1395" s="13" t="n">
        <x:v>2</x:v>
      </x:c>
    </x:row>
    <x:row r="1396" ht="20" customHeight="1">
      <x:c r="A1396" s="1" t="str">
        <x:v>21733</x:v>
      </x:c>
      <x:c r="B1396" s="9" t="d">
        <x:v>2011-09-22T00:00:00.000Z</x:v>
      </x:c>
      <x:c r="C1396" s="13" t="n">
        <x:v>10</x:v>
      </x:c>
    </x:row>
    <x:row r="1397" ht="20" customHeight="1">
      <x:c r="A1397" s="1" t="str">
        <x:v>21733</x:v>
      </x:c>
      <x:c r="B1397" s="9" t="d">
        <x:v>2011-09-23T00:00:00.000Z</x:v>
      </x:c>
      <x:c r="C1397" s="13" t="n">
        <x:v>7</x:v>
      </x:c>
    </x:row>
    <x:row r="1398" ht="20" customHeight="1">
      <x:c r="A1398" s="1" t="str">
        <x:v>21733</x:v>
      </x:c>
      <x:c r="B1398" s="9" t="d">
        <x:v>2011-09-24T00:00:00.000Z</x:v>
      </x:c>
      <x:c r="C1398" s="13" t="n">
        <x:v>0</x:v>
      </x:c>
    </x:row>
    <x:row r="1399" ht="20" customHeight="1">
      <x:c r="A1399" s="1" t="str">
        <x:v>21733</x:v>
      </x:c>
      <x:c r="B1399" s="9" t="d">
        <x:v>2011-09-25T00:00:00.000Z</x:v>
      </x:c>
      <x:c r="C1399" s="13" t="n">
        <x:v>0</x:v>
      </x:c>
    </x:row>
    <x:row r="1400" ht="20" customHeight="1">
      <x:c r="A1400" s="1" t="str">
        <x:v>21733</x:v>
      </x:c>
      <x:c r="B1400" s="9" t="d">
        <x:v>2011-09-26T00:00:00.000Z</x:v>
      </x:c>
      <x:c r="C1400" s="13" t="n">
        <x:v>4</x:v>
      </x:c>
    </x:row>
    <x:row r="1401" ht="20" customHeight="1">
      <x:c r="A1401" s="1" t="str">
        <x:v>21733</x:v>
      </x:c>
      <x:c r="B1401" s="9" t="d">
        <x:v>2011-09-27T00:00:00.000Z</x:v>
      </x:c>
      <x:c r="C1401" s="13" t="n">
        <x:v>1</x:v>
      </x:c>
    </x:row>
    <x:row r="1402" ht="20" customHeight="1">
      <x:c r="A1402" s="1" t="str">
        <x:v>21733</x:v>
      </x:c>
      <x:c r="B1402" s="9" t="d">
        <x:v>2011-09-28T00:00:00.000Z</x:v>
      </x:c>
      <x:c r="C1402" s="13" t="n">
        <x:v>22</x:v>
      </x:c>
    </x:row>
    <x:row r="1403" ht="20" customHeight="1">
      <x:c r="A1403" s="1" t="str">
        <x:v>21733</x:v>
      </x:c>
      <x:c r="B1403" s="9" t="d">
        <x:v>2011-09-29T00:00:00.000Z</x:v>
      </x:c>
      <x:c r="C1403" s="13" t="n">
        <x:v>12</x:v>
      </x:c>
    </x:row>
    <x:row r="1404" ht="20" customHeight="1">
      <x:c r="A1404" s="1" t="str">
        <x:v>21733</x:v>
      </x:c>
      <x:c r="B1404" s="9" t="d">
        <x:v>2011-09-30T00:00:00.000Z</x:v>
      </x:c>
      <x:c r="C1404" s="13" t="n">
        <x:v>9</x:v>
      </x:c>
    </x:row>
    <x:row r="1405" ht="20" customHeight="1">
      <x:c r="A1405" s="1" t="str">
        <x:v>21733</x:v>
      </x:c>
      <x:c r="B1405" s="9" t="d">
        <x:v>2011-10-01T00:00:00.000Z</x:v>
      </x:c>
      <x:c r="C1405" s="13" t="n">
        <x:v>0</x:v>
      </x:c>
    </x:row>
    <x:row r="1406" ht="20" customHeight="1">
      <x:c r="A1406" s="1" t="str">
        <x:v>21733</x:v>
      </x:c>
      <x:c r="B1406" s="9" t="d">
        <x:v>2011-10-02T00:00:00.000Z</x:v>
      </x:c>
      <x:c r="C1406" s="13" t="n">
        <x:v>1</x:v>
      </x:c>
    </x:row>
    <x:row r="1407" ht="20" customHeight="1">
      <x:c r="A1407" s="1" t="str">
        <x:v>21733</x:v>
      </x:c>
      <x:c r="B1407" s="9" t="d">
        <x:v>2011-10-03T00:00:00.000Z</x:v>
      </x:c>
      <x:c r="C1407" s="13" t="n">
        <x:v>16</x:v>
      </x:c>
    </x:row>
    <x:row r="1408" ht="20" customHeight="1">
      <x:c r="A1408" s="1" t="str">
        <x:v>21733</x:v>
      </x:c>
      <x:c r="B1408" s="9" t="d">
        <x:v>2011-10-04T00:00:00.000Z</x:v>
      </x:c>
      <x:c r="C1408" s="13" t="n">
        <x:v>0</x:v>
      </x:c>
    </x:row>
    <x:row r="1409" ht="20" customHeight="1">
      <x:c r="A1409" s="1" t="str">
        <x:v>21733</x:v>
      </x:c>
      <x:c r="B1409" s="9" t="d">
        <x:v>2011-10-05T00:00:00.000Z</x:v>
      </x:c>
      <x:c r="C1409" s="13" t="n">
        <x:v>38</x:v>
      </x:c>
    </x:row>
    <x:row r="1410" ht="20" customHeight="1">
      <x:c r="A1410" s="1" t="str">
        <x:v>21733</x:v>
      </x:c>
      <x:c r="B1410" s="9" t="d">
        <x:v>2011-10-06T00:00:00.000Z</x:v>
      </x:c>
      <x:c r="C1410" s="13" t="n">
        <x:v>6</x:v>
      </x:c>
    </x:row>
    <x:row r="1411" ht="20" customHeight="1">
      <x:c r="A1411" s="1" t="str">
        <x:v>21733</x:v>
      </x:c>
      <x:c r="B1411" s="9" t="d">
        <x:v>2011-10-07T00:00:00.000Z</x:v>
      </x:c>
      <x:c r="C1411" s="13" t="n">
        <x:v>18</x:v>
      </x:c>
    </x:row>
    <x:row r="1412" ht="20" customHeight="1">
      <x:c r="A1412" s="1" t="str">
        <x:v>21733</x:v>
      </x:c>
      <x:c r="B1412" s="9" t="d">
        <x:v>2011-10-08T00:00:00.000Z</x:v>
      </x:c>
      <x:c r="C1412" s="13" t="n">
        <x:v>0</x:v>
      </x:c>
    </x:row>
    <x:row r="1413" ht="20" customHeight="1">
      <x:c r="A1413" s="1" t="str">
        <x:v>21733</x:v>
      </x:c>
      <x:c r="B1413" s="9" t="d">
        <x:v>2011-10-09T00:00:00.000Z</x:v>
      </x:c>
      <x:c r="C1413" s="13" t="n">
        <x:v>14</x:v>
      </x:c>
    </x:row>
    <x:row r="1414" ht="20" customHeight="1">
      <x:c r="A1414" s="1" t="str">
        <x:v>21733</x:v>
      </x:c>
      <x:c r="B1414" s="9" t="d">
        <x:v>2011-10-10T00:00:00.000Z</x:v>
      </x:c>
      <x:c r="C1414" s="13" t="n">
        <x:v>18</x:v>
      </x:c>
    </x:row>
    <x:row r="1415" ht="20" customHeight="1">
      <x:c r="A1415" s="1" t="str">
        <x:v>21733</x:v>
      </x:c>
      <x:c r="B1415" s="9" t="d">
        <x:v>2011-10-11T00:00:00.000Z</x:v>
      </x:c>
      <x:c r="C1415" s="13" t="n">
        <x:v>36</x:v>
      </x:c>
    </x:row>
    <x:row r="1416" ht="20" customHeight="1">
      <x:c r="A1416" s="1" t="str">
        <x:v>21733</x:v>
      </x:c>
      <x:c r="B1416" s="9" t="d">
        <x:v>2011-10-12T00:00:00.000Z</x:v>
      </x:c>
      <x:c r="C1416" s="13" t="n">
        <x:v>10</x:v>
      </x:c>
    </x:row>
    <x:row r="1417" ht="20" customHeight="1">
      <x:c r="A1417" s="1" t="str">
        <x:v>21733</x:v>
      </x:c>
      <x:c r="B1417" s="9" t="d">
        <x:v>2011-10-13T00:00:00.000Z</x:v>
      </x:c>
      <x:c r="C1417" s="13" t="n">
        <x:v>10</x:v>
      </x:c>
    </x:row>
    <x:row r="1418" ht="20" customHeight="1">
      <x:c r="A1418" s="1" t="str">
        <x:v>21733</x:v>
      </x:c>
      <x:c r="B1418" s="9" t="d">
        <x:v>2011-10-14T00:00:00.000Z</x:v>
      </x:c>
      <x:c r="C1418" s="13" t="n">
        <x:v>19</x:v>
      </x:c>
    </x:row>
    <x:row r="1419" ht="20" customHeight="1">
      <x:c r="A1419" s="1" t="str">
        <x:v>21733</x:v>
      </x:c>
      <x:c r="B1419" s="9" t="d">
        <x:v>2011-10-15T00:00:00.000Z</x:v>
      </x:c>
      <x:c r="C1419" s="13" t="n">
        <x:v>0</x:v>
      </x:c>
    </x:row>
    <x:row r="1420" ht="20" customHeight="1">
      <x:c r="A1420" s="1" t="str">
        <x:v>21733</x:v>
      </x:c>
      <x:c r="B1420" s="9" t="d">
        <x:v>2011-10-16T00:00:00.000Z</x:v>
      </x:c>
      <x:c r="C1420" s="13" t="n">
        <x:v>53</x:v>
      </x:c>
    </x:row>
    <x:row r="1421" ht="20" customHeight="1">
      <x:c r="A1421" s="1" t="str">
        <x:v>21733</x:v>
      </x:c>
      <x:c r="B1421" s="9" t="d">
        <x:v>2011-10-17T00:00:00.000Z</x:v>
      </x:c>
      <x:c r="C1421" s="13" t="n">
        <x:v>70</x:v>
      </x:c>
    </x:row>
    <x:row r="1422" ht="20" customHeight="1">
      <x:c r="A1422" s="1" t="str">
        <x:v>21733</x:v>
      </x:c>
      <x:c r="B1422" s="9" t="d">
        <x:v>2011-10-18T00:00:00.000Z</x:v>
      </x:c>
      <x:c r="C1422" s="13" t="n">
        <x:v>2</x:v>
      </x:c>
    </x:row>
    <x:row r="1423" ht="20" customHeight="1">
      <x:c r="A1423" s="1" t="str">
        <x:v>21733</x:v>
      </x:c>
      <x:c r="B1423" s="9" t="d">
        <x:v>2011-10-19T00:00:00.000Z</x:v>
      </x:c>
      <x:c r="C1423" s="13" t="n">
        <x:v>10</x:v>
      </x:c>
    </x:row>
    <x:row r="1424" ht="20" customHeight="1">
      <x:c r="A1424" s="1" t="str">
        <x:v>21733</x:v>
      </x:c>
      <x:c r="B1424" s="9" t="d">
        <x:v>2011-10-20T00:00:00.000Z</x:v>
      </x:c>
      <x:c r="C1424" s="13" t="n">
        <x:v>4</x:v>
      </x:c>
    </x:row>
    <x:row r="1425" ht="20" customHeight="1">
      <x:c r="A1425" s="1" t="str">
        <x:v>21733</x:v>
      </x:c>
      <x:c r="B1425" s="9" t="d">
        <x:v>2011-10-21T00:00:00.000Z</x:v>
      </x:c>
      <x:c r="C1425" s="13" t="n">
        <x:v>1</x:v>
      </x:c>
    </x:row>
    <x:row r="1426" ht="20" customHeight="1">
      <x:c r="A1426" s="1" t="str">
        <x:v>21733</x:v>
      </x:c>
      <x:c r="B1426" s="9" t="d">
        <x:v>2011-10-22T00:00:00.000Z</x:v>
      </x:c>
      <x:c r="C1426" s="13" t="n">
        <x:v>0</x:v>
      </x:c>
    </x:row>
    <x:row r="1427" ht="20" customHeight="1">
      <x:c r="A1427" s="1" t="str">
        <x:v>21733</x:v>
      </x:c>
      <x:c r="B1427" s="9" t="d">
        <x:v>2011-10-23T00:00:00.000Z</x:v>
      </x:c>
      <x:c r="C1427" s="13" t="n">
        <x:v>2</x:v>
      </x:c>
    </x:row>
    <x:row r="1428" ht="20" customHeight="1">
      <x:c r="A1428" s="1" t="str">
        <x:v>21733</x:v>
      </x:c>
      <x:c r="B1428" s="9" t="d">
        <x:v>2011-10-24T00:00:00.000Z</x:v>
      </x:c>
      <x:c r="C1428" s="13" t="n">
        <x:v>71</x:v>
      </x:c>
    </x:row>
    <x:row r="1429" ht="20" customHeight="1">
      <x:c r="A1429" s="1" t="str">
        <x:v>21733</x:v>
      </x:c>
      <x:c r="B1429" s="9" t="d">
        <x:v>2011-10-25T00:00:00.000Z</x:v>
      </x:c>
      <x:c r="C1429" s="13" t="n">
        <x:v>17</x:v>
      </x:c>
    </x:row>
    <x:row r="1430" ht="20" customHeight="1">
      <x:c r="A1430" s="1" t="str">
        <x:v>21733</x:v>
      </x:c>
      <x:c r="B1430" s="9" t="d">
        <x:v>2011-10-26T00:00:00.000Z</x:v>
      </x:c>
      <x:c r="C1430" s="13" t="n">
        <x:v>5</x:v>
      </x:c>
    </x:row>
    <x:row r="1431" ht="20" customHeight="1">
      <x:c r="A1431" s="1" t="str">
        <x:v>21733</x:v>
      </x:c>
      <x:c r="B1431" s="9" t="d">
        <x:v>2011-10-27T00:00:00.000Z</x:v>
      </x:c>
      <x:c r="C1431" s="13" t="n">
        <x:v>33</x:v>
      </x:c>
    </x:row>
    <x:row r="1432" ht="20" customHeight="1">
      <x:c r="A1432" s="1" t="str">
        <x:v>21733</x:v>
      </x:c>
      <x:c r="B1432" s="9" t="d">
        <x:v>2011-10-28T00:00:00.000Z</x:v>
      </x:c>
      <x:c r="C1432" s="13" t="n">
        <x:v>13</x:v>
      </x:c>
    </x:row>
    <x:row r="1433" ht="20" customHeight="1">
      <x:c r="A1433" s="1" t="str">
        <x:v>21733</x:v>
      </x:c>
      <x:c r="B1433" s="9" t="d">
        <x:v>2011-10-29T00:00:00.000Z</x:v>
      </x:c>
      <x:c r="C1433" s="13" t="n">
        <x:v>0</x:v>
      </x:c>
    </x:row>
    <x:row r="1434" ht="20" customHeight="1">
      <x:c r="A1434" s="1" t="str">
        <x:v>21733</x:v>
      </x:c>
      <x:c r="B1434" s="9" t="d">
        <x:v>2011-10-30T00:00:00.000Z</x:v>
      </x:c>
      <x:c r="C1434" s="13" t="n">
        <x:v>5</x:v>
      </x:c>
    </x:row>
    <x:row r="1435" ht="20" customHeight="1">
      <x:c r="A1435" s="1" t="str">
        <x:v>21733</x:v>
      </x:c>
      <x:c r="B1435" s="9" t="d">
        <x:v>2011-10-31T00:00:00.000Z</x:v>
      </x:c>
      <x:c r="C1435" s="13" t="n">
        <x:v>4</x:v>
      </x:c>
    </x:row>
    <x:row r="1436" ht="20" customHeight="1">
      <x:c r="A1436" s="1" t="str">
        <x:v>21733</x:v>
      </x:c>
      <x:c r="B1436" s="9" t="d">
        <x:v>2011-11-01T00:00:00.000Z</x:v>
      </x:c>
      <x:c r="C1436" s="13" t="n">
        <x:v>11</x:v>
      </x:c>
    </x:row>
    <x:row r="1437" ht="20" customHeight="1">
      <x:c r="A1437" s="1" t="str">
        <x:v>21733</x:v>
      </x:c>
      <x:c r="B1437" s="9" t="d">
        <x:v>2011-11-02T00:00:00.000Z</x:v>
      </x:c>
      <x:c r="C1437" s="13" t="n">
        <x:v>4</x:v>
      </x:c>
    </x:row>
    <x:row r="1438" ht="20" customHeight="1">
      <x:c r="A1438" s="1" t="str">
        <x:v>21733</x:v>
      </x:c>
      <x:c r="B1438" s="9" t="d">
        <x:v>2011-11-03T00:00:00.000Z</x:v>
      </x:c>
      <x:c r="C1438" s="13" t="n">
        <x:v>544</x:v>
      </x:c>
    </x:row>
    <x:row r="1439" ht="20" customHeight="1">
      <x:c r="A1439" s="1" t="str">
        <x:v>21733</x:v>
      </x:c>
      <x:c r="B1439" s="9" t="d">
        <x:v>2011-11-04T00:00:00.000Z</x:v>
      </x:c>
      <x:c r="C1439" s="13" t="n">
        <x:v>77</x:v>
      </x:c>
    </x:row>
    <x:row r="1440" ht="20" customHeight="1">
      <x:c r="A1440" s="1" t="str">
        <x:v>21733</x:v>
      </x:c>
      <x:c r="B1440" s="9" t="d">
        <x:v>2011-11-05T00:00:00.000Z</x:v>
      </x:c>
      <x:c r="C1440" s="13" t="n">
        <x:v>0</x:v>
      </x:c>
    </x:row>
    <x:row r="1441" ht="20" customHeight="1">
      <x:c r="A1441" s="1" t="str">
        <x:v>21733</x:v>
      </x:c>
      <x:c r="B1441" s="9" t="d">
        <x:v>2011-11-06T00:00:00.000Z</x:v>
      </x:c>
      <x:c r="C1441" s="13" t="n">
        <x:v>20</x:v>
      </x:c>
    </x:row>
    <x:row r="1442" ht="20" customHeight="1">
      <x:c r="A1442" s="1" t="str">
        <x:v>21733</x:v>
      </x:c>
      <x:c r="B1442" s="9" t="d">
        <x:v>2011-11-07T00:00:00.000Z</x:v>
      </x:c>
      <x:c r="C1442" s="13" t="n">
        <x:v>42</x:v>
      </x:c>
    </x:row>
    <x:row r="1443" ht="20" customHeight="1">
      <x:c r="A1443" s="1" t="str">
        <x:v>21733</x:v>
      </x:c>
      <x:c r="B1443" s="9" t="d">
        <x:v>2011-11-08T00:00:00.000Z</x:v>
      </x:c>
      <x:c r="C1443" s="13" t="n">
        <x:v>19</x:v>
      </x:c>
    </x:row>
    <x:row r="1444" ht="20" customHeight="1">
      <x:c r="A1444" s="1" t="str">
        <x:v>21733</x:v>
      </x:c>
      <x:c r="B1444" s="9" t="d">
        <x:v>2011-11-09T00:00:00.000Z</x:v>
      </x:c>
      <x:c r="C1444" s="13" t="n">
        <x:v>8</x:v>
      </x:c>
    </x:row>
    <x:row r="1445" ht="20" customHeight="1">
      <x:c r="A1445" s="1" t="str">
        <x:v>21733</x:v>
      </x:c>
      <x:c r="B1445" s="9" t="d">
        <x:v>2011-11-10T00:00:00.000Z</x:v>
      </x:c>
      <x:c r="C1445" s="13" t="n">
        <x:v>11</x:v>
      </x:c>
    </x:row>
    <x:row r="1446" ht="20" customHeight="1">
      <x:c r="A1446" s="1" t="str">
        <x:v>21733</x:v>
      </x:c>
      <x:c r="B1446" s="9" t="d">
        <x:v>2011-11-11T00:00:00.000Z</x:v>
      </x:c>
      <x:c r="C1446" s="13" t="n">
        <x:v>53</x:v>
      </x:c>
    </x:row>
    <x:row r="1447" ht="20" customHeight="1">
      <x:c r="A1447" s="1" t="str">
        <x:v>21733</x:v>
      </x:c>
      <x:c r="B1447" s="9" t="d">
        <x:v>2011-11-12T00:00:00.000Z</x:v>
      </x:c>
      <x:c r="C1447" s="13" t="n">
        <x:v>0</x:v>
      </x:c>
    </x:row>
    <x:row r="1448" ht="20" customHeight="1">
      <x:c r="A1448" s="1" t="str">
        <x:v>21733</x:v>
      </x:c>
      <x:c r="B1448" s="9" t="d">
        <x:v>2011-11-13T00:00:00.000Z</x:v>
      </x:c>
      <x:c r="C1448" s="13" t="n">
        <x:v>56</x:v>
      </x:c>
    </x:row>
    <x:row r="1449" ht="20" customHeight="1">
      <x:c r="A1449" s="1" t="str">
        <x:v>21733</x:v>
      </x:c>
      <x:c r="B1449" s="9" t="d">
        <x:v>2011-11-14T00:00:00.000Z</x:v>
      </x:c>
      <x:c r="C1449" s="13" t="n">
        <x:v>8</x:v>
      </x:c>
    </x:row>
    <x:row r="1450" ht="20" customHeight="1">
      <x:c r="A1450" s="1" t="str">
        <x:v>21733</x:v>
      </x:c>
      <x:c r="B1450" s="9" t="d">
        <x:v>2011-11-15T00:00:00.000Z</x:v>
      </x:c>
      <x:c r="C1450" s="13" t="n">
        <x:v>16</x:v>
      </x:c>
    </x:row>
    <x:row r="1451" ht="20" customHeight="1">
      <x:c r="A1451" s="1" t="str">
        <x:v>21733</x:v>
      </x:c>
      <x:c r="B1451" s="9" t="d">
        <x:v>2011-11-16T00:00:00.000Z</x:v>
      </x:c>
      <x:c r="C1451" s="13" t="n">
        <x:v>22</x:v>
      </x:c>
    </x:row>
    <x:row r="1452" ht="20" customHeight="1">
      <x:c r="A1452" s="1" t="str">
        <x:v>21733</x:v>
      </x:c>
      <x:c r="B1452" s="9" t="d">
        <x:v>2011-11-17T00:00:00.000Z</x:v>
      </x:c>
      <x:c r="C1452" s="13" t="n">
        <x:v>24</x:v>
      </x:c>
    </x:row>
    <x:row r="1453" ht="20" customHeight="1">
      <x:c r="A1453" s="1" t="str">
        <x:v>21733</x:v>
      </x:c>
      <x:c r="B1453" s="9" t="d">
        <x:v>2011-11-18T00:00:00.000Z</x:v>
      </x:c>
      <x:c r="C1453" s="13" t="n">
        <x:v>81</x:v>
      </x:c>
    </x:row>
    <x:row r="1454" ht="20" customHeight="1">
      <x:c r="A1454" s="1" t="str">
        <x:v>21733</x:v>
      </x:c>
      <x:c r="B1454" s="9" t="d">
        <x:v>2011-11-19T00:00:00.000Z</x:v>
      </x:c>
      <x:c r="C1454" s="13" t="n">
        <x:v>0</x:v>
      </x:c>
    </x:row>
    <x:row r="1455" ht="20" customHeight="1">
      <x:c r="A1455" s="1" t="str">
        <x:v>21733</x:v>
      </x:c>
      <x:c r="B1455" s="9" t="d">
        <x:v>2011-11-20T00:00:00.000Z</x:v>
      </x:c>
      <x:c r="C1455" s="13" t="n">
        <x:v>13</x:v>
      </x:c>
    </x:row>
    <x:row r="1456" ht="20" customHeight="1">
      <x:c r="A1456" s="1" t="str">
        <x:v>21733</x:v>
      </x:c>
      <x:c r="B1456" s="9" t="d">
        <x:v>2011-11-21T00:00:00.000Z</x:v>
      </x:c>
      <x:c r="C1456" s="13" t="n">
        <x:v>42</x:v>
      </x:c>
    </x:row>
    <x:row r="1457" ht="20" customHeight="1">
      <x:c r="A1457" s="1" t="str">
        <x:v>21733</x:v>
      </x:c>
      <x:c r="B1457" s="9" t="d">
        <x:v>2011-11-22T00:00:00.000Z</x:v>
      </x:c>
      <x:c r="C1457" s="13" t="n">
        <x:v>76</x:v>
      </x:c>
    </x:row>
    <x:row r="1458" ht="20" customHeight="1">
      <x:c r="A1458" s="1" t="str">
        <x:v>21733</x:v>
      </x:c>
      <x:c r="B1458" s="9" t="d">
        <x:v>2011-11-23T00:00:00.000Z</x:v>
      </x:c>
      <x:c r="C1458" s="13" t="n">
        <x:v>57</x:v>
      </x:c>
    </x:row>
    <x:row r="1459" ht="20" customHeight="1">
      <x:c r="A1459" s="1" t="str">
        <x:v>21733</x:v>
      </x:c>
      <x:c r="B1459" s="9" t="d">
        <x:v>2011-11-24T00:00:00.000Z</x:v>
      </x:c>
      <x:c r="C1459" s="13" t="n">
        <x:v>66</x:v>
      </x:c>
    </x:row>
    <x:row r="1460" ht="20" customHeight="1">
      <x:c r="A1460" s="1" t="str">
        <x:v>21733</x:v>
      </x:c>
      <x:c r="B1460" s="9" t="d">
        <x:v>2011-11-25T00:00:00.000Z</x:v>
      </x:c>
      <x:c r="C1460" s="13" t="n">
        <x:v>65</x:v>
      </x:c>
    </x:row>
    <x:row r="1461" ht="20" customHeight="1">
      <x:c r="A1461" s="1" t="str">
        <x:v>21733</x:v>
      </x:c>
      <x:c r="B1461" s="9" t="d">
        <x:v>2011-11-26T00:00:00.000Z</x:v>
      </x:c>
      <x:c r="C1461" s="13" t="n">
        <x:v>0</x:v>
      </x:c>
    </x:row>
    <x:row r="1462" ht="20" customHeight="1">
      <x:c r="A1462" s="1" t="str">
        <x:v>21733</x:v>
      </x:c>
      <x:c r="B1462" s="9" t="d">
        <x:v>2011-11-27T00:00:00.000Z</x:v>
      </x:c>
      <x:c r="C1462" s="13" t="n">
        <x:v>12</x:v>
      </x:c>
    </x:row>
    <x:row r="1463" ht="20" customHeight="1">
      <x:c r="A1463" s="1" t="str">
        <x:v>21733</x:v>
      </x:c>
      <x:c r="B1463" s="9" t="d">
        <x:v>2011-11-28T00:00:00.000Z</x:v>
      </x:c>
      <x:c r="C1463" s="13" t="n">
        <x:v>65</x:v>
      </x:c>
    </x:row>
    <x:row r="1464" ht="20" customHeight="1">
      <x:c r="A1464" s="1" t="str">
        <x:v>21733</x:v>
      </x:c>
      <x:c r="B1464" s="9" t="d">
        <x:v>2011-11-29T00:00:00.000Z</x:v>
      </x:c>
      <x:c r="C1464" s="13" t="n">
        <x:v>19</x:v>
      </x:c>
    </x:row>
    <x:row r="1465" ht="20" customHeight="1">
      <x:c r="A1465" s="1" t="str">
        <x:v>21733</x:v>
      </x:c>
      <x:c r="B1465" s="9" t="d">
        <x:v>2011-11-30T00:00:00.000Z</x:v>
      </x:c>
      <x:c r="C1465" s="13" t="n">
        <x:v>135</x:v>
      </x:c>
    </x:row>
    <x:row r="1466" ht="20" customHeight="1">
      <x:c r="A1466" s="1" t="str">
        <x:v>21754</x:v>
      </x:c>
      <x:c r="B1466" s="9" t="d">
        <x:v>2010-12-01T00:00:00.000Z</x:v>
      </x:c>
      <x:c r="C1466" s="13" t="n">
        <x:v>22</x:v>
      </x:c>
    </x:row>
    <x:row r="1467" ht="20" customHeight="1">
      <x:c r="A1467" s="1" t="str">
        <x:v>21754</x:v>
      </x:c>
      <x:c r="B1467" s="9" t="d">
        <x:v>2010-12-02T00:00:00.000Z</x:v>
      </x:c>
      <x:c r="C1467" s="13" t="n">
        <x:v>17</x:v>
      </x:c>
    </x:row>
    <x:row r="1468" ht="20" customHeight="1">
      <x:c r="A1468" s="1" t="str">
        <x:v>21754</x:v>
      </x:c>
      <x:c r="B1468" s="9" t="d">
        <x:v>2010-12-03T00:00:00.000Z</x:v>
      </x:c>
      <x:c r="C1468" s="13" t="n">
        <x:v>1</x:v>
      </x:c>
    </x:row>
    <x:row r="1469" ht="20" customHeight="1">
      <x:c r="A1469" s="1" t="str">
        <x:v>21754</x:v>
      </x:c>
      <x:c r="B1469" s="9" t="d">
        <x:v>2010-12-04T00:00:00.000Z</x:v>
      </x:c>
      <x:c r="C1469" s="13" t="n">
        <x:v>0</x:v>
      </x:c>
    </x:row>
    <x:row r="1470" ht="20" customHeight="1">
      <x:c r="A1470" s="1" t="str">
        <x:v>21754</x:v>
      </x:c>
      <x:c r="B1470" s="9" t="d">
        <x:v>2010-12-05T00:00:00.000Z</x:v>
      </x:c>
      <x:c r="C1470" s="13" t="n">
        <x:v>39</x:v>
      </x:c>
    </x:row>
    <x:row r="1471" ht="20" customHeight="1">
      <x:c r="A1471" s="1" t="str">
        <x:v>21754</x:v>
      </x:c>
      <x:c r="B1471" s="9" t="d">
        <x:v>2010-12-06T00:00:00.000Z</x:v>
      </x:c>
      <x:c r="C1471" s="13" t="n">
        <x:v>45</x:v>
      </x:c>
    </x:row>
    <x:row r="1472" ht="20" customHeight="1">
      <x:c r="A1472" s="1" t="str">
        <x:v>21754</x:v>
      </x:c>
      <x:c r="B1472" s="9" t="d">
        <x:v>2010-12-07T00:00:00.000Z</x:v>
      </x:c>
      <x:c r="C1472" s="13" t="n">
        <x:v>22</x:v>
      </x:c>
    </x:row>
    <x:row r="1473" ht="20" customHeight="1">
      <x:c r="A1473" s="1" t="str">
        <x:v>21754</x:v>
      </x:c>
      <x:c r="B1473" s="9" t="d">
        <x:v>2010-12-08T00:00:00.000Z</x:v>
      </x:c>
      <x:c r="C1473" s="13" t="n">
        <x:v>30</x:v>
      </x:c>
    </x:row>
    <x:row r="1474" ht="20" customHeight="1">
      <x:c r="A1474" s="1" t="str">
        <x:v>21754</x:v>
      </x:c>
      <x:c r="B1474" s="9" t="d">
        <x:v>2010-12-09T00:00:00.000Z</x:v>
      </x:c>
      <x:c r="C1474" s="13" t="n">
        <x:v>25</x:v>
      </x:c>
    </x:row>
    <x:row r="1475" ht="20" customHeight="1">
      <x:c r="A1475" s="1" t="str">
        <x:v>21754</x:v>
      </x:c>
      <x:c r="B1475" s="9" t="d">
        <x:v>2010-12-10T00:00:00.000Z</x:v>
      </x:c>
      <x:c r="C1475" s="13" t="n">
        <x:v>8</x:v>
      </x:c>
    </x:row>
    <x:row r="1476" ht="20" customHeight="1">
      <x:c r="A1476" s="1" t="str">
        <x:v>21754</x:v>
      </x:c>
      <x:c r="B1476" s="9" t="d">
        <x:v>2010-12-11T00:00:00.000Z</x:v>
      </x:c>
      <x:c r="C1476" s="13" t="n">
        <x:v>0</x:v>
      </x:c>
    </x:row>
    <x:row r="1477" ht="20" customHeight="1">
      <x:c r="A1477" s="1" t="str">
        <x:v>21754</x:v>
      </x:c>
      <x:c r="B1477" s="9" t="d">
        <x:v>2010-12-12T00:00:00.000Z</x:v>
      </x:c>
      <x:c r="C1477" s="13" t="n">
        <x:v>8</x:v>
      </x:c>
    </x:row>
    <x:row r="1478" ht="20" customHeight="1">
      <x:c r="A1478" s="1" t="str">
        <x:v>21754</x:v>
      </x:c>
      <x:c r="B1478" s="9" t="d">
        <x:v>2010-12-13T00:00:00.000Z</x:v>
      </x:c>
      <x:c r="C1478" s="13" t="n">
        <x:v>18</x:v>
      </x:c>
    </x:row>
    <x:row r="1479" ht="20" customHeight="1">
      <x:c r="A1479" s="1" t="str">
        <x:v>21754</x:v>
      </x:c>
      <x:c r="B1479" s="9" t="d">
        <x:v>2010-12-14T00:00:00.000Z</x:v>
      </x:c>
      <x:c r="C1479" s="13" t="n">
        <x:v>13</x:v>
      </x:c>
    </x:row>
    <x:row r="1480" ht="20" customHeight="1">
      <x:c r="A1480" s="1" t="str">
        <x:v>21754</x:v>
      </x:c>
      <x:c r="B1480" s="9" t="d">
        <x:v>2010-12-15T00:00:00.000Z</x:v>
      </x:c>
      <x:c r="C1480" s="13" t="n">
        <x:v>11</x:v>
      </x:c>
    </x:row>
    <x:row r="1481" ht="20" customHeight="1">
      <x:c r="A1481" s="1" t="str">
        <x:v>21754</x:v>
      </x:c>
      <x:c r="B1481" s="9" t="d">
        <x:v>2010-12-16T00:00:00.000Z</x:v>
      </x:c>
      <x:c r="C1481" s="13" t="n">
        <x:v>15</x:v>
      </x:c>
    </x:row>
    <x:row r="1482" ht="20" customHeight="1">
      <x:c r="A1482" s="1" t="str">
        <x:v>21754</x:v>
      </x:c>
      <x:c r="B1482" s="9" t="d">
        <x:v>2010-12-17T00:00:00.000Z</x:v>
      </x:c>
      <x:c r="C1482" s="13" t="n">
        <x:v>21</x:v>
      </x:c>
    </x:row>
    <x:row r="1483" ht="20" customHeight="1">
      <x:c r="A1483" s="1" t="str">
        <x:v>21754</x:v>
      </x:c>
      <x:c r="B1483" s="9" t="d">
        <x:v>2010-12-18T00:00:00.000Z</x:v>
      </x:c>
      <x:c r="C1483" s="13" t="n">
        <x:v>0</x:v>
      </x:c>
    </x:row>
    <x:row r="1484" ht="20" customHeight="1">
      <x:c r="A1484" s="1" t="str">
        <x:v>21754</x:v>
      </x:c>
      <x:c r="B1484" s="9" t="d">
        <x:v>2010-12-19T00:00:00.000Z</x:v>
      </x:c>
      <x:c r="C1484" s="13" t="n">
        <x:v>0</x:v>
      </x:c>
    </x:row>
    <x:row r="1485" ht="20" customHeight="1">
      <x:c r="A1485" s="1" t="str">
        <x:v>21754</x:v>
      </x:c>
      <x:c r="B1485" s="9" t="d">
        <x:v>2010-12-20T00:00:00.000Z</x:v>
      </x:c>
      <x:c r="C1485" s="13" t="n">
        <x:v>6</x:v>
      </x:c>
    </x:row>
    <x:row r="1486" ht="20" customHeight="1">
      <x:c r="A1486" s="1" t="str">
        <x:v>21754</x:v>
      </x:c>
      <x:c r="B1486" s="9" t="d">
        <x:v>2010-12-21T00:00:00.000Z</x:v>
      </x:c>
      <x:c r="C1486" s="13" t="n">
        <x:v>3</x:v>
      </x:c>
    </x:row>
    <x:row r="1487" ht="20" customHeight="1">
      <x:c r="A1487" s="1" t="str">
        <x:v>21754</x:v>
      </x:c>
      <x:c r="B1487" s="9" t="d">
        <x:v>2010-12-22T00:00:00.000Z</x:v>
      </x:c>
      <x:c r="C1487" s="13" t="n">
        <x:v>2</x:v>
      </x:c>
    </x:row>
    <x:row r="1488" ht="20" customHeight="1">
      <x:c r="A1488" s="1" t="str">
        <x:v>21754</x:v>
      </x:c>
      <x:c r="B1488" s="9" t="d">
        <x:v>2010-12-23T00:00:00.000Z</x:v>
      </x:c>
      <x:c r="C1488" s="13" t="n">
        <x:v>2</x:v>
      </x:c>
    </x:row>
    <x:row r="1489" ht="20" customHeight="1">
      <x:c r="A1489" s="1" t="str">
        <x:v>21754</x:v>
      </x:c>
      <x:c r="B1489" s="9" t="d">
        <x:v>2010-12-24T00:00:00.000Z</x:v>
      </x:c>
      <x:c r="C1489" s="13" t="n">
        <x:v>0</x:v>
      </x:c>
    </x:row>
    <x:row r="1490" ht="20" customHeight="1">
      <x:c r="A1490" s="1" t="str">
        <x:v>21754</x:v>
      </x:c>
      <x:c r="B1490" s="9" t="d">
        <x:v>2010-12-25T00:00:00.000Z</x:v>
      </x:c>
      <x:c r="C1490" s="13" t="n">
        <x:v>0</x:v>
      </x:c>
    </x:row>
    <x:row r="1491" ht="20" customHeight="1">
      <x:c r="A1491" s="1" t="str">
        <x:v>21754</x:v>
      </x:c>
      <x:c r="B1491" s="9" t="d">
        <x:v>2010-12-26T00:00:00.000Z</x:v>
      </x:c>
      <x:c r="C1491" s="13" t="n">
        <x:v>0</x:v>
      </x:c>
    </x:row>
    <x:row r="1492" ht="20" customHeight="1">
      <x:c r="A1492" s="1" t="str">
        <x:v>21754</x:v>
      </x:c>
      <x:c r="B1492" s="9" t="d">
        <x:v>2010-12-27T00:00:00.000Z</x:v>
      </x:c>
      <x:c r="C1492" s="13" t="n">
        <x:v>0</x:v>
      </x:c>
    </x:row>
    <x:row r="1493" ht="20" customHeight="1">
      <x:c r="A1493" s="1" t="str">
        <x:v>21754</x:v>
      </x:c>
      <x:c r="B1493" s="9" t="d">
        <x:v>2010-12-28T00:00:00.000Z</x:v>
      </x:c>
      <x:c r="C1493" s="13" t="n">
        <x:v>0</x:v>
      </x:c>
    </x:row>
    <x:row r="1494" ht="20" customHeight="1">
      <x:c r="A1494" s="1" t="str">
        <x:v>21754</x:v>
      </x:c>
      <x:c r="B1494" s="9" t="d">
        <x:v>2010-12-29T00:00:00.000Z</x:v>
      </x:c>
      <x:c r="C1494" s="13" t="n">
        <x:v>0</x:v>
      </x:c>
    </x:row>
    <x:row r="1495" ht="20" customHeight="1">
      <x:c r="A1495" s="1" t="str">
        <x:v>21754</x:v>
      </x:c>
      <x:c r="B1495" s="9" t="d">
        <x:v>2010-12-30T00:00:00.000Z</x:v>
      </x:c>
      <x:c r="C1495" s="13" t="n">
        <x:v>0</x:v>
      </x:c>
    </x:row>
    <x:row r="1496" ht="20" customHeight="1">
      <x:c r="A1496" s="1" t="str">
        <x:v>21754</x:v>
      </x:c>
      <x:c r="B1496" s="9" t="d">
        <x:v>2010-12-31T00:00:00.000Z</x:v>
      </x:c>
      <x:c r="C1496" s="13" t="n">
        <x:v>0</x:v>
      </x:c>
    </x:row>
    <x:row r="1497" ht="20" customHeight="1">
      <x:c r="A1497" s="1" t="str">
        <x:v>21754</x:v>
      </x:c>
      <x:c r="B1497" s="9" t="d">
        <x:v>2011-01-01T00:00:00.000Z</x:v>
      </x:c>
      <x:c r="C1497" s="13" t="n">
        <x:v>0</x:v>
      </x:c>
    </x:row>
    <x:row r="1498" ht="20" customHeight="1">
      <x:c r="A1498" s="1" t="str">
        <x:v>21754</x:v>
      </x:c>
      <x:c r="B1498" s="9" t="d">
        <x:v>2011-01-02T00:00:00.000Z</x:v>
      </x:c>
      <x:c r="C1498" s="13" t="n">
        <x:v>0</x:v>
      </x:c>
    </x:row>
    <x:row r="1499" ht="20" customHeight="1">
      <x:c r="A1499" s="1" t="str">
        <x:v>21754</x:v>
      </x:c>
      <x:c r="B1499" s="9" t="d">
        <x:v>2011-01-03T00:00:00.000Z</x:v>
      </x:c>
      <x:c r="C1499" s="13" t="n">
        <x:v>0</x:v>
      </x:c>
    </x:row>
    <x:row r="1500" ht="20" customHeight="1">
      <x:c r="A1500" s="1" t="str">
        <x:v>21754</x:v>
      </x:c>
      <x:c r="B1500" s="9" t="d">
        <x:v>2011-01-04T00:00:00.000Z</x:v>
      </x:c>
      <x:c r="C1500" s="13" t="n">
        <x:v>40</x:v>
      </x:c>
    </x:row>
    <x:row r="1501" ht="20" customHeight="1">
      <x:c r="A1501" s="1" t="str">
        <x:v>21754</x:v>
      </x:c>
      <x:c r="B1501" s="9" t="d">
        <x:v>2011-01-05T00:00:00.000Z</x:v>
      </x:c>
      <x:c r="C1501" s="13" t="n">
        <x:v>40</x:v>
      </x:c>
    </x:row>
    <x:row r="1502" ht="20" customHeight="1">
      <x:c r="A1502" s="1" t="str">
        <x:v>21754</x:v>
      </x:c>
      <x:c r="B1502" s="9" t="d">
        <x:v>2011-01-06T00:00:00.000Z</x:v>
      </x:c>
      <x:c r="C1502" s="13" t="n">
        <x:v>9</x:v>
      </x:c>
    </x:row>
    <x:row r="1503" ht="20" customHeight="1">
      <x:c r="A1503" s="1" t="str">
        <x:v>21754</x:v>
      </x:c>
      <x:c r="B1503" s="9" t="d">
        <x:v>2011-01-07T00:00:00.000Z</x:v>
      </x:c>
      <x:c r="C1503" s="13" t="n">
        <x:v>6</x:v>
      </x:c>
    </x:row>
    <x:row r="1504" ht="20" customHeight="1">
      <x:c r="A1504" s="1" t="str">
        <x:v>21754</x:v>
      </x:c>
      <x:c r="B1504" s="9" t="d">
        <x:v>2011-01-08T00:00:00.000Z</x:v>
      </x:c>
      <x:c r="C1504" s="13" t="n">
        <x:v>0</x:v>
      </x:c>
    </x:row>
    <x:row r="1505" ht="20" customHeight="1">
      <x:c r="A1505" s="1" t="str">
        <x:v>21754</x:v>
      </x:c>
      <x:c r="B1505" s="9" t="d">
        <x:v>2011-01-09T00:00:00.000Z</x:v>
      </x:c>
      <x:c r="C1505" s="13" t="n">
        <x:v>7</x:v>
      </x:c>
    </x:row>
    <x:row r="1506" ht="20" customHeight="1">
      <x:c r="A1506" s="1" t="str">
        <x:v>21754</x:v>
      </x:c>
      <x:c r="B1506" s="9" t="d">
        <x:v>2011-01-10T00:00:00.000Z</x:v>
      </x:c>
      <x:c r="C1506" s="13" t="n">
        <x:v>34</x:v>
      </x:c>
    </x:row>
    <x:row r="1507" ht="20" customHeight="1">
      <x:c r="A1507" s="1" t="str">
        <x:v>21754</x:v>
      </x:c>
      <x:c r="B1507" s="9" t="d">
        <x:v>2011-01-11T00:00:00.000Z</x:v>
      </x:c>
      <x:c r="C1507" s="13" t="n">
        <x:v>8</x:v>
      </x:c>
    </x:row>
    <x:row r="1508" ht="20" customHeight="1">
      <x:c r="A1508" s="1" t="str">
        <x:v>21754</x:v>
      </x:c>
      <x:c r="B1508" s="9" t="d">
        <x:v>2011-01-12T00:00:00.000Z</x:v>
      </x:c>
      <x:c r="C1508" s="13" t="n">
        <x:v>7</x:v>
      </x:c>
    </x:row>
    <x:row r="1509" ht="20" customHeight="1">
      <x:c r="A1509" s="1" t="str">
        <x:v>21754</x:v>
      </x:c>
      <x:c r="B1509" s="9" t="d">
        <x:v>2011-01-13T00:00:00.000Z</x:v>
      </x:c>
      <x:c r="C1509" s="13" t="n">
        <x:v>5</x:v>
      </x:c>
    </x:row>
    <x:row r="1510" ht="20" customHeight="1">
      <x:c r="A1510" s="1" t="str">
        <x:v>21754</x:v>
      </x:c>
      <x:c r="B1510" s="9" t="d">
        <x:v>2011-01-14T00:00:00.000Z</x:v>
      </x:c>
      <x:c r="C1510" s="13" t="n">
        <x:v>10</x:v>
      </x:c>
    </x:row>
    <x:row r="1511" ht="20" customHeight="1">
      <x:c r="A1511" s="1" t="str">
        <x:v>21754</x:v>
      </x:c>
      <x:c r="B1511" s="9" t="d">
        <x:v>2011-01-15T00:00:00.000Z</x:v>
      </x:c>
      <x:c r="C1511" s="13" t="n">
        <x:v>0</x:v>
      </x:c>
    </x:row>
    <x:row r="1512" ht="20" customHeight="1">
      <x:c r="A1512" s="1" t="str">
        <x:v>21754</x:v>
      </x:c>
      <x:c r="B1512" s="9" t="d">
        <x:v>2011-01-16T00:00:00.000Z</x:v>
      </x:c>
      <x:c r="C1512" s="13" t="n">
        <x:v>1</x:v>
      </x:c>
    </x:row>
    <x:row r="1513" ht="20" customHeight="1">
      <x:c r="A1513" s="1" t="str">
        <x:v>21754</x:v>
      </x:c>
      <x:c r="B1513" s="9" t="d">
        <x:v>2011-01-17T00:00:00.000Z</x:v>
      </x:c>
      <x:c r="C1513" s="13" t="n">
        <x:v>19</x:v>
      </x:c>
    </x:row>
    <x:row r="1514" ht="20" customHeight="1">
      <x:c r="A1514" s="1" t="str">
        <x:v>21754</x:v>
      </x:c>
      <x:c r="B1514" s="9" t="d">
        <x:v>2011-01-18T00:00:00.000Z</x:v>
      </x:c>
      <x:c r="C1514" s="13" t="n">
        <x:v>2</x:v>
      </x:c>
    </x:row>
    <x:row r="1515" ht="20" customHeight="1">
      <x:c r="A1515" s="1" t="str">
        <x:v>21754</x:v>
      </x:c>
      <x:c r="B1515" s="9" t="d">
        <x:v>2011-01-19T00:00:00.000Z</x:v>
      </x:c>
      <x:c r="C1515" s="13" t="n">
        <x:v>15</x:v>
      </x:c>
    </x:row>
    <x:row r="1516" ht="20" customHeight="1">
      <x:c r="A1516" s="1" t="str">
        <x:v>21754</x:v>
      </x:c>
      <x:c r="B1516" s="9" t="d">
        <x:v>2011-01-20T00:00:00.000Z</x:v>
      </x:c>
      <x:c r="C1516" s="13" t="n">
        <x:v>6</x:v>
      </x:c>
    </x:row>
    <x:row r="1517" ht="20" customHeight="1">
      <x:c r="A1517" s="1" t="str">
        <x:v>21754</x:v>
      </x:c>
      <x:c r="B1517" s="9" t="d">
        <x:v>2011-01-21T00:00:00.000Z</x:v>
      </x:c>
      <x:c r="C1517" s="13" t="n">
        <x:v>1</x:v>
      </x:c>
    </x:row>
    <x:row r="1518" ht="20" customHeight="1">
      <x:c r="A1518" s="1" t="str">
        <x:v>21754</x:v>
      </x:c>
      <x:c r="B1518" s="9" t="d">
        <x:v>2011-01-22T00:00:00.000Z</x:v>
      </x:c>
      <x:c r="C1518" s="13" t="n">
        <x:v>0</x:v>
      </x:c>
    </x:row>
    <x:row r="1519" ht="20" customHeight="1">
      <x:c r="A1519" s="1" t="str">
        <x:v>21754</x:v>
      </x:c>
      <x:c r="B1519" s="9" t="d">
        <x:v>2011-01-23T00:00:00.000Z</x:v>
      </x:c>
      <x:c r="C1519" s="13" t="n">
        <x:v>5</x:v>
      </x:c>
    </x:row>
    <x:row r="1520" ht="20" customHeight="1">
      <x:c r="A1520" s="1" t="str">
        <x:v>21754</x:v>
      </x:c>
      <x:c r="B1520" s="9" t="d">
        <x:v>2011-01-24T00:00:00.000Z</x:v>
      </x:c>
      <x:c r="C1520" s="13" t="n">
        <x:v>2</x:v>
      </x:c>
    </x:row>
    <x:row r="1521" ht="20" customHeight="1">
      <x:c r="A1521" s="1" t="str">
        <x:v>21754</x:v>
      </x:c>
      <x:c r="B1521" s="9" t="d">
        <x:v>2011-01-25T00:00:00.000Z</x:v>
      </x:c>
      <x:c r="C1521" s="13" t="n">
        <x:v>30</x:v>
      </x:c>
    </x:row>
    <x:row r="1522" ht="20" customHeight="1">
      <x:c r="A1522" s="1" t="str">
        <x:v>21754</x:v>
      </x:c>
      <x:c r="B1522" s="9" t="d">
        <x:v>2011-01-26T00:00:00.000Z</x:v>
      </x:c>
      <x:c r="C1522" s="13" t="n">
        <x:v>14</x:v>
      </x:c>
    </x:row>
    <x:row r="1523" ht="20" customHeight="1">
      <x:c r="A1523" s="1" t="str">
        <x:v>21754</x:v>
      </x:c>
      <x:c r="B1523" s="9" t="d">
        <x:v>2011-01-27T00:00:00.000Z</x:v>
      </x:c>
      <x:c r="C1523" s="13" t="n">
        <x:v>28</x:v>
      </x:c>
    </x:row>
    <x:row r="1524" ht="20" customHeight="1">
      <x:c r="A1524" s="1" t="str">
        <x:v>21754</x:v>
      </x:c>
      <x:c r="B1524" s="9" t="d">
        <x:v>2011-01-28T00:00:00.000Z</x:v>
      </x:c>
      <x:c r="C1524" s="13" t="n">
        <x:v>2</x:v>
      </x:c>
    </x:row>
    <x:row r="1525" ht="20" customHeight="1">
      <x:c r="A1525" s="1" t="str">
        <x:v>21754</x:v>
      </x:c>
      <x:c r="B1525" s="9" t="d">
        <x:v>2011-01-29T00:00:00.000Z</x:v>
      </x:c>
      <x:c r="C1525" s="13" t="n">
        <x:v>0</x:v>
      </x:c>
    </x:row>
    <x:row r="1526" ht="20" customHeight="1">
      <x:c r="A1526" s="1" t="str">
        <x:v>21754</x:v>
      </x:c>
      <x:c r="B1526" s="9" t="d">
        <x:v>2011-01-30T00:00:00.000Z</x:v>
      </x:c>
      <x:c r="C1526" s="13" t="n">
        <x:v>7</x:v>
      </x:c>
    </x:row>
    <x:row r="1527" ht="20" customHeight="1">
      <x:c r="A1527" s="1" t="str">
        <x:v>21754</x:v>
      </x:c>
      <x:c r="B1527" s="9" t="d">
        <x:v>2011-01-31T00:00:00.000Z</x:v>
      </x:c>
      <x:c r="C1527" s="13" t="n">
        <x:v>3</x:v>
      </x:c>
    </x:row>
    <x:row r="1528" ht="20" customHeight="1">
      <x:c r="A1528" s="1" t="str">
        <x:v>21754</x:v>
      </x:c>
      <x:c r="B1528" s="9" t="d">
        <x:v>2011-02-01T00:00:00.000Z</x:v>
      </x:c>
      <x:c r="C1528" s="13" t="n">
        <x:v>21</x:v>
      </x:c>
    </x:row>
    <x:row r="1529" ht="20" customHeight="1">
      <x:c r="A1529" s="1" t="str">
        <x:v>21754</x:v>
      </x:c>
      <x:c r="B1529" s="9" t="d">
        <x:v>2011-02-02T00:00:00.000Z</x:v>
      </x:c>
      <x:c r="C1529" s="13" t="n">
        <x:v>21</x:v>
      </x:c>
    </x:row>
    <x:row r="1530" ht="20" customHeight="1">
      <x:c r="A1530" s="1" t="str">
        <x:v>21754</x:v>
      </x:c>
      <x:c r="B1530" s="9" t="d">
        <x:v>2011-02-03T00:00:00.000Z</x:v>
      </x:c>
      <x:c r="C1530" s="13" t="n">
        <x:v>4</x:v>
      </x:c>
    </x:row>
    <x:row r="1531" ht="20" customHeight="1">
      <x:c r="A1531" s="1" t="str">
        <x:v>21754</x:v>
      </x:c>
      <x:c r="B1531" s="9" t="d">
        <x:v>2011-02-04T00:00:00.000Z</x:v>
      </x:c>
      <x:c r="C1531" s="13" t="n">
        <x:v>22</x:v>
      </x:c>
    </x:row>
    <x:row r="1532" ht="20" customHeight="1">
      <x:c r="A1532" s="1" t="str">
        <x:v>21754</x:v>
      </x:c>
      <x:c r="B1532" s="9" t="d">
        <x:v>2011-02-05T00:00:00.000Z</x:v>
      </x:c>
      <x:c r="C1532" s="13" t="n">
        <x:v>0</x:v>
      </x:c>
    </x:row>
    <x:row r="1533" ht="20" customHeight="1">
      <x:c r="A1533" s="1" t="str">
        <x:v>21754</x:v>
      </x:c>
      <x:c r="B1533" s="9" t="d">
        <x:v>2011-02-06T00:00:00.000Z</x:v>
      </x:c>
      <x:c r="C1533" s="13" t="n">
        <x:v>0</x:v>
      </x:c>
    </x:row>
    <x:row r="1534" ht="20" customHeight="1">
      <x:c r="A1534" s="1" t="str">
        <x:v>21754</x:v>
      </x:c>
      <x:c r="B1534" s="9" t="d">
        <x:v>2011-02-07T00:00:00.000Z</x:v>
      </x:c>
      <x:c r="C1534" s="13" t="n">
        <x:v>6</x:v>
      </x:c>
    </x:row>
    <x:row r="1535" ht="20" customHeight="1">
      <x:c r="A1535" s="1" t="str">
        <x:v>21754</x:v>
      </x:c>
      <x:c r="B1535" s="9" t="d">
        <x:v>2011-02-08T00:00:00.000Z</x:v>
      </x:c>
      <x:c r="C1535" s="13" t="n">
        <x:v>8</x:v>
      </x:c>
    </x:row>
    <x:row r="1536" ht="20" customHeight="1">
      <x:c r="A1536" s="1" t="str">
        <x:v>21754</x:v>
      </x:c>
      <x:c r="B1536" s="9" t="d">
        <x:v>2011-02-09T00:00:00.000Z</x:v>
      </x:c>
      <x:c r="C1536" s="13" t="n">
        <x:v>1</x:v>
      </x:c>
    </x:row>
    <x:row r="1537" ht="20" customHeight="1">
      <x:c r="A1537" s="1" t="str">
        <x:v>21754</x:v>
      </x:c>
      <x:c r="B1537" s="9" t="d">
        <x:v>2011-02-10T00:00:00.000Z</x:v>
      </x:c>
      <x:c r="C1537" s="13" t="n">
        <x:v>8</x:v>
      </x:c>
    </x:row>
    <x:row r="1538" ht="20" customHeight="1">
      <x:c r="A1538" s="1" t="str">
        <x:v>21754</x:v>
      </x:c>
      <x:c r="B1538" s="9" t="d">
        <x:v>2011-02-11T00:00:00.000Z</x:v>
      </x:c>
      <x:c r="C1538" s="13" t="n">
        <x:v>18</x:v>
      </x:c>
    </x:row>
    <x:row r="1539" ht="20" customHeight="1">
      <x:c r="A1539" s="1" t="str">
        <x:v>21754</x:v>
      </x:c>
      <x:c r="B1539" s="9" t="d">
        <x:v>2011-02-12T00:00:00.000Z</x:v>
      </x:c>
      <x:c r="C1539" s="13" t="n">
        <x:v>0</x:v>
      </x:c>
    </x:row>
    <x:row r="1540" ht="20" customHeight="1">
      <x:c r="A1540" s="1" t="str">
        <x:v>21754</x:v>
      </x:c>
      <x:c r="B1540" s="9" t="d">
        <x:v>2011-02-13T00:00:00.000Z</x:v>
      </x:c>
      <x:c r="C1540" s="13" t="n">
        <x:v>21</x:v>
      </x:c>
    </x:row>
    <x:row r="1541" ht="20" customHeight="1">
      <x:c r="A1541" s="1" t="str">
        <x:v>21754</x:v>
      </x:c>
      <x:c r="B1541" s="9" t="d">
        <x:v>2011-02-14T00:00:00.000Z</x:v>
      </x:c>
      <x:c r="C1541" s="13" t="n">
        <x:v>9</x:v>
      </x:c>
    </x:row>
    <x:row r="1542" ht="20" customHeight="1">
      <x:c r="A1542" s="1" t="str">
        <x:v>21754</x:v>
      </x:c>
      <x:c r="B1542" s="9" t="d">
        <x:v>2011-02-15T00:00:00.000Z</x:v>
      </x:c>
      <x:c r="C1542" s="13" t="n">
        <x:v>6</x:v>
      </x:c>
    </x:row>
    <x:row r="1543" ht="20" customHeight="1">
      <x:c r="A1543" s="1" t="str">
        <x:v>21754</x:v>
      </x:c>
      <x:c r="B1543" s="9" t="d">
        <x:v>2011-02-16T00:00:00.000Z</x:v>
      </x:c>
      <x:c r="C1543" s="13" t="n">
        <x:v>26</x:v>
      </x:c>
    </x:row>
    <x:row r="1544" ht="20" customHeight="1">
      <x:c r="A1544" s="1" t="str">
        <x:v>21754</x:v>
      </x:c>
      <x:c r="B1544" s="9" t="d">
        <x:v>2011-02-17T00:00:00.000Z</x:v>
      </x:c>
      <x:c r="C1544" s="13" t="n">
        <x:v>5</x:v>
      </x:c>
    </x:row>
    <x:row r="1545" ht="20" customHeight="1">
      <x:c r="A1545" s="1" t="str">
        <x:v>21754</x:v>
      </x:c>
      <x:c r="B1545" s="9" t="d">
        <x:v>2011-02-18T00:00:00.000Z</x:v>
      </x:c>
      <x:c r="C1545" s="13" t="n">
        <x:v>9</x:v>
      </x:c>
    </x:row>
    <x:row r="1546" ht="20" customHeight="1">
      <x:c r="A1546" s="1" t="str">
        <x:v>21754</x:v>
      </x:c>
      <x:c r="B1546" s="9" t="d">
        <x:v>2011-02-19T00:00:00.000Z</x:v>
      </x:c>
      <x:c r="C1546" s="13" t="n">
        <x:v>0</x:v>
      </x:c>
    </x:row>
    <x:row r="1547" ht="20" customHeight="1">
      <x:c r="A1547" s="1" t="str">
        <x:v>21754</x:v>
      </x:c>
      <x:c r="B1547" s="9" t="d">
        <x:v>2011-02-20T00:00:00.000Z</x:v>
      </x:c>
      <x:c r="C1547" s="13" t="n">
        <x:v>0</x:v>
      </x:c>
    </x:row>
    <x:row r="1548" ht="20" customHeight="1">
      <x:c r="A1548" s="1" t="str">
        <x:v>21754</x:v>
      </x:c>
      <x:c r="B1548" s="9" t="d">
        <x:v>2011-02-21T00:00:00.000Z</x:v>
      </x:c>
      <x:c r="C1548" s="13" t="n">
        <x:v>6</x:v>
      </x:c>
    </x:row>
    <x:row r="1549" ht="20" customHeight="1">
      <x:c r="A1549" s="1" t="str">
        <x:v>21754</x:v>
      </x:c>
      <x:c r="B1549" s="9" t="d">
        <x:v>2011-02-22T00:00:00.000Z</x:v>
      </x:c>
      <x:c r="C1549" s="13" t="n">
        <x:v>10</x:v>
      </x:c>
    </x:row>
    <x:row r="1550" ht="20" customHeight="1">
      <x:c r="A1550" s="1" t="str">
        <x:v>21754</x:v>
      </x:c>
      <x:c r="B1550" s="9" t="d">
        <x:v>2011-02-23T00:00:00.000Z</x:v>
      </x:c>
      <x:c r="C1550" s="13" t="n">
        <x:v>8</x:v>
      </x:c>
    </x:row>
    <x:row r="1551" ht="20" customHeight="1">
      <x:c r="A1551" s="1" t="str">
        <x:v>21754</x:v>
      </x:c>
      <x:c r="B1551" s="9" t="d">
        <x:v>2011-02-24T00:00:00.000Z</x:v>
      </x:c>
      <x:c r="C1551" s="13" t="n">
        <x:v>8</x:v>
      </x:c>
    </x:row>
    <x:row r="1552" ht="20" customHeight="1">
      <x:c r="A1552" s="1" t="str">
        <x:v>21754</x:v>
      </x:c>
      <x:c r="B1552" s="9" t="d">
        <x:v>2011-02-25T00:00:00.000Z</x:v>
      </x:c>
      <x:c r="C1552" s="13" t="n">
        <x:v>20</x:v>
      </x:c>
    </x:row>
    <x:row r="1553" ht="20" customHeight="1">
      <x:c r="A1553" s="1" t="str">
        <x:v>21754</x:v>
      </x:c>
      <x:c r="B1553" s="9" t="d">
        <x:v>2011-02-26T00:00:00.000Z</x:v>
      </x:c>
      <x:c r="C1553" s="13" t="n">
        <x:v>0</x:v>
      </x:c>
    </x:row>
    <x:row r="1554" ht="20" customHeight="1">
      <x:c r="A1554" s="1" t="str">
        <x:v>21754</x:v>
      </x:c>
      <x:c r="B1554" s="9" t="d">
        <x:v>2011-02-27T00:00:00.000Z</x:v>
      </x:c>
      <x:c r="C1554" s="13" t="n">
        <x:v>23</x:v>
      </x:c>
    </x:row>
    <x:row r="1555" ht="20" customHeight="1">
      <x:c r="A1555" s="1" t="str">
        <x:v>21754</x:v>
      </x:c>
      <x:c r="B1555" s="9" t="d">
        <x:v>2011-02-28T00:00:00.000Z</x:v>
      </x:c>
      <x:c r="C1555" s="13" t="n">
        <x:v>7</x:v>
      </x:c>
    </x:row>
    <x:row r="1556" ht="20" customHeight="1">
      <x:c r="A1556" s="1" t="str">
        <x:v>21754</x:v>
      </x:c>
      <x:c r="B1556" s="9" t="d">
        <x:v>2011-03-01T00:00:00.000Z</x:v>
      </x:c>
      <x:c r="C1556" s="13" t="n">
        <x:v>21</x:v>
      </x:c>
    </x:row>
    <x:row r="1557" ht="20" customHeight="1">
      <x:c r="A1557" s="1" t="str">
        <x:v>21754</x:v>
      </x:c>
      <x:c r="B1557" s="9" t="d">
        <x:v>2011-03-02T00:00:00.000Z</x:v>
      </x:c>
      <x:c r="C1557" s="13" t="n">
        <x:v>21</x:v>
      </x:c>
    </x:row>
    <x:row r="1558" ht="20" customHeight="1">
      <x:c r="A1558" s="1" t="str">
        <x:v>21754</x:v>
      </x:c>
      <x:c r="B1558" s="9" t="d">
        <x:v>2011-03-03T00:00:00.000Z</x:v>
      </x:c>
      <x:c r="C1558" s="13" t="n">
        <x:v>0</x:v>
      </x:c>
    </x:row>
    <x:row r="1559" ht="20" customHeight="1">
      <x:c r="A1559" s="1" t="str">
        <x:v>21754</x:v>
      </x:c>
      <x:c r="B1559" s="9" t="d">
        <x:v>2011-03-04T00:00:00.000Z</x:v>
      </x:c>
      <x:c r="C1559" s="13" t="n">
        <x:v>4</x:v>
      </x:c>
    </x:row>
    <x:row r="1560" ht="20" customHeight="1">
      <x:c r="A1560" s="1" t="str">
        <x:v>21754</x:v>
      </x:c>
      <x:c r="B1560" s="9" t="d">
        <x:v>2011-03-05T00:00:00.000Z</x:v>
      </x:c>
      <x:c r="C1560" s="13" t="n">
        <x:v>0</x:v>
      </x:c>
    </x:row>
    <x:row r="1561" ht="20" customHeight="1">
      <x:c r="A1561" s="1" t="str">
        <x:v>21754</x:v>
      </x:c>
      <x:c r="B1561" s="9" t="d">
        <x:v>2011-03-06T00:00:00.000Z</x:v>
      </x:c>
      <x:c r="C1561" s="13" t="n">
        <x:v>15</x:v>
      </x:c>
    </x:row>
    <x:row r="1562" ht="20" customHeight="1">
      <x:c r="A1562" s="1" t="str">
        <x:v>21754</x:v>
      </x:c>
      <x:c r="B1562" s="9" t="d">
        <x:v>2011-03-07T00:00:00.000Z</x:v>
      </x:c>
      <x:c r="C1562" s="13" t="n">
        <x:v>14</x:v>
      </x:c>
    </x:row>
    <x:row r="1563" ht="20" customHeight="1">
      <x:c r="A1563" s="1" t="str">
        <x:v>21754</x:v>
      </x:c>
      <x:c r="B1563" s="9" t="d">
        <x:v>2011-03-08T00:00:00.000Z</x:v>
      </x:c>
      <x:c r="C1563" s="13" t="n">
        <x:v>3</x:v>
      </x:c>
    </x:row>
    <x:row r="1564" ht="20" customHeight="1">
      <x:c r="A1564" s="1" t="str">
        <x:v>21754</x:v>
      </x:c>
      <x:c r="B1564" s="9" t="d">
        <x:v>2011-03-09T00:00:00.000Z</x:v>
      </x:c>
      <x:c r="C1564" s="13" t="n">
        <x:v>12</x:v>
      </x:c>
    </x:row>
    <x:row r="1565" ht="20" customHeight="1">
      <x:c r="A1565" s="1" t="str">
        <x:v>21754</x:v>
      </x:c>
      <x:c r="B1565" s="9" t="d">
        <x:v>2011-03-10T00:00:00.000Z</x:v>
      </x:c>
      <x:c r="C1565" s="13" t="n">
        <x:v>11</x:v>
      </x:c>
    </x:row>
    <x:row r="1566" ht="20" customHeight="1">
      <x:c r="A1566" s="1" t="str">
        <x:v>21754</x:v>
      </x:c>
      <x:c r="B1566" s="9" t="d">
        <x:v>2011-03-11T00:00:00.000Z</x:v>
      </x:c>
      <x:c r="C1566" s="13" t="n">
        <x:v>1</x:v>
      </x:c>
    </x:row>
    <x:row r="1567" ht="20" customHeight="1">
      <x:c r="A1567" s="1" t="str">
        <x:v>21754</x:v>
      </x:c>
      <x:c r="B1567" s="9" t="d">
        <x:v>2011-03-12T00:00:00.000Z</x:v>
      </x:c>
      <x:c r="C1567" s="13" t="n">
        <x:v>0</x:v>
      </x:c>
    </x:row>
    <x:row r="1568" ht="20" customHeight="1">
      <x:c r="A1568" s="1" t="str">
        <x:v>21754</x:v>
      </x:c>
      <x:c r="B1568" s="9" t="d">
        <x:v>2011-03-13T00:00:00.000Z</x:v>
      </x:c>
      <x:c r="C1568" s="13" t="n">
        <x:v>22</x:v>
      </x:c>
    </x:row>
    <x:row r="1569" ht="20" customHeight="1">
      <x:c r="A1569" s="1" t="str">
        <x:v>21754</x:v>
      </x:c>
      <x:c r="B1569" s="9" t="d">
        <x:v>2011-03-14T00:00:00.000Z</x:v>
      </x:c>
      <x:c r="C1569" s="13" t="n">
        <x:v>6</x:v>
      </x:c>
    </x:row>
    <x:row r="1570" ht="20" customHeight="1">
      <x:c r="A1570" s="1" t="str">
        <x:v>21754</x:v>
      </x:c>
      <x:c r="B1570" s="9" t="d">
        <x:v>2011-03-15T00:00:00.000Z</x:v>
      </x:c>
      <x:c r="C1570" s="13" t="n">
        <x:v>33</x:v>
      </x:c>
    </x:row>
    <x:row r="1571" ht="20" customHeight="1">
      <x:c r="A1571" s="1" t="str">
        <x:v>21754</x:v>
      </x:c>
      <x:c r="B1571" s="9" t="d">
        <x:v>2011-03-16T00:00:00.000Z</x:v>
      </x:c>
      <x:c r="C1571" s="13" t="n">
        <x:v>6</x:v>
      </x:c>
    </x:row>
    <x:row r="1572" ht="20" customHeight="1">
      <x:c r="A1572" s="1" t="str">
        <x:v>21754</x:v>
      </x:c>
      <x:c r="B1572" s="9" t="d">
        <x:v>2011-03-17T00:00:00.000Z</x:v>
      </x:c>
      <x:c r="C1572" s="13" t="n">
        <x:v>13</x:v>
      </x:c>
    </x:row>
    <x:row r="1573" ht="20" customHeight="1">
      <x:c r="A1573" s="1" t="str">
        <x:v>21754</x:v>
      </x:c>
      <x:c r="B1573" s="9" t="d">
        <x:v>2011-03-18T00:00:00.000Z</x:v>
      </x:c>
      <x:c r="C1573" s="13" t="n">
        <x:v>2</x:v>
      </x:c>
    </x:row>
    <x:row r="1574" ht="20" customHeight="1">
      <x:c r="A1574" s="1" t="str">
        <x:v>21754</x:v>
      </x:c>
      <x:c r="B1574" s="9" t="d">
        <x:v>2011-03-19T00:00:00.000Z</x:v>
      </x:c>
      <x:c r="C1574" s="13" t="n">
        <x:v>0</x:v>
      </x:c>
    </x:row>
    <x:row r="1575" ht="20" customHeight="1">
      <x:c r="A1575" s="1" t="str">
        <x:v>21754</x:v>
      </x:c>
      <x:c r="B1575" s="9" t="d">
        <x:v>2011-03-20T00:00:00.000Z</x:v>
      </x:c>
      <x:c r="C1575" s="13" t="n">
        <x:v>4</x:v>
      </x:c>
    </x:row>
    <x:row r="1576" ht="20" customHeight="1">
      <x:c r="A1576" s="1" t="str">
        <x:v>21754</x:v>
      </x:c>
      <x:c r="B1576" s="9" t="d">
        <x:v>2011-03-21T00:00:00.000Z</x:v>
      </x:c>
      <x:c r="C1576" s="13" t="n">
        <x:v>2</x:v>
      </x:c>
    </x:row>
    <x:row r="1577" ht="20" customHeight="1">
      <x:c r="A1577" s="1" t="str">
        <x:v>21754</x:v>
      </x:c>
      <x:c r="B1577" s="9" t="d">
        <x:v>2011-03-22T00:00:00.000Z</x:v>
      </x:c>
      <x:c r="C1577" s="13" t="n">
        <x:v>4</x:v>
      </x:c>
    </x:row>
    <x:row r="1578" ht="20" customHeight="1">
      <x:c r="A1578" s="1" t="str">
        <x:v>21754</x:v>
      </x:c>
      <x:c r="B1578" s="9" t="d">
        <x:v>2011-03-23T00:00:00.000Z</x:v>
      </x:c>
      <x:c r="C1578" s="13" t="n">
        <x:v>6</x:v>
      </x:c>
    </x:row>
    <x:row r="1579" ht="20" customHeight="1">
      <x:c r="A1579" s="1" t="str">
        <x:v>21754</x:v>
      </x:c>
      <x:c r="B1579" s="9" t="d">
        <x:v>2011-03-24T00:00:00.000Z</x:v>
      </x:c>
      <x:c r="C1579" s="13" t="n">
        <x:v>14</x:v>
      </x:c>
    </x:row>
    <x:row r="1580" ht="20" customHeight="1">
      <x:c r="A1580" s="1" t="str">
        <x:v>21754</x:v>
      </x:c>
      <x:c r="B1580" s="9" t="d">
        <x:v>2011-03-25T00:00:00.000Z</x:v>
      </x:c>
      <x:c r="C1580" s="13" t="n">
        <x:v>1</x:v>
      </x:c>
    </x:row>
    <x:row r="1581" ht="20" customHeight="1">
      <x:c r="A1581" s="1" t="str">
        <x:v>21754</x:v>
      </x:c>
      <x:c r="B1581" s="9" t="d">
        <x:v>2011-03-26T00:00:00.000Z</x:v>
      </x:c>
      <x:c r="C1581" s="13" t="n">
        <x:v>0</x:v>
      </x:c>
    </x:row>
    <x:row r="1582" ht="20" customHeight="1">
      <x:c r="A1582" s="1" t="str">
        <x:v>21754</x:v>
      </x:c>
      <x:c r="B1582" s="9" t="d">
        <x:v>2011-03-27T00:00:00.000Z</x:v>
      </x:c>
      <x:c r="C1582" s="13" t="n">
        <x:v>4</x:v>
      </x:c>
    </x:row>
    <x:row r="1583" ht="20" customHeight="1">
      <x:c r="A1583" s="1" t="str">
        <x:v>21754</x:v>
      </x:c>
      <x:c r="B1583" s="9" t="d">
        <x:v>2011-03-28T00:00:00.000Z</x:v>
      </x:c>
      <x:c r="C1583" s="13" t="n">
        <x:v>21</x:v>
      </x:c>
    </x:row>
    <x:row r="1584" ht="20" customHeight="1">
      <x:c r="A1584" s="1" t="str">
        <x:v>21754</x:v>
      </x:c>
      <x:c r="B1584" s="9" t="d">
        <x:v>2011-03-29T00:00:00.000Z</x:v>
      </x:c>
      <x:c r="C1584" s="13" t="n">
        <x:v>11</x:v>
      </x:c>
    </x:row>
    <x:row r="1585" ht="20" customHeight="1">
      <x:c r="A1585" s="1" t="str">
        <x:v>21754</x:v>
      </x:c>
      <x:c r="B1585" s="9" t="d">
        <x:v>2011-03-30T00:00:00.000Z</x:v>
      </x:c>
      <x:c r="C1585" s="13" t="n">
        <x:v>6</x:v>
      </x:c>
    </x:row>
    <x:row r="1586" ht="20" customHeight="1">
      <x:c r="A1586" s="1" t="str">
        <x:v>21754</x:v>
      </x:c>
      <x:c r="B1586" s="9" t="d">
        <x:v>2011-03-31T00:00:00.000Z</x:v>
      </x:c>
      <x:c r="C1586" s="13" t="n">
        <x:v>9</x:v>
      </x:c>
    </x:row>
    <x:row r="1587" ht="20" customHeight="1">
      <x:c r="A1587" s="1" t="str">
        <x:v>21754</x:v>
      </x:c>
      <x:c r="B1587" s="9" t="d">
        <x:v>2011-04-01T00:00:00.000Z</x:v>
      </x:c>
      <x:c r="C1587" s="13" t="n">
        <x:v>11</x:v>
      </x:c>
    </x:row>
    <x:row r="1588" ht="20" customHeight="1">
      <x:c r="A1588" s="1" t="str">
        <x:v>21754</x:v>
      </x:c>
      <x:c r="B1588" s="9" t="d">
        <x:v>2011-04-02T00:00:00.000Z</x:v>
      </x:c>
      <x:c r="C1588" s="13" t="n">
        <x:v>0</x:v>
      </x:c>
    </x:row>
    <x:row r="1589" ht="20" customHeight="1">
      <x:c r="A1589" s="1" t="str">
        <x:v>21754</x:v>
      </x:c>
      <x:c r="B1589" s="9" t="d">
        <x:v>2011-04-03T00:00:00.000Z</x:v>
      </x:c>
      <x:c r="C1589" s="13" t="n">
        <x:v>3</x:v>
      </x:c>
    </x:row>
    <x:row r="1590" ht="20" customHeight="1">
      <x:c r="A1590" s="1" t="str">
        <x:v>21754</x:v>
      </x:c>
      <x:c r="B1590" s="9" t="d">
        <x:v>2011-04-04T00:00:00.000Z</x:v>
      </x:c>
      <x:c r="C1590" s="13" t="n">
        <x:v>4</x:v>
      </x:c>
    </x:row>
    <x:row r="1591" ht="20" customHeight="1">
      <x:c r="A1591" s="1" t="str">
        <x:v>21754</x:v>
      </x:c>
      <x:c r="B1591" s="9" t="d">
        <x:v>2011-04-05T00:00:00.000Z</x:v>
      </x:c>
      <x:c r="C1591" s="13" t="n">
        <x:v>7</x:v>
      </x:c>
    </x:row>
    <x:row r="1592" ht="20" customHeight="1">
      <x:c r="A1592" s="1" t="str">
        <x:v>21754</x:v>
      </x:c>
      <x:c r="B1592" s="9" t="d">
        <x:v>2011-04-06T00:00:00.000Z</x:v>
      </x:c>
      <x:c r="C1592" s="13" t="n">
        <x:v>2</x:v>
      </x:c>
    </x:row>
    <x:row r="1593" ht="20" customHeight="1">
      <x:c r="A1593" s="1" t="str">
        <x:v>21754</x:v>
      </x:c>
      <x:c r="B1593" s="9" t="d">
        <x:v>2011-04-07T00:00:00.000Z</x:v>
      </x:c>
      <x:c r="C1593" s="13" t="n">
        <x:v>4</x:v>
      </x:c>
    </x:row>
    <x:row r="1594" ht="20" customHeight="1">
      <x:c r="A1594" s="1" t="str">
        <x:v>21754</x:v>
      </x:c>
      <x:c r="B1594" s="9" t="d">
        <x:v>2011-04-08T00:00:00.000Z</x:v>
      </x:c>
      <x:c r="C1594" s="13" t="n">
        <x:v>3</x:v>
      </x:c>
    </x:row>
    <x:row r="1595" ht="20" customHeight="1">
      <x:c r="A1595" s="1" t="str">
        <x:v>21754</x:v>
      </x:c>
      <x:c r="B1595" s="9" t="d">
        <x:v>2011-04-09T00:00:00.000Z</x:v>
      </x:c>
      <x:c r="C1595" s="13" t="n">
        <x:v>0</x:v>
      </x:c>
    </x:row>
    <x:row r="1596" ht="20" customHeight="1">
      <x:c r="A1596" s="1" t="str">
        <x:v>21754</x:v>
      </x:c>
      <x:c r="B1596" s="9" t="d">
        <x:v>2011-04-10T00:00:00.000Z</x:v>
      </x:c>
      <x:c r="C1596" s="13" t="n">
        <x:v>12</x:v>
      </x:c>
    </x:row>
    <x:row r="1597" ht="20" customHeight="1">
      <x:c r="A1597" s="1" t="str">
        <x:v>21754</x:v>
      </x:c>
      <x:c r="B1597" s="9" t="d">
        <x:v>2011-04-11T00:00:00.000Z</x:v>
      </x:c>
      <x:c r="C1597" s="13" t="n">
        <x:v>6</x:v>
      </x:c>
    </x:row>
    <x:row r="1598" ht="20" customHeight="1">
      <x:c r="A1598" s="1" t="str">
        <x:v>21754</x:v>
      </x:c>
      <x:c r="B1598" s="9" t="d">
        <x:v>2011-04-12T00:00:00.000Z</x:v>
      </x:c>
      <x:c r="C1598" s="13" t="n">
        <x:v>3</x:v>
      </x:c>
    </x:row>
    <x:row r="1599" ht="20" customHeight="1">
      <x:c r="A1599" s="1" t="str">
        <x:v>21754</x:v>
      </x:c>
      <x:c r="B1599" s="9" t="d">
        <x:v>2011-04-13T00:00:00.000Z</x:v>
      </x:c>
      <x:c r="C1599" s="13" t="n">
        <x:v>9</x:v>
      </x:c>
    </x:row>
    <x:row r="1600" ht="20" customHeight="1">
      <x:c r="A1600" s="1" t="str">
        <x:v>21754</x:v>
      </x:c>
      <x:c r="B1600" s="9" t="d">
        <x:v>2011-04-14T00:00:00.000Z</x:v>
      </x:c>
      <x:c r="C1600" s="13" t="n">
        <x:v>15</x:v>
      </x:c>
    </x:row>
    <x:row r="1601" ht="20" customHeight="1">
      <x:c r="A1601" s="1" t="str">
        <x:v>21754</x:v>
      </x:c>
      <x:c r="B1601" s="9" t="d">
        <x:v>2011-04-15T00:00:00.000Z</x:v>
      </x:c>
      <x:c r="C1601" s="13" t="n">
        <x:v>0</x:v>
      </x:c>
    </x:row>
    <x:row r="1602" ht="20" customHeight="1">
      <x:c r="A1602" s="1" t="str">
        <x:v>21754</x:v>
      </x:c>
      <x:c r="B1602" s="9" t="d">
        <x:v>2011-04-16T00:00:00.000Z</x:v>
      </x:c>
      <x:c r="C1602" s="13" t="n">
        <x:v>0</x:v>
      </x:c>
    </x:row>
    <x:row r="1603" ht="20" customHeight="1">
      <x:c r="A1603" s="1" t="str">
        <x:v>21754</x:v>
      </x:c>
      <x:c r="B1603" s="9" t="d">
        <x:v>2011-04-17T00:00:00.000Z</x:v>
      </x:c>
      <x:c r="C1603" s="13" t="n">
        <x:v>12</x:v>
      </x:c>
    </x:row>
    <x:row r="1604" ht="20" customHeight="1">
      <x:c r="A1604" s="1" t="str">
        <x:v>21754</x:v>
      </x:c>
      <x:c r="B1604" s="9" t="d">
        <x:v>2011-04-18T00:00:00.000Z</x:v>
      </x:c>
      <x:c r="C1604" s="13" t="n">
        <x:v>17</x:v>
      </x:c>
    </x:row>
    <x:row r="1605" ht="20" customHeight="1">
      <x:c r="A1605" s="1" t="str">
        <x:v>21754</x:v>
      </x:c>
      <x:c r="B1605" s="9" t="d">
        <x:v>2011-04-19T00:00:00.000Z</x:v>
      </x:c>
      <x:c r="C1605" s="13" t="n">
        <x:v>1</x:v>
      </x:c>
    </x:row>
    <x:row r="1606" ht="20" customHeight="1">
      <x:c r="A1606" s="1" t="str">
        <x:v>21754</x:v>
      </x:c>
      <x:c r="B1606" s="9" t="d">
        <x:v>2011-04-20T00:00:00.000Z</x:v>
      </x:c>
      <x:c r="C1606" s="13" t="n">
        <x:v>9</x:v>
      </x:c>
    </x:row>
    <x:row r="1607" ht="20" customHeight="1">
      <x:c r="A1607" s="1" t="str">
        <x:v>21754</x:v>
      </x:c>
      <x:c r="B1607" s="9" t="d">
        <x:v>2011-04-21T00:00:00.000Z</x:v>
      </x:c>
      <x:c r="C1607" s="13" t="n">
        <x:v>10</x:v>
      </x:c>
    </x:row>
    <x:row r="1608" ht="20" customHeight="1">
      <x:c r="A1608" s="1" t="str">
        <x:v>21754</x:v>
      </x:c>
      <x:c r="B1608" s="9" t="d">
        <x:v>2011-04-22T00:00:00.000Z</x:v>
      </x:c>
      <x:c r="C1608" s="13" t="n">
        <x:v>0</x:v>
      </x:c>
    </x:row>
    <x:row r="1609" ht="20" customHeight="1">
      <x:c r="A1609" s="1" t="str">
        <x:v>21754</x:v>
      </x:c>
      <x:c r="B1609" s="9" t="d">
        <x:v>2011-04-23T00:00:00.000Z</x:v>
      </x:c>
      <x:c r="C1609" s="13" t="n">
        <x:v>0</x:v>
      </x:c>
    </x:row>
    <x:row r="1610" ht="20" customHeight="1">
      <x:c r="A1610" s="1" t="str">
        <x:v>21754</x:v>
      </x:c>
      <x:c r="B1610" s="9" t="d">
        <x:v>2011-04-24T00:00:00.000Z</x:v>
      </x:c>
      <x:c r="C1610" s="13" t="n">
        <x:v>0</x:v>
      </x:c>
    </x:row>
    <x:row r="1611" ht="20" customHeight="1">
      <x:c r="A1611" s="1" t="str">
        <x:v>21754</x:v>
      </x:c>
      <x:c r="B1611" s="9" t="d">
        <x:v>2011-04-25T00:00:00.000Z</x:v>
      </x:c>
      <x:c r="C1611" s="13" t="n">
        <x:v>0</x:v>
      </x:c>
    </x:row>
    <x:row r="1612" ht="20" customHeight="1">
      <x:c r="A1612" s="1" t="str">
        <x:v>21754</x:v>
      </x:c>
      <x:c r="B1612" s="9" t="d">
        <x:v>2011-04-26T00:00:00.000Z</x:v>
      </x:c>
      <x:c r="C1612" s="13" t="n">
        <x:v>32</x:v>
      </x:c>
    </x:row>
    <x:row r="1613" ht="20" customHeight="1">
      <x:c r="A1613" s="1" t="str">
        <x:v>21754</x:v>
      </x:c>
      <x:c r="B1613" s="9" t="d">
        <x:v>2011-04-27T00:00:00.000Z</x:v>
      </x:c>
      <x:c r="C1613" s="13" t="n">
        <x:v>5</x:v>
      </x:c>
    </x:row>
    <x:row r="1614" ht="20" customHeight="1">
      <x:c r="A1614" s="1" t="str">
        <x:v>21754</x:v>
      </x:c>
      <x:c r="B1614" s="9" t="d">
        <x:v>2011-04-28T00:00:00.000Z</x:v>
      </x:c>
      <x:c r="C1614" s="13" t="n">
        <x:v>11</x:v>
      </x:c>
    </x:row>
    <x:row r="1615" ht="20" customHeight="1">
      <x:c r="A1615" s="1" t="str">
        <x:v>21754</x:v>
      </x:c>
      <x:c r="B1615" s="9" t="d">
        <x:v>2011-04-29T00:00:00.000Z</x:v>
      </x:c>
      <x:c r="C1615" s="13" t="n">
        <x:v>0</x:v>
      </x:c>
    </x:row>
    <x:row r="1616" ht="20" customHeight="1">
      <x:c r="A1616" s="1" t="str">
        <x:v>21754</x:v>
      </x:c>
      <x:c r="B1616" s="9" t="d">
        <x:v>2011-04-30T00:00:00.000Z</x:v>
      </x:c>
      <x:c r="C1616" s="13" t="n">
        <x:v>0</x:v>
      </x:c>
    </x:row>
    <x:row r="1617" ht="20" customHeight="1">
      <x:c r="A1617" s="1" t="str">
        <x:v>21754</x:v>
      </x:c>
      <x:c r="B1617" s="9" t="d">
        <x:v>2011-05-01T00:00:00.000Z</x:v>
      </x:c>
      <x:c r="C1617" s="13" t="n">
        <x:v>7</x:v>
      </x:c>
    </x:row>
    <x:row r="1618" ht="20" customHeight="1">
      <x:c r="A1618" s="1" t="str">
        <x:v>21754</x:v>
      </x:c>
      <x:c r="B1618" s="9" t="d">
        <x:v>2011-05-02T00:00:00.000Z</x:v>
      </x:c>
      <x:c r="C1618" s="13" t="n">
        <x:v>0</x:v>
      </x:c>
    </x:row>
    <x:row r="1619" ht="20" customHeight="1">
      <x:c r="A1619" s="1" t="str">
        <x:v>21754</x:v>
      </x:c>
      <x:c r="B1619" s="9" t="d">
        <x:v>2011-05-03T00:00:00.000Z</x:v>
      </x:c>
      <x:c r="C1619" s="13" t="n">
        <x:v>8</x:v>
      </x:c>
    </x:row>
    <x:row r="1620" ht="20" customHeight="1">
      <x:c r="A1620" s="1" t="str">
        <x:v>21754</x:v>
      </x:c>
      <x:c r="B1620" s="9" t="d">
        <x:v>2011-05-04T00:00:00.000Z</x:v>
      </x:c>
      <x:c r="C1620" s="13" t="n">
        <x:v>16</x:v>
      </x:c>
    </x:row>
    <x:row r="1621" ht="20" customHeight="1">
      <x:c r="A1621" s="1" t="str">
        <x:v>21754</x:v>
      </x:c>
      <x:c r="B1621" s="9" t="d">
        <x:v>2011-05-05T00:00:00.000Z</x:v>
      </x:c>
      <x:c r="C1621" s="13" t="n">
        <x:v>7</x:v>
      </x:c>
    </x:row>
    <x:row r="1622" ht="20" customHeight="1">
      <x:c r="A1622" s="1" t="str">
        <x:v>21754</x:v>
      </x:c>
      <x:c r="B1622" s="9" t="d">
        <x:v>2011-05-06T00:00:00.000Z</x:v>
      </x:c>
      <x:c r="C1622" s="13" t="n">
        <x:v>16</x:v>
      </x:c>
    </x:row>
    <x:row r="1623" ht="20" customHeight="1">
      <x:c r="A1623" s="1" t="str">
        <x:v>21754</x:v>
      </x:c>
      <x:c r="B1623" s="9" t="d">
        <x:v>2011-05-07T00:00:00.000Z</x:v>
      </x:c>
      <x:c r="C1623" s="13" t="n">
        <x:v>0</x:v>
      </x:c>
    </x:row>
    <x:row r="1624" ht="20" customHeight="1">
      <x:c r="A1624" s="1" t="str">
        <x:v>21754</x:v>
      </x:c>
      <x:c r="B1624" s="9" t="d">
        <x:v>2011-05-08T00:00:00.000Z</x:v>
      </x:c>
      <x:c r="C1624" s="13" t="n">
        <x:v>4</x:v>
      </x:c>
    </x:row>
    <x:row r="1625" ht="20" customHeight="1">
      <x:c r="A1625" s="1" t="str">
        <x:v>21754</x:v>
      </x:c>
      <x:c r="B1625" s="9" t="d">
        <x:v>2011-05-09T00:00:00.000Z</x:v>
      </x:c>
      <x:c r="C1625" s="13" t="n">
        <x:v>12</x:v>
      </x:c>
    </x:row>
    <x:row r="1626" ht="20" customHeight="1">
      <x:c r="A1626" s="1" t="str">
        <x:v>21754</x:v>
      </x:c>
      <x:c r="B1626" s="9" t="d">
        <x:v>2011-05-10T00:00:00.000Z</x:v>
      </x:c>
      <x:c r="C1626" s="13" t="n">
        <x:v>32</x:v>
      </x:c>
    </x:row>
    <x:row r="1627" ht="20" customHeight="1">
      <x:c r="A1627" s="1" t="str">
        <x:v>21754</x:v>
      </x:c>
      <x:c r="B1627" s="9" t="d">
        <x:v>2011-05-11T00:00:00.000Z</x:v>
      </x:c>
      <x:c r="C1627" s="13" t="n">
        <x:v>6</x:v>
      </x:c>
    </x:row>
    <x:row r="1628" ht="20" customHeight="1">
      <x:c r="A1628" s="1" t="str">
        <x:v>21754</x:v>
      </x:c>
      <x:c r="B1628" s="9" t="d">
        <x:v>2011-05-12T00:00:00.000Z</x:v>
      </x:c>
      <x:c r="C1628" s="13" t="n">
        <x:v>48</x:v>
      </x:c>
    </x:row>
    <x:row r="1629" ht="20" customHeight="1">
      <x:c r="A1629" s="1" t="str">
        <x:v>21754</x:v>
      </x:c>
      <x:c r="B1629" s="9" t="d">
        <x:v>2011-05-13T00:00:00.000Z</x:v>
      </x:c>
      <x:c r="C1629" s="13" t="n">
        <x:v>16</x:v>
      </x:c>
    </x:row>
    <x:row r="1630" ht="20" customHeight="1">
      <x:c r="A1630" s="1" t="str">
        <x:v>21754</x:v>
      </x:c>
      <x:c r="B1630" s="9" t="d">
        <x:v>2011-05-14T00:00:00.000Z</x:v>
      </x:c>
      <x:c r="C1630" s="13" t="n">
        <x:v>0</x:v>
      </x:c>
    </x:row>
    <x:row r="1631" ht="20" customHeight="1">
      <x:c r="A1631" s="1" t="str">
        <x:v>21754</x:v>
      </x:c>
      <x:c r="B1631" s="9" t="d">
        <x:v>2011-05-15T00:00:00.000Z</x:v>
      </x:c>
      <x:c r="C1631" s="13" t="n">
        <x:v>18</x:v>
      </x:c>
    </x:row>
    <x:row r="1632" ht="20" customHeight="1">
      <x:c r="A1632" s="1" t="str">
        <x:v>21754</x:v>
      </x:c>
      <x:c r="B1632" s="9" t="d">
        <x:v>2011-05-16T00:00:00.000Z</x:v>
      </x:c>
      <x:c r="C1632" s="13" t="n">
        <x:v>7</x:v>
      </x:c>
    </x:row>
    <x:row r="1633" ht="20" customHeight="1">
      <x:c r="A1633" s="1" t="str">
        <x:v>21754</x:v>
      </x:c>
      <x:c r="B1633" s="9" t="d">
        <x:v>2011-05-17T00:00:00.000Z</x:v>
      </x:c>
      <x:c r="C1633" s="13" t="n">
        <x:v>42</x:v>
      </x:c>
    </x:row>
    <x:row r="1634" ht="20" customHeight="1">
      <x:c r="A1634" s="1" t="str">
        <x:v>21754</x:v>
      </x:c>
      <x:c r="B1634" s="9" t="d">
        <x:v>2011-05-18T00:00:00.000Z</x:v>
      </x:c>
      <x:c r="C1634" s="13" t="n">
        <x:v>6</x:v>
      </x:c>
    </x:row>
    <x:row r="1635" ht="20" customHeight="1">
      <x:c r="A1635" s="1" t="str">
        <x:v>21754</x:v>
      </x:c>
      <x:c r="B1635" s="9" t="d">
        <x:v>2011-05-19T00:00:00.000Z</x:v>
      </x:c>
      <x:c r="C1635" s="13" t="n">
        <x:v>8</x:v>
      </x:c>
    </x:row>
    <x:row r="1636" ht="20" customHeight="1">
      <x:c r="A1636" s="1" t="str">
        <x:v>21754</x:v>
      </x:c>
      <x:c r="B1636" s="9" t="d">
        <x:v>2011-05-20T00:00:00.000Z</x:v>
      </x:c>
      <x:c r="C1636" s="13" t="n">
        <x:v>9</x:v>
      </x:c>
    </x:row>
    <x:row r="1637" ht="20" customHeight="1">
      <x:c r="A1637" s="1" t="str">
        <x:v>21754</x:v>
      </x:c>
      <x:c r="B1637" s="9" t="d">
        <x:v>2011-05-21T00:00:00.000Z</x:v>
      </x:c>
      <x:c r="C1637" s="13" t="n">
        <x:v>0</x:v>
      </x:c>
    </x:row>
    <x:row r="1638" ht="20" customHeight="1">
      <x:c r="A1638" s="1" t="str">
        <x:v>21754</x:v>
      </x:c>
      <x:c r="B1638" s="9" t="d">
        <x:v>2011-05-22T00:00:00.000Z</x:v>
      </x:c>
      <x:c r="C1638" s="13" t="n">
        <x:v>16</x:v>
      </x:c>
    </x:row>
    <x:row r="1639" ht="20" customHeight="1">
      <x:c r="A1639" s="1" t="str">
        <x:v>21754</x:v>
      </x:c>
      <x:c r="B1639" s="9" t="d">
        <x:v>2011-05-23T00:00:00.000Z</x:v>
      </x:c>
      <x:c r="C1639" s="13" t="n">
        <x:v>4</x:v>
      </x:c>
    </x:row>
    <x:row r="1640" ht="20" customHeight="1">
      <x:c r="A1640" s="1" t="str">
        <x:v>21754</x:v>
      </x:c>
      <x:c r="B1640" s="9" t="d">
        <x:v>2011-05-24T00:00:00.000Z</x:v>
      </x:c>
      <x:c r="C1640" s="13" t="n">
        <x:v>7</x:v>
      </x:c>
    </x:row>
    <x:row r="1641" ht="20" customHeight="1">
      <x:c r="A1641" s="1" t="str">
        <x:v>21754</x:v>
      </x:c>
      <x:c r="B1641" s="9" t="d">
        <x:v>2011-05-25T00:00:00.000Z</x:v>
      </x:c>
      <x:c r="C1641" s="13" t="n">
        <x:v>9</x:v>
      </x:c>
    </x:row>
    <x:row r="1642" ht="20" customHeight="1">
      <x:c r="A1642" s="1" t="str">
        <x:v>21754</x:v>
      </x:c>
      <x:c r="B1642" s="9" t="d">
        <x:v>2011-05-26T00:00:00.000Z</x:v>
      </x:c>
      <x:c r="C1642" s="13" t="n">
        <x:v>6</x:v>
      </x:c>
    </x:row>
    <x:row r="1643" ht="20" customHeight="1">
      <x:c r="A1643" s="1" t="str">
        <x:v>21754</x:v>
      </x:c>
      <x:c r="B1643" s="9" t="d">
        <x:v>2011-05-27T00:00:00.000Z</x:v>
      </x:c>
      <x:c r="C1643" s="13" t="n">
        <x:v>5</x:v>
      </x:c>
    </x:row>
    <x:row r="1644" ht="20" customHeight="1">
      <x:c r="A1644" s="1" t="str">
        <x:v>21754</x:v>
      </x:c>
      <x:c r="B1644" s="9" t="d">
        <x:v>2011-05-28T00:00:00.000Z</x:v>
      </x:c>
      <x:c r="C1644" s="13" t="n">
        <x:v>0</x:v>
      </x:c>
    </x:row>
    <x:row r="1645" ht="20" customHeight="1">
      <x:c r="A1645" s="1" t="str">
        <x:v>21754</x:v>
      </x:c>
      <x:c r="B1645" s="9" t="d">
        <x:v>2011-05-29T00:00:00.000Z</x:v>
      </x:c>
      <x:c r="C1645" s="13" t="n">
        <x:v>2</x:v>
      </x:c>
    </x:row>
    <x:row r="1646" ht="20" customHeight="1">
      <x:c r="A1646" s="1" t="str">
        <x:v>21754</x:v>
      </x:c>
      <x:c r="B1646" s="9" t="d">
        <x:v>2011-05-30T00:00:00.000Z</x:v>
      </x:c>
      <x:c r="C1646" s="13" t="n">
        <x:v>0</x:v>
      </x:c>
    </x:row>
    <x:row r="1647" ht="20" customHeight="1">
      <x:c r="A1647" s="1" t="str">
        <x:v>21754</x:v>
      </x:c>
      <x:c r="B1647" s="9" t="d">
        <x:v>2011-05-31T00:00:00.000Z</x:v>
      </x:c>
      <x:c r="C1647" s="13" t="n">
        <x:v>2</x:v>
      </x:c>
    </x:row>
    <x:row r="1648" ht="20" customHeight="1">
      <x:c r="A1648" s="1" t="str">
        <x:v>21754</x:v>
      </x:c>
      <x:c r="B1648" s="9" t="d">
        <x:v>2011-06-01T00:00:00.000Z</x:v>
      </x:c>
      <x:c r="C1648" s="13" t="n">
        <x:v>1</x:v>
      </x:c>
    </x:row>
    <x:row r="1649" ht="20" customHeight="1">
      <x:c r="A1649" s="1" t="str">
        <x:v>21754</x:v>
      </x:c>
      <x:c r="B1649" s="9" t="d">
        <x:v>2011-06-02T00:00:00.000Z</x:v>
      </x:c>
      <x:c r="C1649" s="13" t="n">
        <x:v>26</x:v>
      </x:c>
    </x:row>
    <x:row r="1650" ht="20" customHeight="1">
      <x:c r="A1650" s="1" t="str">
        <x:v>21754</x:v>
      </x:c>
      <x:c r="B1650" s="9" t="d">
        <x:v>2011-06-03T00:00:00.000Z</x:v>
      </x:c>
      <x:c r="C1650" s="13" t="n">
        <x:v>3</x:v>
      </x:c>
    </x:row>
    <x:row r="1651" ht="20" customHeight="1">
      <x:c r="A1651" s="1" t="str">
        <x:v>21754</x:v>
      </x:c>
      <x:c r="B1651" s="9" t="d">
        <x:v>2011-06-04T00:00:00.000Z</x:v>
      </x:c>
      <x:c r="C1651" s="13" t="n">
        <x:v>0</x:v>
      </x:c>
    </x:row>
    <x:row r="1652" ht="20" customHeight="1">
      <x:c r="A1652" s="1" t="str">
        <x:v>21754</x:v>
      </x:c>
      <x:c r="B1652" s="9" t="d">
        <x:v>2011-06-05T00:00:00.000Z</x:v>
      </x:c>
      <x:c r="C1652" s="13" t="n">
        <x:v>12</x:v>
      </x:c>
    </x:row>
    <x:row r="1653" ht="20" customHeight="1">
      <x:c r="A1653" s="1" t="str">
        <x:v>21754</x:v>
      </x:c>
      <x:c r="B1653" s="9" t="d">
        <x:v>2011-06-06T00:00:00.000Z</x:v>
      </x:c>
      <x:c r="C1653" s="13" t="n">
        <x:v>9</x:v>
      </x:c>
    </x:row>
    <x:row r="1654" ht="20" customHeight="1">
      <x:c r="A1654" s="1" t="str">
        <x:v>21754</x:v>
      </x:c>
      <x:c r="B1654" s="9" t="d">
        <x:v>2011-06-07T00:00:00.000Z</x:v>
      </x:c>
      <x:c r="C1654" s="13" t="n">
        <x:v>14</x:v>
      </x:c>
    </x:row>
    <x:row r="1655" ht="20" customHeight="1">
      <x:c r="A1655" s="1" t="str">
        <x:v>21754</x:v>
      </x:c>
      <x:c r="B1655" s="9" t="d">
        <x:v>2011-06-08T00:00:00.000Z</x:v>
      </x:c>
      <x:c r="C1655" s="13" t="n">
        <x:v>7</x:v>
      </x:c>
    </x:row>
    <x:row r="1656" ht="20" customHeight="1">
      <x:c r="A1656" s="1" t="str">
        <x:v>21754</x:v>
      </x:c>
      <x:c r="B1656" s="9" t="d">
        <x:v>2011-06-09T00:00:00.000Z</x:v>
      </x:c>
      <x:c r="C1656" s="13" t="n">
        <x:v>4</x:v>
      </x:c>
    </x:row>
    <x:row r="1657" ht="20" customHeight="1">
      <x:c r="A1657" s="1" t="str">
        <x:v>21754</x:v>
      </x:c>
      <x:c r="B1657" s="9" t="d">
        <x:v>2011-06-10T00:00:00.000Z</x:v>
      </x:c>
      <x:c r="C1657" s="13" t="n">
        <x:v>9</x:v>
      </x:c>
    </x:row>
    <x:row r="1658" ht="20" customHeight="1">
      <x:c r="A1658" s="1" t="str">
        <x:v>21754</x:v>
      </x:c>
      <x:c r="B1658" s="9" t="d">
        <x:v>2011-06-11T00:00:00.000Z</x:v>
      </x:c>
      <x:c r="C1658" s="13" t="n">
        <x:v>0</x:v>
      </x:c>
    </x:row>
    <x:row r="1659" ht="20" customHeight="1">
      <x:c r="A1659" s="1" t="str">
        <x:v>21754</x:v>
      </x:c>
      <x:c r="B1659" s="9" t="d">
        <x:v>2011-06-12T00:00:00.000Z</x:v>
      </x:c>
      <x:c r="C1659" s="13" t="n">
        <x:v>4</x:v>
      </x:c>
    </x:row>
    <x:row r="1660" ht="20" customHeight="1">
      <x:c r="A1660" s="1" t="str">
        <x:v>21754</x:v>
      </x:c>
      <x:c r="B1660" s="9" t="d">
        <x:v>2011-06-13T00:00:00.000Z</x:v>
      </x:c>
      <x:c r="C1660" s="13" t="n">
        <x:v>7</x:v>
      </x:c>
    </x:row>
    <x:row r="1661" ht="20" customHeight="1">
      <x:c r="A1661" s="1" t="str">
        <x:v>21754</x:v>
      </x:c>
      <x:c r="B1661" s="9" t="d">
        <x:v>2011-06-14T00:00:00.000Z</x:v>
      </x:c>
      <x:c r="C1661" s="13" t="n">
        <x:v>3</x:v>
      </x:c>
    </x:row>
    <x:row r="1662" ht="20" customHeight="1">
      <x:c r="A1662" s="1" t="str">
        <x:v>21754</x:v>
      </x:c>
      <x:c r="B1662" s="9" t="d">
        <x:v>2011-06-15T00:00:00.000Z</x:v>
      </x:c>
      <x:c r="C1662" s="13" t="n">
        <x:v>6</x:v>
      </x:c>
    </x:row>
    <x:row r="1663" ht="20" customHeight="1">
      <x:c r="A1663" s="1" t="str">
        <x:v>21754</x:v>
      </x:c>
      <x:c r="B1663" s="9" t="d">
        <x:v>2011-06-16T00:00:00.000Z</x:v>
      </x:c>
      <x:c r="C1663" s="13" t="n">
        <x:v>12</x:v>
      </x:c>
    </x:row>
    <x:row r="1664" ht="20" customHeight="1">
      <x:c r="A1664" s="1" t="str">
        <x:v>21754</x:v>
      </x:c>
      <x:c r="B1664" s="9" t="d">
        <x:v>2011-06-17T00:00:00.000Z</x:v>
      </x:c>
      <x:c r="C1664" s="13" t="n">
        <x:v>3</x:v>
      </x:c>
    </x:row>
    <x:row r="1665" ht="20" customHeight="1">
      <x:c r="A1665" s="1" t="str">
        <x:v>21754</x:v>
      </x:c>
      <x:c r="B1665" s="9" t="d">
        <x:v>2011-06-18T00:00:00.000Z</x:v>
      </x:c>
      <x:c r="C1665" s="13" t="n">
        <x:v>0</x:v>
      </x:c>
    </x:row>
    <x:row r="1666" ht="20" customHeight="1">
      <x:c r="A1666" s="1" t="str">
        <x:v>21754</x:v>
      </x:c>
      <x:c r="B1666" s="9" t="d">
        <x:v>2011-06-19T00:00:00.000Z</x:v>
      </x:c>
      <x:c r="C1666" s="13" t="n">
        <x:v>5</x:v>
      </x:c>
    </x:row>
    <x:row r="1667" ht="20" customHeight="1">
      <x:c r="A1667" s="1" t="str">
        <x:v>21754</x:v>
      </x:c>
      <x:c r="B1667" s="9" t="d">
        <x:v>2011-06-20T00:00:00.000Z</x:v>
      </x:c>
      <x:c r="C1667" s="13" t="n">
        <x:v>3</x:v>
      </x:c>
    </x:row>
    <x:row r="1668" ht="20" customHeight="1">
      <x:c r="A1668" s="1" t="str">
        <x:v>21754</x:v>
      </x:c>
      <x:c r="B1668" s="9" t="d">
        <x:v>2011-06-21T00:00:00.000Z</x:v>
      </x:c>
      <x:c r="C1668" s="13" t="n">
        <x:v>0</x:v>
      </x:c>
    </x:row>
    <x:row r="1669" ht="20" customHeight="1">
      <x:c r="A1669" s="1" t="str">
        <x:v>21754</x:v>
      </x:c>
      <x:c r="B1669" s="9" t="d">
        <x:v>2011-06-22T00:00:00.000Z</x:v>
      </x:c>
      <x:c r="C1669" s="13" t="n">
        <x:v>7</x:v>
      </x:c>
    </x:row>
    <x:row r="1670" ht="20" customHeight="1">
      <x:c r="A1670" s="1" t="str">
        <x:v>21754</x:v>
      </x:c>
      <x:c r="B1670" s="9" t="d">
        <x:v>2011-06-23T00:00:00.000Z</x:v>
      </x:c>
      <x:c r="C1670" s="13" t="n">
        <x:v>10</x:v>
      </x:c>
    </x:row>
    <x:row r="1671" ht="20" customHeight="1">
      <x:c r="A1671" s="1" t="str">
        <x:v>21754</x:v>
      </x:c>
      <x:c r="B1671" s="9" t="d">
        <x:v>2011-06-24T00:00:00.000Z</x:v>
      </x:c>
      <x:c r="C1671" s="13" t="n">
        <x:v>0</x:v>
      </x:c>
    </x:row>
    <x:row r="1672" ht="20" customHeight="1">
      <x:c r="A1672" s="1" t="str">
        <x:v>21754</x:v>
      </x:c>
      <x:c r="B1672" s="9" t="d">
        <x:v>2011-06-25T00:00:00.000Z</x:v>
      </x:c>
      <x:c r="C1672" s="13" t="n">
        <x:v>0</x:v>
      </x:c>
    </x:row>
    <x:row r="1673" ht="20" customHeight="1">
      <x:c r="A1673" s="1" t="str">
        <x:v>21754</x:v>
      </x:c>
      <x:c r="B1673" s="9" t="d">
        <x:v>2011-06-26T00:00:00.000Z</x:v>
      </x:c>
      <x:c r="C1673" s="13" t="n">
        <x:v>10</x:v>
      </x:c>
    </x:row>
    <x:row r="1674" ht="20" customHeight="1">
      <x:c r="A1674" s="1" t="str">
        <x:v>21754</x:v>
      </x:c>
      <x:c r="B1674" s="9" t="d">
        <x:v>2011-06-27T00:00:00.000Z</x:v>
      </x:c>
      <x:c r="C1674" s="13" t="n">
        <x:v>19</x:v>
      </x:c>
    </x:row>
    <x:row r="1675" ht="20" customHeight="1">
      <x:c r="A1675" s="1" t="str">
        <x:v>21754</x:v>
      </x:c>
      <x:c r="B1675" s="9" t="d">
        <x:v>2011-06-28T00:00:00.000Z</x:v>
      </x:c>
      <x:c r="C1675" s="13" t="n">
        <x:v>6</x:v>
      </x:c>
    </x:row>
    <x:row r="1676" ht="20" customHeight="1">
      <x:c r="A1676" s="1" t="str">
        <x:v>21754</x:v>
      </x:c>
      <x:c r="B1676" s="9" t="d">
        <x:v>2011-06-29T00:00:00.000Z</x:v>
      </x:c>
      <x:c r="C1676" s="13" t="n">
        <x:v>2</x:v>
      </x:c>
    </x:row>
    <x:row r="1677" ht="20" customHeight="1">
      <x:c r="A1677" s="1" t="str">
        <x:v>21754</x:v>
      </x:c>
      <x:c r="B1677" s="9" t="d">
        <x:v>2011-06-30T00:00:00.000Z</x:v>
      </x:c>
      <x:c r="C1677" s="13" t="n">
        <x:v>4</x:v>
      </x:c>
    </x:row>
    <x:row r="1678" ht="20" customHeight="1">
      <x:c r="A1678" s="1" t="str">
        <x:v>21754</x:v>
      </x:c>
      <x:c r="B1678" s="9" t="d">
        <x:v>2011-07-01T00:00:00.000Z</x:v>
      </x:c>
      <x:c r="C1678" s="13" t="n">
        <x:v>0</x:v>
      </x:c>
    </x:row>
    <x:row r="1679" ht="20" customHeight="1">
      <x:c r="A1679" s="1" t="str">
        <x:v>21754</x:v>
      </x:c>
      <x:c r="B1679" s="9" t="d">
        <x:v>2011-07-02T00:00:00.000Z</x:v>
      </x:c>
      <x:c r="C1679" s="13" t="n">
        <x:v>0</x:v>
      </x:c>
    </x:row>
    <x:row r="1680" ht="20" customHeight="1">
      <x:c r="A1680" s="1" t="str">
        <x:v>21754</x:v>
      </x:c>
      <x:c r="B1680" s="9" t="d">
        <x:v>2011-07-03T00:00:00.000Z</x:v>
      </x:c>
      <x:c r="C1680" s="13" t="n">
        <x:v>0</x:v>
      </x:c>
    </x:row>
    <x:row r="1681" ht="20" customHeight="1">
      <x:c r="A1681" s="1" t="str">
        <x:v>21754</x:v>
      </x:c>
      <x:c r="B1681" s="9" t="d">
        <x:v>2011-07-04T00:00:00.000Z</x:v>
      </x:c>
      <x:c r="C1681" s="13" t="n">
        <x:v>1</x:v>
      </x:c>
    </x:row>
    <x:row r="1682" ht="20" customHeight="1">
      <x:c r="A1682" s="1" t="str">
        <x:v>21754</x:v>
      </x:c>
      <x:c r="B1682" s="9" t="d">
        <x:v>2011-07-05T00:00:00.000Z</x:v>
      </x:c>
      <x:c r="C1682" s="13" t="n">
        <x:v>14</x:v>
      </x:c>
    </x:row>
    <x:row r="1683" ht="20" customHeight="1">
      <x:c r="A1683" s="1" t="str">
        <x:v>21754</x:v>
      </x:c>
      <x:c r="B1683" s="9" t="d">
        <x:v>2011-07-06T00:00:00.000Z</x:v>
      </x:c>
      <x:c r="C1683" s="13" t="n">
        <x:v>0</x:v>
      </x:c>
    </x:row>
    <x:row r="1684" ht="20" customHeight="1">
      <x:c r="A1684" s="1" t="str">
        <x:v>21754</x:v>
      </x:c>
      <x:c r="B1684" s="9" t="d">
        <x:v>2011-07-07T00:00:00.000Z</x:v>
      </x:c>
      <x:c r="C1684" s="13" t="n">
        <x:v>4</x:v>
      </x:c>
    </x:row>
    <x:row r="1685" ht="20" customHeight="1">
      <x:c r="A1685" s="1" t="str">
        <x:v>21754</x:v>
      </x:c>
      <x:c r="B1685" s="9" t="d">
        <x:v>2011-07-08T00:00:00.000Z</x:v>
      </x:c>
      <x:c r="C1685" s="13" t="n">
        <x:v>1</x:v>
      </x:c>
    </x:row>
    <x:row r="1686" ht="20" customHeight="1">
      <x:c r="A1686" s="1" t="str">
        <x:v>21754</x:v>
      </x:c>
      <x:c r="B1686" s="9" t="d">
        <x:v>2011-07-09T00:00:00.000Z</x:v>
      </x:c>
      <x:c r="C1686" s="13" t="n">
        <x:v>0</x:v>
      </x:c>
    </x:row>
    <x:row r="1687" ht="20" customHeight="1">
      <x:c r="A1687" s="1" t="str">
        <x:v>21754</x:v>
      </x:c>
      <x:c r="B1687" s="9" t="d">
        <x:v>2011-07-10T00:00:00.000Z</x:v>
      </x:c>
      <x:c r="C1687" s="13" t="n">
        <x:v>2</x:v>
      </x:c>
    </x:row>
    <x:row r="1688" ht="20" customHeight="1">
      <x:c r="A1688" s="1" t="str">
        <x:v>21754</x:v>
      </x:c>
      <x:c r="B1688" s="9" t="d">
        <x:v>2011-07-11T00:00:00.000Z</x:v>
      </x:c>
      <x:c r="C1688" s="13" t="n">
        <x:v>8</x:v>
      </x:c>
    </x:row>
    <x:row r="1689" ht="20" customHeight="1">
      <x:c r="A1689" s="1" t="str">
        <x:v>21754</x:v>
      </x:c>
      <x:c r="B1689" s="9" t="d">
        <x:v>2011-07-12T00:00:00.000Z</x:v>
      </x:c>
      <x:c r="C1689" s="13" t="n">
        <x:v>6</x:v>
      </x:c>
    </x:row>
    <x:row r="1690" ht="20" customHeight="1">
      <x:c r="A1690" s="1" t="str">
        <x:v>21754</x:v>
      </x:c>
      <x:c r="B1690" s="9" t="d">
        <x:v>2011-07-13T00:00:00.000Z</x:v>
      </x:c>
      <x:c r="C1690" s="13" t="n">
        <x:v>4</x:v>
      </x:c>
    </x:row>
    <x:row r="1691" ht="20" customHeight="1">
      <x:c r="A1691" s="1" t="str">
        <x:v>21754</x:v>
      </x:c>
      <x:c r="B1691" s="9" t="d">
        <x:v>2011-07-14T00:00:00.000Z</x:v>
      </x:c>
      <x:c r="C1691" s="13" t="n">
        <x:v>9</x:v>
      </x:c>
    </x:row>
    <x:row r="1692" ht="20" customHeight="1">
      <x:c r="A1692" s="1" t="str">
        <x:v>21754</x:v>
      </x:c>
      <x:c r="B1692" s="9" t="d">
        <x:v>2011-07-15T00:00:00.000Z</x:v>
      </x:c>
      <x:c r="C1692" s="13" t="n">
        <x:v>4</x:v>
      </x:c>
    </x:row>
    <x:row r="1693" ht="20" customHeight="1">
      <x:c r="A1693" s="1" t="str">
        <x:v>21754</x:v>
      </x:c>
      <x:c r="B1693" s="9" t="d">
        <x:v>2011-07-16T00:00:00.000Z</x:v>
      </x:c>
      <x:c r="C1693" s="13" t="n">
        <x:v>0</x:v>
      </x:c>
    </x:row>
    <x:row r="1694" ht="20" customHeight="1">
      <x:c r="A1694" s="1" t="str">
        <x:v>21754</x:v>
      </x:c>
      <x:c r="B1694" s="9" t="d">
        <x:v>2011-07-17T00:00:00.000Z</x:v>
      </x:c>
      <x:c r="C1694" s="13" t="n">
        <x:v>3</x:v>
      </x:c>
    </x:row>
    <x:row r="1695" ht="20" customHeight="1">
      <x:c r="A1695" s="1" t="str">
        <x:v>21754</x:v>
      </x:c>
      <x:c r="B1695" s="9" t="d">
        <x:v>2011-07-18T00:00:00.000Z</x:v>
      </x:c>
      <x:c r="C1695" s="13" t="n">
        <x:v>6</x:v>
      </x:c>
    </x:row>
    <x:row r="1696" ht="20" customHeight="1">
      <x:c r="A1696" s="1" t="str">
        <x:v>21754</x:v>
      </x:c>
      <x:c r="B1696" s="9" t="d">
        <x:v>2011-07-19T00:00:00.000Z</x:v>
      </x:c>
      <x:c r="C1696" s="13" t="n">
        <x:v>17</x:v>
      </x:c>
    </x:row>
    <x:row r="1697" ht="20" customHeight="1">
      <x:c r="A1697" s="1" t="str">
        <x:v>21754</x:v>
      </x:c>
      <x:c r="B1697" s="9" t="d">
        <x:v>2011-07-20T00:00:00.000Z</x:v>
      </x:c>
      <x:c r="C1697" s="13" t="n">
        <x:v>8</x:v>
      </x:c>
    </x:row>
    <x:row r="1698" ht="20" customHeight="1">
      <x:c r="A1698" s="1" t="str">
        <x:v>21754</x:v>
      </x:c>
      <x:c r="B1698" s="9" t="d">
        <x:v>2011-07-21T00:00:00.000Z</x:v>
      </x:c>
      <x:c r="C1698" s="13" t="n">
        <x:v>2</x:v>
      </x:c>
    </x:row>
    <x:row r="1699" ht="20" customHeight="1">
      <x:c r="A1699" s="1" t="str">
        <x:v>21754</x:v>
      </x:c>
      <x:c r="B1699" s="9" t="d">
        <x:v>2011-07-22T00:00:00.000Z</x:v>
      </x:c>
      <x:c r="C1699" s="13" t="n">
        <x:v>3</x:v>
      </x:c>
    </x:row>
    <x:row r="1700" ht="20" customHeight="1">
      <x:c r="A1700" s="1" t="str">
        <x:v>21754</x:v>
      </x:c>
      <x:c r="B1700" s="9" t="d">
        <x:v>2011-07-23T00:00:00.000Z</x:v>
      </x:c>
      <x:c r="C1700" s="13" t="n">
        <x:v>0</x:v>
      </x:c>
    </x:row>
    <x:row r="1701" ht="20" customHeight="1">
      <x:c r="A1701" s="1" t="str">
        <x:v>21754</x:v>
      </x:c>
      <x:c r="B1701" s="9" t="d">
        <x:v>2011-07-24T00:00:00.000Z</x:v>
      </x:c>
      <x:c r="C1701" s="13" t="n">
        <x:v>9</x:v>
      </x:c>
    </x:row>
    <x:row r="1702" ht="20" customHeight="1">
      <x:c r="A1702" s="1" t="str">
        <x:v>21754</x:v>
      </x:c>
      <x:c r="B1702" s="9" t="d">
        <x:v>2011-07-25T00:00:00.000Z</x:v>
      </x:c>
      <x:c r="C1702" s="13" t="n">
        <x:v>6</x:v>
      </x:c>
    </x:row>
    <x:row r="1703" ht="20" customHeight="1">
      <x:c r="A1703" s="1" t="str">
        <x:v>21754</x:v>
      </x:c>
      <x:c r="B1703" s="9" t="d">
        <x:v>2011-07-26T00:00:00.000Z</x:v>
      </x:c>
      <x:c r="C1703" s="13" t="n">
        <x:v>4</x:v>
      </x:c>
    </x:row>
    <x:row r="1704" ht="20" customHeight="1">
      <x:c r="A1704" s="1" t="str">
        <x:v>21754</x:v>
      </x:c>
      <x:c r="B1704" s="9" t="d">
        <x:v>2011-07-27T00:00:00.000Z</x:v>
      </x:c>
      <x:c r="C1704" s="13" t="n">
        <x:v>4</x:v>
      </x:c>
    </x:row>
    <x:row r="1705" ht="20" customHeight="1">
      <x:c r="A1705" s="1" t="str">
        <x:v>21754</x:v>
      </x:c>
      <x:c r="B1705" s="9" t="d">
        <x:v>2011-07-28T00:00:00.000Z</x:v>
      </x:c>
      <x:c r="C1705" s="13" t="n">
        <x:v>9</x:v>
      </x:c>
    </x:row>
    <x:row r="1706" ht="20" customHeight="1">
      <x:c r="A1706" s="1" t="str">
        <x:v>21754</x:v>
      </x:c>
      <x:c r="B1706" s="9" t="d">
        <x:v>2011-07-29T00:00:00.000Z</x:v>
      </x:c>
      <x:c r="C1706" s="13" t="n">
        <x:v>6</x:v>
      </x:c>
    </x:row>
    <x:row r="1707" ht="20" customHeight="1">
      <x:c r="A1707" s="1" t="str">
        <x:v>21754</x:v>
      </x:c>
      <x:c r="B1707" s="9" t="d">
        <x:v>2011-07-30T00:00:00.000Z</x:v>
      </x:c>
      <x:c r="C1707" s="13" t="n">
        <x:v>0</x:v>
      </x:c>
    </x:row>
    <x:row r="1708" ht="20" customHeight="1">
      <x:c r="A1708" s="1" t="str">
        <x:v>21754</x:v>
      </x:c>
      <x:c r="B1708" s="9" t="d">
        <x:v>2011-07-31T00:00:00.000Z</x:v>
      </x:c>
      <x:c r="C1708" s="13" t="n">
        <x:v>6</x:v>
      </x:c>
    </x:row>
    <x:row r="1709" ht="20" customHeight="1">
      <x:c r="A1709" s="1" t="str">
        <x:v>21754</x:v>
      </x:c>
      <x:c r="B1709" s="9" t="d">
        <x:v>2011-08-01T00:00:00.000Z</x:v>
      </x:c>
      <x:c r="C1709" s="13" t="n">
        <x:v>5</x:v>
      </x:c>
    </x:row>
    <x:row r="1710" ht="20" customHeight="1">
      <x:c r="A1710" s="1" t="str">
        <x:v>21754</x:v>
      </x:c>
      <x:c r="B1710" s="9" t="d">
        <x:v>2011-08-02T00:00:00.000Z</x:v>
      </x:c>
      <x:c r="C1710" s="13" t="n">
        <x:v>1</x:v>
      </x:c>
    </x:row>
    <x:row r="1711" ht="20" customHeight="1">
      <x:c r="A1711" s="1" t="str">
        <x:v>21754</x:v>
      </x:c>
      <x:c r="B1711" s="9" t="d">
        <x:v>2011-08-03T00:00:00.000Z</x:v>
      </x:c>
      <x:c r="C1711" s="13" t="n">
        <x:v>0</x:v>
      </x:c>
    </x:row>
    <x:row r="1712" ht="20" customHeight="1">
      <x:c r="A1712" s="1" t="str">
        <x:v>21754</x:v>
      </x:c>
      <x:c r="B1712" s="9" t="d">
        <x:v>2011-08-04T00:00:00.000Z</x:v>
      </x:c>
      <x:c r="C1712" s="13" t="n">
        <x:v>10</x:v>
      </x:c>
    </x:row>
    <x:row r="1713" ht="20" customHeight="1">
      <x:c r="A1713" s="1" t="str">
        <x:v>21754</x:v>
      </x:c>
      <x:c r="B1713" s="9" t="d">
        <x:v>2011-08-05T00:00:00.000Z</x:v>
      </x:c>
      <x:c r="C1713" s="13" t="n">
        <x:v>3</x:v>
      </x:c>
    </x:row>
    <x:row r="1714" ht="20" customHeight="1">
      <x:c r="A1714" s="1" t="str">
        <x:v>21754</x:v>
      </x:c>
      <x:c r="B1714" s="9" t="d">
        <x:v>2011-08-06T00:00:00.000Z</x:v>
      </x:c>
      <x:c r="C1714" s="13" t="n">
        <x:v>0</x:v>
      </x:c>
    </x:row>
    <x:row r="1715" ht="20" customHeight="1">
      <x:c r="A1715" s="1" t="str">
        <x:v>21754</x:v>
      </x:c>
      <x:c r="B1715" s="9" t="d">
        <x:v>2011-08-07T00:00:00.000Z</x:v>
      </x:c>
      <x:c r="C1715" s="13" t="n">
        <x:v>9</x:v>
      </x:c>
    </x:row>
    <x:row r="1716" ht="20" customHeight="1">
      <x:c r="A1716" s="1" t="str">
        <x:v>21754</x:v>
      </x:c>
      <x:c r="B1716" s="9" t="d">
        <x:v>2011-08-08T00:00:00.000Z</x:v>
      </x:c>
      <x:c r="C1716" s="13" t="n">
        <x:v>3</x:v>
      </x:c>
    </x:row>
    <x:row r="1717" ht="20" customHeight="1">
      <x:c r="A1717" s="1" t="str">
        <x:v>21754</x:v>
      </x:c>
      <x:c r="B1717" s="9" t="d">
        <x:v>2011-08-09T00:00:00.000Z</x:v>
      </x:c>
      <x:c r="C1717" s="13" t="n">
        <x:v>0</x:v>
      </x:c>
    </x:row>
    <x:row r="1718" ht="20" customHeight="1">
      <x:c r="A1718" s="1" t="str">
        <x:v>21754</x:v>
      </x:c>
      <x:c r="B1718" s="9" t="d">
        <x:v>2011-08-10T00:00:00.000Z</x:v>
      </x:c>
      <x:c r="C1718" s="13" t="n">
        <x:v>0</x:v>
      </x:c>
    </x:row>
    <x:row r="1719" ht="20" customHeight="1">
      <x:c r="A1719" s="1" t="str">
        <x:v>21754</x:v>
      </x:c>
      <x:c r="B1719" s="9" t="d">
        <x:v>2011-08-11T00:00:00.000Z</x:v>
      </x:c>
      <x:c r="C1719" s="13" t="n">
        <x:v>13</x:v>
      </x:c>
    </x:row>
    <x:row r="1720" ht="20" customHeight="1">
      <x:c r="A1720" s="1" t="str">
        <x:v>21754</x:v>
      </x:c>
      <x:c r="B1720" s="9" t="d">
        <x:v>2011-08-12T00:00:00.000Z</x:v>
      </x:c>
      <x:c r="C1720" s="13" t="n">
        <x:v>3</x:v>
      </x:c>
    </x:row>
    <x:row r="1721" ht="20" customHeight="1">
      <x:c r="A1721" s="1" t="str">
        <x:v>21754</x:v>
      </x:c>
      <x:c r="B1721" s="9" t="d">
        <x:v>2011-08-13T00:00:00.000Z</x:v>
      </x:c>
      <x:c r="C1721" s="13" t="n">
        <x:v>0</x:v>
      </x:c>
    </x:row>
    <x:row r="1722" ht="20" customHeight="1">
      <x:c r="A1722" s="1" t="str">
        <x:v>21754</x:v>
      </x:c>
      <x:c r="B1722" s="9" t="d">
        <x:v>2011-08-14T00:00:00.000Z</x:v>
      </x:c>
      <x:c r="C1722" s="13" t="n">
        <x:v>1</x:v>
      </x:c>
    </x:row>
    <x:row r="1723" ht="20" customHeight="1">
      <x:c r="A1723" s="1" t="str">
        <x:v>21754</x:v>
      </x:c>
      <x:c r="B1723" s="9" t="d">
        <x:v>2011-08-15T00:00:00.000Z</x:v>
      </x:c>
      <x:c r="C1723" s="13" t="n">
        <x:v>20</x:v>
      </x:c>
    </x:row>
    <x:row r="1724" ht="20" customHeight="1">
      <x:c r="A1724" s="1" t="str">
        <x:v>21754</x:v>
      </x:c>
      <x:c r="B1724" s="9" t="d">
        <x:v>2011-08-16T00:00:00.000Z</x:v>
      </x:c>
      <x:c r="C1724" s="13" t="n">
        <x:v>7</x:v>
      </x:c>
    </x:row>
    <x:row r="1725" ht="20" customHeight="1">
      <x:c r="A1725" s="1" t="str">
        <x:v>21754</x:v>
      </x:c>
      <x:c r="B1725" s="9" t="d">
        <x:v>2011-08-17T00:00:00.000Z</x:v>
      </x:c>
      <x:c r="C1725" s="13" t="n">
        <x:v>22</x:v>
      </x:c>
    </x:row>
    <x:row r="1726" ht="20" customHeight="1">
      <x:c r="A1726" s="1" t="str">
        <x:v>21754</x:v>
      </x:c>
      <x:c r="B1726" s="9" t="d">
        <x:v>2011-08-18T00:00:00.000Z</x:v>
      </x:c>
      <x:c r="C1726" s="13" t="n">
        <x:v>13</x:v>
      </x:c>
    </x:row>
    <x:row r="1727" ht="20" customHeight="1">
      <x:c r="A1727" s="1" t="str">
        <x:v>21754</x:v>
      </x:c>
      <x:c r="B1727" s="9" t="d">
        <x:v>2011-08-19T00:00:00.000Z</x:v>
      </x:c>
      <x:c r="C1727" s="13" t="n">
        <x:v>3</x:v>
      </x:c>
    </x:row>
    <x:row r="1728" ht="20" customHeight="1">
      <x:c r="A1728" s="1" t="str">
        <x:v>21754</x:v>
      </x:c>
      <x:c r="B1728" s="9" t="d">
        <x:v>2011-08-20T00:00:00.000Z</x:v>
      </x:c>
      <x:c r="C1728" s="13" t="n">
        <x:v>0</x:v>
      </x:c>
    </x:row>
    <x:row r="1729" ht="20" customHeight="1">
      <x:c r="A1729" s="1" t="str">
        <x:v>21754</x:v>
      </x:c>
      <x:c r="B1729" s="9" t="d">
        <x:v>2011-08-21T00:00:00.000Z</x:v>
      </x:c>
      <x:c r="C1729" s="13" t="n">
        <x:v>4</x:v>
      </x:c>
    </x:row>
    <x:row r="1730" ht="20" customHeight="1">
      <x:c r="A1730" s="1" t="str">
        <x:v>21754</x:v>
      </x:c>
      <x:c r="B1730" s="9" t="d">
        <x:v>2011-08-22T00:00:00.000Z</x:v>
      </x:c>
      <x:c r="C1730" s="13" t="n">
        <x:v>6</x:v>
      </x:c>
    </x:row>
    <x:row r="1731" ht="20" customHeight="1">
      <x:c r="A1731" s="1" t="str">
        <x:v>21754</x:v>
      </x:c>
      <x:c r="B1731" s="9" t="d">
        <x:v>2011-08-23T00:00:00.000Z</x:v>
      </x:c>
      <x:c r="C1731" s="13" t="n">
        <x:v>27</x:v>
      </x:c>
    </x:row>
    <x:row r="1732" ht="20" customHeight="1">
      <x:c r="A1732" s="1" t="str">
        <x:v>21754</x:v>
      </x:c>
      <x:c r="B1732" s="9" t="d">
        <x:v>2011-08-24T00:00:00.000Z</x:v>
      </x:c>
      <x:c r="C1732" s="13" t="n">
        <x:v>1</x:v>
      </x:c>
    </x:row>
    <x:row r="1733" ht="20" customHeight="1">
      <x:c r="A1733" s="1" t="str">
        <x:v>21754</x:v>
      </x:c>
      <x:c r="B1733" s="9" t="d">
        <x:v>2011-08-25T00:00:00.000Z</x:v>
      </x:c>
      <x:c r="C1733" s="13" t="n">
        <x:v>5</x:v>
      </x:c>
    </x:row>
    <x:row r="1734" ht="20" customHeight="1">
      <x:c r="A1734" s="1" t="str">
        <x:v>21754</x:v>
      </x:c>
      <x:c r="B1734" s="9" t="d">
        <x:v>2011-08-26T00:00:00.000Z</x:v>
      </x:c>
      <x:c r="C1734" s="13" t="n">
        <x:v>0</x:v>
      </x:c>
    </x:row>
    <x:row r="1735" ht="20" customHeight="1">
      <x:c r="A1735" s="1" t="str">
        <x:v>21754</x:v>
      </x:c>
      <x:c r="B1735" s="9" t="d">
        <x:v>2011-08-27T00:00:00.000Z</x:v>
      </x:c>
      <x:c r="C1735" s="13" t="n">
        <x:v>0</x:v>
      </x:c>
    </x:row>
    <x:row r="1736" ht="20" customHeight="1">
      <x:c r="A1736" s="1" t="str">
        <x:v>21754</x:v>
      </x:c>
      <x:c r="B1736" s="9" t="d">
        <x:v>2011-08-28T00:00:00.000Z</x:v>
      </x:c>
      <x:c r="C1736" s="13" t="n">
        <x:v>5</x:v>
      </x:c>
    </x:row>
    <x:row r="1737" ht="20" customHeight="1">
      <x:c r="A1737" s="1" t="str">
        <x:v>21754</x:v>
      </x:c>
      <x:c r="B1737" s="9" t="d">
        <x:v>2011-08-29T00:00:00.000Z</x:v>
      </x:c>
      <x:c r="C1737" s="13" t="n">
        <x:v>0</x:v>
      </x:c>
    </x:row>
    <x:row r="1738" ht="20" customHeight="1">
      <x:c r="A1738" s="1" t="str">
        <x:v>21754</x:v>
      </x:c>
      <x:c r="B1738" s="9" t="d">
        <x:v>2011-08-30T00:00:00.000Z</x:v>
      </x:c>
      <x:c r="C1738" s="13" t="n">
        <x:v>0</x:v>
      </x:c>
    </x:row>
    <x:row r="1739" ht="20" customHeight="1">
      <x:c r="A1739" s="1" t="str">
        <x:v>21754</x:v>
      </x:c>
      <x:c r="B1739" s="9" t="d">
        <x:v>2011-08-31T00:00:00.000Z</x:v>
      </x:c>
      <x:c r="C1739" s="13" t="n">
        <x:v>0</x:v>
      </x:c>
    </x:row>
    <x:row r="1740" ht="20" customHeight="1">
      <x:c r="A1740" s="1" t="str">
        <x:v>21754</x:v>
      </x:c>
      <x:c r="B1740" s="9" t="d">
        <x:v>2011-09-01T00:00:00.000Z</x:v>
      </x:c>
      <x:c r="C1740" s="13" t="n">
        <x:v>10</x:v>
      </x:c>
    </x:row>
    <x:row r="1741" ht="20" customHeight="1">
      <x:c r="A1741" s="1" t="str">
        <x:v>21754</x:v>
      </x:c>
      <x:c r="B1741" s="9" t="d">
        <x:v>2011-09-02T00:00:00.000Z</x:v>
      </x:c>
      <x:c r="C1741" s="13" t="n">
        <x:v>3</x:v>
      </x:c>
    </x:row>
    <x:row r="1742" ht="20" customHeight="1">
      <x:c r="A1742" s="1" t="str">
        <x:v>21754</x:v>
      </x:c>
      <x:c r="B1742" s="9" t="d">
        <x:v>2011-09-03T00:00:00.000Z</x:v>
      </x:c>
      <x:c r="C1742" s="13" t="n">
        <x:v>0</x:v>
      </x:c>
    </x:row>
    <x:row r="1743" ht="20" customHeight="1">
      <x:c r="A1743" s="1" t="str">
        <x:v>21754</x:v>
      </x:c>
      <x:c r="B1743" s="9" t="d">
        <x:v>2011-09-04T00:00:00.000Z</x:v>
      </x:c>
      <x:c r="C1743" s="13" t="n">
        <x:v>4</x:v>
      </x:c>
    </x:row>
    <x:row r="1744" ht="20" customHeight="1">
      <x:c r="A1744" s="1" t="str">
        <x:v>21754</x:v>
      </x:c>
      <x:c r="B1744" s="9" t="d">
        <x:v>2011-09-05T00:00:00.000Z</x:v>
      </x:c>
      <x:c r="C1744" s="13" t="n">
        <x:v>0</x:v>
      </x:c>
    </x:row>
    <x:row r="1745" ht="20" customHeight="1">
      <x:c r="A1745" s="1" t="str">
        <x:v>21754</x:v>
      </x:c>
      <x:c r="B1745" s="9" t="d">
        <x:v>2011-09-06T00:00:00.000Z</x:v>
      </x:c>
      <x:c r="C1745" s="13" t="n">
        <x:v>21</x:v>
      </x:c>
    </x:row>
    <x:row r="1746" ht="20" customHeight="1">
      <x:c r="A1746" s="1" t="str">
        <x:v>21754</x:v>
      </x:c>
      <x:c r="B1746" s="9" t="d">
        <x:v>2011-09-07T00:00:00.000Z</x:v>
      </x:c>
      <x:c r="C1746" s="13" t="n">
        <x:v>0</x:v>
      </x:c>
    </x:row>
    <x:row r="1747" ht="20" customHeight="1">
      <x:c r="A1747" s="1" t="str">
        <x:v>21754</x:v>
      </x:c>
      <x:c r="B1747" s="9" t="d">
        <x:v>2011-09-08T00:00:00.000Z</x:v>
      </x:c>
      <x:c r="C1747" s="13" t="n">
        <x:v>9</x:v>
      </x:c>
    </x:row>
    <x:row r="1748" ht="20" customHeight="1">
      <x:c r="A1748" s="1" t="str">
        <x:v>21754</x:v>
      </x:c>
      <x:c r="B1748" s="9" t="d">
        <x:v>2011-09-09T00:00:00.000Z</x:v>
      </x:c>
      <x:c r="C1748" s="13" t="n">
        <x:v>30</x:v>
      </x:c>
    </x:row>
    <x:row r="1749" ht="20" customHeight="1">
      <x:c r="A1749" s="1" t="str">
        <x:v>21754</x:v>
      </x:c>
      <x:c r="B1749" s="9" t="d">
        <x:v>2011-09-10T00:00:00.000Z</x:v>
      </x:c>
      <x:c r="C1749" s="13" t="n">
        <x:v>0</x:v>
      </x:c>
    </x:row>
    <x:row r="1750" ht="20" customHeight="1">
      <x:c r="A1750" s="1" t="str">
        <x:v>21754</x:v>
      </x:c>
      <x:c r="B1750" s="9" t="d">
        <x:v>2011-09-11T00:00:00.000Z</x:v>
      </x:c>
      <x:c r="C1750" s="13" t="n">
        <x:v>14</x:v>
      </x:c>
    </x:row>
    <x:row r="1751" ht="20" customHeight="1">
      <x:c r="A1751" s="1" t="str">
        <x:v>21754</x:v>
      </x:c>
      <x:c r="B1751" s="9" t="d">
        <x:v>2011-09-12T00:00:00.000Z</x:v>
      </x:c>
      <x:c r="C1751" s="13" t="n">
        <x:v>0</x:v>
      </x:c>
    </x:row>
    <x:row r="1752" ht="20" customHeight="1">
      <x:c r="A1752" s="1" t="str">
        <x:v>21754</x:v>
      </x:c>
      <x:c r="B1752" s="9" t="d">
        <x:v>2011-09-13T00:00:00.000Z</x:v>
      </x:c>
      <x:c r="C1752" s="13" t="n">
        <x:v>25</x:v>
      </x:c>
    </x:row>
    <x:row r="1753" ht="20" customHeight="1">
      <x:c r="A1753" s="1" t="str">
        <x:v>21754</x:v>
      </x:c>
      <x:c r="B1753" s="9" t="d">
        <x:v>2011-09-14T00:00:00.000Z</x:v>
      </x:c>
      <x:c r="C1753" s="13" t="n">
        <x:v>4</x:v>
      </x:c>
    </x:row>
    <x:row r="1754" ht="20" customHeight="1">
      <x:c r="A1754" s="1" t="str">
        <x:v>21754</x:v>
      </x:c>
      <x:c r="B1754" s="9" t="d">
        <x:v>2011-09-15T00:00:00.000Z</x:v>
      </x:c>
      <x:c r="C1754" s="13" t="n">
        <x:v>2</x:v>
      </x:c>
    </x:row>
    <x:row r="1755" ht="20" customHeight="1">
      <x:c r="A1755" s="1" t="str">
        <x:v>21754</x:v>
      </x:c>
      <x:c r="B1755" s="9" t="d">
        <x:v>2011-09-16T00:00:00.000Z</x:v>
      </x:c>
      <x:c r="C1755" s="13" t="n">
        <x:v>7</x:v>
      </x:c>
    </x:row>
    <x:row r="1756" ht="20" customHeight="1">
      <x:c r="A1756" s="1" t="str">
        <x:v>21754</x:v>
      </x:c>
      <x:c r="B1756" s="9" t="d">
        <x:v>2011-09-17T00:00:00.000Z</x:v>
      </x:c>
      <x:c r="C1756" s="13" t="n">
        <x:v>0</x:v>
      </x:c>
    </x:row>
    <x:row r="1757" ht="20" customHeight="1">
      <x:c r="A1757" s="1" t="str">
        <x:v>21754</x:v>
      </x:c>
      <x:c r="B1757" s="9" t="d">
        <x:v>2011-09-18T00:00:00.000Z</x:v>
      </x:c>
      <x:c r="C1757" s="13" t="n">
        <x:v>7</x:v>
      </x:c>
    </x:row>
    <x:row r="1758" ht="20" customHeight="1">
      <x:c r="A1758" s="1" t="str">
        <x:v>21754</x:v>
      </x:c>
      <x:c r="B1758" s="9" t="d">
        <x:v>2011-09-19T00:00:00.000Z</x:v>
      </x:c>
      <x:c r="C1758" s="13" t="n">
        <x:v>21</x:v>
      </x:c>
    </x:row>
    <x:row r="1759" ht="20" customHeight="1">
      <x:c r="A1759" s="1" t="str">
        <x:v>21754</x:v>
      </x:c>
      <x:c r="B1759" s="9" t="d">
        <x:v>2011-09-20T00:00:00.000Z</x:v>
      </x:c>
      <x:c r="C1759" s="13" t="n">
        <x:v>6</x:v>
      </x:c>
    </x:row>
    <x:row r="1760" ht="20" customHeight="1">
      <x:c r="A1760" s="1" t="str">
        <x:v>21754</x:v>
      </x:c>
      <x:c r="B1760" s="9" t="d">
        <x:v>2011-09-21T00:00:00.000Z</x:v>
      </x:c>
      <x:c r="C1760" s="13" t="n">
        <x:v>4</x:v>
      </x:c>
    </x:row>
    <x:row r="1761" ht="20" customHeight="1">
      <x:c r="A1761" s="1" t="str">
        <x:v>21754</x:v>
      </x:c>
      <x:c r="B1761" s="9" t="d">
        <x:v>2011-09-22T00:00:00.000Z</x:v>
      </x:c>
      <x:c r="C1761" s="13" t="n">
        <x:v>3</x:v>
      </x:c>
    </x:row>
    <x:row r="1762" ht="20" customHeight="1">
      <x:c r="A1762" s="1" t="str">
        <x:v>21754</x:v>
      </x:c>
      <x:c r="B1762" s="9" t="d">
        <x:v>2011-09-23T00:00:00.000Z</x:v>
      </x:c>
      <x:c r="C1762" s="13" t="n">
        <x:v>0</x:v>
      </x:c>
    </x:row>
    <x:row r="1763" ht="20" customHeight="1">
      <x:c r="A1763" s="1" t="str">
        <x:v>21754</x:v>
      </x:c>
      <x:c r="B1763" s="9" t="d">
        <x:v>2011-09-24T00:00:00.000Z</x:v>
      </x:c>
      <x:c r="C1763" s="13" t="n">
        <x:v>0</x:v>
      </x:c>
    </x:row>
    <x:row r="1764" ht="20" customHeight="1">
      <x:c r="A1764" s="1" t="str">
        <x:v>21754</x:v>
      </x:c>
      <x:c r="B1764" s="9" t="d">
        <x:v>2011-09-25T00:00:00.000Z</x:v>
      </x:c>
      <x:c r="C1764" s="13" t="n">
        <x:v>1</x:v>
      </x:c>
    </x:row>
    <x:row r="1765" ht="20" customHeight="1">
      <x:c r="A1765" s="1" t="str">
        <x:v>21754</x:v>
      </x:c>
      <x:c r="B1765" s="9" t="d">
        <x:v>2011-09-26T00:00:00.000Z</x:v>
      </x:c>
      <x:c r="C1765" s="13" t="n">
        <x:v>5</x:v>
      </x:c>
    </x:row>
    <x:row r="1766" ht="20" customHeight="1">
      <x:c r="A1766" s="1" t="str">
        <x:v>21754</x:v>
      </x:c>
      <x:c r="B1766" s="9" t="d">
        <x:v>2011-09-27T00:00:00.000Z</x:v>
      </x:c>
      <x:c r="C1766" s="13" t="n">
        <x:v>3</x:v>
      </x:c>
    </x:row>
    <x:row r="1767" ht="20" customHeight="1">
      <x:c r="A1767" s="1" t="str">
        <x:v>21754</x:v>
      </x:c>
      <x:c r="B1767" s="9" t="d">
        <x:v>2011-09-28T00:00:00.000Z</x:v>
      </x:c>
      <x:c r="C1767" s="13" t="n">
        <x:v>7</x:v>
      </x:c>
    </x:row>
    <x:row r="1768" ht="20" customHeight="1">
      <x:c r="A1768" s="1" t="str">
        <x:v>21754</x:v>
      </x:c>
      <x:c r="B1768" s="9" t="d">
        <x:v>2011-09-29T00:00:00.000Z</x:v>
      </x:c>
      <x:c r="C1768" s="13" t="n">
        <x:v>9</x:v>
      </x:c>
    </x:row>
    <x:row r="1769" ht="20" customHeight="1">
      <x:c r="A1769" s="1" t="str">
        <x:v>21754</x:v>
      </x:c>
      <x:c r="B1769" s="9" t="d">
        <x:v>2011-09-30T00:00:00.000Z</x:v>
      </x:c>
      <x:c r="C1769" s="13" t="n">
        <x:v>2</x:v>
      </x:c>
    </x:row>
    <x:row r="1770" ht="20" customHeight="1">
      <x:c r="A1770" s="1" t="str">
        <x:v>21754</x:v>
      </x:c>
      <x:c r="B1770" s="9" t="d">
        <x:v>2011-10-01T00:00:00.000Z</x:v>
      </x:c>
      <x:c r="C1770" s="13" t="n">
        <x:v>0</x:v>
      </x:c>
    </x:row>
    <x:row r="1771" ht="20" customHeight="1">
      <x:c r="A1771" s="1" t="str">
        <x:v>21754</x:v>
      </x:c>
      <x:c r="B1771" s="9" t="d">
        <x:v>2011-10-02T00:00:00.000Z</x:v>
      </x:c>
      <x:c r="C1771" s="13" t="n">
        <x:v>5</x:v>
      </x:c>
    </x:row>
    <x:row r="1772" ht="20" customHeight="1">
      <x:c r="A1772" s="1" t="str">
        <x:v>21754</x:v>
      </x:c>
      <x:c r="B1772" s="9" t="d">
        <x:v>2011-10-03T00:00:00.000Z</x:v>
      </x:c>
      <x:c r="C1772" s="13" t="n">
        <x:v>15</x:v>
      </x:c>
    </x:row>
    <x:row r="1773" ht="20" customHeight="1">
      <x:c r="A1773" s="1" t="str">
        <x:v>21754</x:v>
      </x:c>
      <x:c r="B1773" s="9" t="d">
        <x:v>2011-10-04T00:00:00.000Z</x:v>
      </x:c>
      <x:c r="C1773" s="13" t="n">
        <x:v>7</x:v>
      </x:c>
    </x:row>
    <x:row r="1774" ht="20" customHeight="1">
      <x:c r="A1774" s="1" t="str">
        <x:v>21754</x:v>
      </x:c>
      <x:c r="B1774" s="9" t="d">
        <x:v>2011-10-05T00:00:00.000Z</x:v>
      </x:c>
      <x:c r="C1774" s="13" t="n">
        <x:v>3</x:v>
      </x:c>
    </x:row>
    <x:row r="1775" ht="20" customHeight="1">
      <x:c r="A1775" s="1" t="str">
        <x:v>21754</x:v>
      </x:c>
      <x:c r="B1775" s="9" t="d">
        <x:v>2011-10-06T00:00:00.000Z</x:v>
      </x:c>
      <x:c r="C1775" s="13" t="n">
        <x:v>9</x:v>
      </x:c>
    </x:row>
    <x:row r="1776" ht="20" customHeight="1">
      <x:c r="A1776" s="1" t="str">
        <x:v>21754</x:v>
      </x:c>
      <x:c r="B1776" s="9" t="d">
        <x:v>2011-10-07T00:00:00.000Z</x:v>
      </x:c>
      <x:c r="C1776" s="13" t="n">
        <x:v>6</x:v>
      </x:c>
    </x:row>
    <x:row r="1777" ht="20" customHeight="1">
      <x:c r="A1777" s="1" t="str">
        <x:v>21754</x:v>
      </x:c>
      <x:c r="B1777" s="9" t="d">
        <x:v>2011-10-08T00:00:00.000Z</x:v>
      </x:c>
      <x:c r="C1777" s="13" t="n">
        <x:v>0</x:v>
      </x:c>
    </x:row>
    <x:row r="1778" ht="20" customHeight="1">
      <x:c r="A1778" s="1" t="str">
        <x:v>21754</x:v>
      </x:c>
      <x:c r="B1778" s="9" t="d">
        <x:v>2011-10-09T00:00:00.000Z</x:v>
      </x:c>
      <x:c r="C1778" s="13" t="n">
        <x:v>1</x:v>
      </x:c>
    </x:row>
    <x:row r="1779" ht="20" customHeight="1">
      <x:c r="A1779" s="1" t="str">
        <x:v>21754</x:v>
      </x:c>
      <x:c r="B1779" s="9" t="d">
        <x:v>2011-10-10T00:00:00.000Z</x:v>
      </x:c>
      <x:c r="C1779" s="13" t="n">
        <x:v>5</x:v>
      </x:c>
    </x:row>
    <x:row r="1780" ht="20" customHeight="1">
      <x:c r="A1780" s="1" t="str">
        <x:v>21754</x:v>
      </x:c>
      <x:c r="B1780" s="9" t="d">
        <x:v>2011-10-11T00:00:00.000Z</x:v>
      </x:c>
      <x:c r="C1780" s="13" t="n">
        <x:v>4</x:v>
      </x:c>
    </x:row>
    <x:row r="1781" ht="20" customHeight="1">
      <x:c r="A1781" s="1" t="str">
        <x:v>21754</x:v>
      </x:c>
      <x:c r="B1781" s="9" t="d">
        <x:v>2011-10-12T00:00:00.000Z</x:v>
      </x:c>
      <x:c r="C1781" s="13" t="n">
        <x:v>0</x:v>
      </x:c>
    </x:row>
    <x:row r="1782" ht="20" customHeight="1">
      <x:c r="A1782" s="1" t="str">
        <x:v>21754</x:v>
      </x:c>
      <x:c r="B1782" s="9" t="d">
        <x:v>2011-10-13T00:00:00.000Z</x:v>
      </x:c>
      <x:c r="C1782" s="13" t="n">
        <x:v>7</x:v>
      </x:c>
    </x:row>
    <x:row r="1783" ht="20" customHeight="1">
      <x:c r="A1783" s="1" t="str">
        <x:v>21754</x:v>
      </x:c>
      <x:c r="B1783" s="9" t="d">
        <x:v>2011-10-14T00:00:00.000Z</x:v>
      </x:c>
      <x:c r="C1783" s="13" t="n">
        <x:v>0</x:v>
      </x:c>
    </x:row>
    <x:row r="1784" ht="20" customHeight="1">
      <x:c r="A1784" s="1" t="str">
        <x:v>21754</x:v>
      </x:c>
      <x:c r="B1784" s="9" t="d">
        <x:v>2011-10-15T00:00:00.000Z</x:v>
      </x:c>
      <x:c r="C1784" s="13" t="n">
        <x:v>0</x:v>
      </x:c>
    </x:row>
    <x:row r="1785" ht="20" customHeight="1">
      <x:c r="A1785" s="1" t="str">
        <x:v>21754</x:v>
      </x:c>
      <x:c r="B1785" s="9" t="d">
        <x:v>2011-10-16T00:00:00.000Z</x:v>
      </x:c>
      <x:c r="C1785" s="13" t="n">
        <x:v>2</x:v>
      </x:c>
    </x:row>
    <x:row r="1786" ht="20" customHeight="1">
      <x:c r="A1786" s="1" t="str">
        <x:v>21754</x:v>
      </x:c>
      <x:c r="B1786" s="9" t="d">
        <x:v>2011-10-17T00:00:00.000Z</x:v>
      </x:c>
      <x:c r="C1786" s="13" t="n">
        <x:v>10</x:v>
      </x:c>
    </x:row>
    <x:row r="1787" ht="20" customHeight="1">
      <x:c r="A1787" s="1" t="str">
        <x:v>21754</x:v>
      </x:c>
      <x:c r="B1787" s="9" t="d">
        <x:v>2011-10-18T00:00:00.000Z</x:v>
      </x:c>
      <x:c r="C1787" s="13" t="n">
        <x:v>3</x:v>
      </x:c>
    </x:row>
    <x:row r="1788" ht="20" customHeight="1">
      <x:c r="A1788" s="1" t="str">
        <x:v>21754</x:v>
      </x:c>
      <x:c r="B1788" s="9" t="d">
        <x:v>2011-10-19T00:00:00.000Z</x:v>
      </x:c>
      <x:c r="C1788" s="13" t="n">
        <x:v>8</x:v>
      </x:c>
    </x:row>
    <x:row r="1789" ht="20" customHeight="1">
      <x:c r="A1789" s="1" t="str">
        <x:v>21754</x:v>
      </x:c>
      <x:c r="B1789" s="9" t="d">
        <x:v>2011-10-20T00:00:00.000Z</x:v>
      </x:c>
      <x:c r="C1789" s="13" t="n">
        <x:v>4</x:v>
      </x:c>
    </x:row>
    <x:row r="1790" ht="20" customHeight="1">
      <x:c r="A1790" s="1" t="str">
        <x:v>21754</x:v>
      </x:c>
      <x:c r="B1790" s="9" t="d">
        <x:v>2011-10-21T00:00:00.000Z</x:v>
      </x:c>
      <x:c r="C1790" s="13" t="n">
        <x:v>3</x:v>
      </x:c>
    </x:row>
    <x:row r="1791" ht="20" customHeight="1">
      <x:c r="A1791" s="1" t="str">
        <x:v>21754</x:v>
      </x:c>
      <x:c r="B1791" s="9" t="d">
        <x:v>2011-10-22T00:00:00.000Z</x:v>
      </x:c>
      <x:c r="C1791" s="13" t="n">
        <x:v>0</x:v>
      </x:c>
    </x:row>
    <x:row r="1792" ht="20" customHeight="1">
      <x:c r="A1792" s="1" t="str">
        <x:v>21754</x:v>
      </x:c>
      <x:c r="B1792" s="9" t="d">
        <x:v>2011-10-23T00:00:00.000Z</x:v>
      </x:c>
      <x:c r="C1792" s="13" t="n">
        <x:v>6</x:v>
      </x:c>
    </x:row>
    <x:row r="1793" ht="20" customHeight="1">
      <x:c r="A1793" s="1" t="str">
        <x:v>21754</x:v>
      </x:c>
      <x:c r="B1793" s="9" t="d">
        <x:v>2011-10-24T00:00:00.000Z</x:v>
      </x:c>
      <x:c r="C1793" s="13" t="n">
        <x:v>0</x:v>
      </x:c>
    </x:row>
    <x:row r="1794" ht="20" customHeight="1">
      <x:c r="A1794" s="1" t="str">
        <x:v>21754</x:v>
      </x:c>
      <x:c r="B1794" s="9" t="d">
        <x:v>2011-10-25T00:00:00.000Z</x:v>
      </x:c>
      <x:c r="C1794" s="13" t="n">
        <x:v>3</x:v>
      </x:c>
    </x:row>
    <x:row r="1795" ht="20" customHeight="1">
      <x:c r="A1795" s="1" t="str">
        <x:v>21754</x:v>
      </x:c>
      <x:c r="B1795" s="9" t="d">
        <x:v>2011-10-26T00:00:00.000Z</x:v>
      </x:c>
      <x:c r="C1795" s="13" t="n">
        <x:v>4</x:v>
      </x:c>
    </x:row>
    <x:row r="1796" ht="20" customHeight="1">
      <x:c r="A1796" s="1" t="str">
        <x:v>21754</x:v>
      </x:c>
      <x:c r="B1796" s="9" t="d">
        <x:v>2011-10-27T00:00:00.000Z</x:v>
      </x:c>
      <x:c r="C1796" s="13" t="n">
        <x:v>9</x:v>
      </x:c>
    </x:row>
    <x:row r="1797" ht="20" customHeight="1">
      <x:c r="A1797" s="1" t="str">
        <x:v>21754</x:v>
      </x:c>
      <x:c r="B1797" s="9" t="d">
        <x:v>2011-10-28T00:00:00.000Z</x:v>
      </x:c>
      <x:c r="C1797" s="13" t="n">
        <x:v>3</x:v>
      </x:c>
    </x:row>
    <x:row r="1798" ht="20" customHeight="1">
      <x:c r="A1798" s="1" t="str">
        <x:v>21754</x:v>
      </x:c>
      <x:c r="B1798" s="9" t="d">
        <x:v>2011-10-29T00:00:00.000Z</x:v>
      </x:c>
      <x:c r="C1798" s="13" t="n">
        <x:v>0</x:v>
      </x:c>
    </x:row>
    <x:row r="1799" ht="20" customHeight="1">
      <x:c r="A1799" s="1" t="str">
        <x:v>21754</x:v>
      </x:c>
      <x:c r="B1799" s="9" t="d">
        <x:v>2011-10-30T00:00:00.000Z</x:v>
      </x:c>
      <x:c r="C1799" s="13" t="n">
        <x:v>29</x:v>
      </x:c>
    </x:row>
    <x:row r="1800" ht="20" customHeight="1">
      <x:c r="A1800" s="1" t="str">
        <x:v>21754</x:v>
      </x:c>
      <x:c r="B1800" s="9" t="d">
        <x:v>2011-10-31T00:00:00.000Z</x:v>
      </x:c>
      <x:c r="C1800" s="13" t="n">
        <x:v>8</x:v>
      </x:c>
    </x:row>
    <x:row r="1801" ht="20" customHeight="1">
      <x:c r="A1801" s="1" t="str">
        <x:v>21754</x:v>
      </x:c>
      <x:c r="B1801" s="9" t="d">
        <x:v>2011-11-01T00:00:00.000Z</x:v>
      </x:c>
      <x:c r="C1801" s="13" t="n">
        <x:v>10</x:v>
      </x:c>
    </x:row>
    <x:row r="1802" ht="20" customHeight="1">
      <x:c r="A1802" s="1" t="str">
        <x:v>21754</x:v>
      </x:c>
      <x:c r="B1802" s="9" t="d">
        <x:v>2011-11-02T00:00:00.000Z</x:v>
      </x:c>
      <x:c r="C1802" s="13" t="n">
        <x:v>4</x:v>
      </x:c>
    </x:row>
    <x:row r="1803" ht="20" customHeight="1">
      <x:c r="A1803" s="1" t="str">
        <x:v>21754</x:v>
      </x:c>
      <x:c r="B1803" s="9" t="d">
        <x:v>2011-11-03T00:00:00.000Z</x:v>
      </x:c>
      <x:c r="C1803" s="13" t="n">
        <x:v>12</x:v>
      </x:c>
    </x:row>
    <x:row r="1804" ht="20" customHeight="1">
      <x:c r="A1804" s="1" t="str">
        <x:v>21754</x:v>
      </x:c>
      <x:c r="B1804" s="9" t="d">
        <x:v>2011-11-04T00:00:00.000Z</x:v>
      </x:c>
      <x:c r="C1804" s="13" t="n">
        <x:v>18</x:v>
      </x:c>
    </x:row>
    <x:row r="1805" ht="20" customHeight="1">
      <x:c r="A1805" s="1" t="str">
        <x:v>21754</x:v>
      </x:c>
      <x:c r="B1805" s="9" t="d">
        <x:v>2011-11-05T00:00:00.000Z</x:v>
      </x:c>
      <x:c r="C1805" s="13" t="n">
        <x:v>0</x:v>
      </x:c>
    </x:row>
    <x:row r="1806" ht="20" customHeight="1">
      <x:c r="A1806" s="1" t="str">
        <x:v>21754</x:v>
      </x:c>
      <x:c r="B1806" s="9" t="d">
        <x:v>2011-11-06T00:00:00.000Z</x:v>
      </x:c>
      <x:c r="C1806" s="13" t="n">
        <x:v>12</x:v>
      </x:c>
    </x:row>
    <x:row r="1807" ht="20" customHeight="1">
      <x:c r="A1807" s="1" t="str">
        <x:v>21754</x:v>
      </x:c>
      <x:c r="B1807" s="9" t="d">
        <x:v>2011-11-07T00:00:00.000Z</x:v>
      </x:c>
      <x:c r="C1807" s="13" t="n">
        <x:v>6</x:v>
      </x:c>
    </x:row>
    <x:row r="1808" ht="20" customHeight="1">
      <x:c r="A1808" s="1" t="str">
        <x:v>21754</x:v>
      </x:c>
      <x:c r="B1808" s="9" t="d">
        <x:v>2011-11-08T00:00:00.000Z</x:v>
      </x:c>
      <x:c r="C1808" s="13" t="n">
        <x:v>9</x:v>
      </x:c>
    </x:row>
    <x:row r="1809" ht="20" customHeight="1">
      <x:c r="A1809" s="1" t="str">
        <x:v>21754</x:v>
      </x:c>
      <x:c r="B1809" s="9" t="d">
        <x:v>2011-11-09T00:00:00.000Z</x:v>
      </x:c>
      <x:c r="C1809" s="13" t="n">
        <x:v>4</x:v>
      </x:c>
    </x:row>
    <x:row r="1810" ht="20" customHeight="1">
      <x:c r="A1810" s="1" t="str">
        <x:v>21754</x:v>
      </x:c>
      <x:c r="B1810" s="9" t="d">
        <x:v>2011-11-10T00:00:00.000Z</x:v>
      </x:c>
      <x:c r="C1810" s="13" t="n">
        <x:v>4</x:v>
      </x:c>
    </x:row>
    <x:row r="1811" ht="20" customHeight="1">
      <x:c r="A1811" s="1" t="str">
        <x:v>21754</x:v>
      </x:c>
      <x:c r="B1811" s="9" t="d">
        <x:v>2011-11-11T00:00:00.000Z</x:v>
      </x:c>
      <x:c r="C1811" s="13" t="n">
        <x:v>1</x:v>
      </x:c>
    </x:row>
    <x:row r="1812" ht="20" customHeight="1">
      <x:c r="A1812" s="1" t="str">
        <x:v>21754</x:v>
      </x:c>
      <x:c r="B1812" s="9" t="d">
        <x:v>2011-11-12T00:00:00.000Z</x:v>
      </x:c>
      <x:c r="C1812" s="13" t="n">
        <x:v>0</x:v>
      </x:c>
    </x:row>
    <x:row r="1813" ht="20" customHeight="1">
      <x:c r="A1813" s="1" t="str">
        <x:v>21754</x:v>
      </x:c>
      <x:c r="B1813" s="9" t="d">
        <x:v>2011-11-13T00:00:00.000Z</x:v>
      </x:c>
      <x:c r="C1813" s="13" t="n">
        <x:v>6</x:v>
      </x:c>
    </x:row>
    <x:row r="1814" ht="20" customHeight="1">
      <x:c r="A1814" s="1" t="str">
        <x:v>21754</x:v>
      </x:c>
      <x:c r="B1814" s="9" t="d">
        <x:v>2011-11-14T00:00:00.000Z</x:v>
      </x:c>
      <x:c r="C1814" s="13" t="n">
        <x:v>0</x:v>
      </x:c>
    </x:row>
    <x:row r="1815" ht="20" customHeight="1">
      <x:c r="A1815" s="1" t="str">
        <x:v>21754</x:v>
      </x:c>
      <x:c r="B1815" s="9" t="d">
        <x:v>2011-11-15T00:00:00.000Z</x:v>
      </x:c>
      <x:c r="C1815" s="13" t="n">
        <x:v>9</x:v>
      </x:c>
    </x:row>
    <x:row r="1816" ht="20" customHeight="1">
      <x:c r="A1816" s="1" t="str">
        <x:v>21754</x:v>
      </x:c>
      <x:c r="B1816" s="9" t="d">
        <x:v>2011-11-16T00:00:00.000Z</x:v>
      </x:c>
      <x:c r="C1816" s="13" t="n">
        <x:v>13</x:v>
      </x:c>
    </x:row>
    <x:row r="1817" ht="20" customHeight="1">
      <x:c r="A1817" s="1" t="str">
        <x:v>21754</x:v>
      </x:c>
      <x:c r="B1817" s="9" t="d">
        <x:v>2011-11-17T00:00:00.000Z</x:v>
      </x:c>
      <x:c r="C1817" s="13" t="n">
        <x:v>32</x:v>
      </x:c>
    </x:row>
    <x:row r="1818" ht="20" customHeight="1">
      <x:c r="A1818" s="1" t="str">
        <x:v>21754</x:v>
      </x:c>
      <x:c r="B1818" s="9" t="d">
        <x:v>2011-11-18T00:00:00.000Z</x:v>
      </x:c>
      <x:c r="C1818" s="13" t="n">
        <x:v>3</x:v>
      </x:c>
    </x:row>
    <x:row r="1819" ht="20" customHeight="1">
      <x:c r="A1819" s="1" t="str">
        <x:v>21754</x:v>
      </x:c>
      <x:c r="B1819" s="9" t="d">
        <x:v>2011-11-19T00:00:00.000Z</x:v>
      </x:c>
      <x:c r="C1819" s="13" t="n">
        <x:v>0</x:v>
      </x:c>
    </x:row>
    <x:row r="1820" ht="20" customHeight="1">
      <x:c r="A1820" s="1" t="str">
        <x:v>21754</x:v>
      </x:c>
      <x:c r="B1820" s="9" t="d">
        <x:v>2011-11-20T00:00:00.000Z</x:v>
      </x:c>
      <x:c r="C1820" s="13" t="n">
        <x:v>13</x:v>
      </x:c>
    </x:row>
    <x:row r="1821" ht="20" customHeight="1">
      <x:c r="A1821" s="1" t="str">
        <x:v>21754</x:v>
      </x:c>
      <x:c r="B1821" s="9" t="d">
        <x:v>2011-11-21T00:00:00.000Z</x:v>
      </x:c>
      <x:c r="C1821" s="13" t="n">
        <x:v>6</x:v>
      </x:c>
    </x:row>
    <x:row r="1822" ht="20" customHeight="1">
      <x:c r="A1822" s="1" t="str">
        <x:v>21754</x:v>
      </x:c>
      <x:c r="B1822" s="9" t="d">
        <x:v>2011-11-22T00:00:00.000Z</x:v>
      </x:c>
      <x:c r="C1822" s="13" t="n">
        <x:v>8</x:v>
      </x:c>
    </x:row>
    <x:row r="1823" ht="20" customHeight="1">
      <x:c r="A1823" s="1" t="str">
        <x:v>21754</x:v>
      </x:c>
      <x:c r="B1823" s="9" t="d">
        <x:v>2011-11-23T00:00:00.000Z</x:v>
      </x:c>
      <x:c r="C1823" s="13" t="n">
        <x:v>14</x:v>
      </x:c>
    </x:row>
    <x:row r="1824" ht="20" customHeight="1">
      <x:c r="A1824" s="1" t="str">
        <x:v>21754</x:v>
      </x:c>
      <x:c r="B1824" s="9" t="d">
        <x:v>2011-11-24T00:00:00.000Z</x:v>
      </x:c>
      <x:c r="C1824" s="13" t="n">
        <x:v>7</x:v>
      </x:c>
    </x:row>
    <x:row r="1825" ht="20" customHeight="1">
      <x:c r="A1825" s="1" t="str">
        <x:v>21754</x:v>
      </x:c>
      <x:c r="B1825" s="9" t="d">
        <x:v>2011-11-25T00:00:00.000Z</x:v>
      </x:c>
      <x:c r="C1825" s="13" t="n">
        <x:v>18</x:v>
      </x:c>
    </x:row>
    <x:row r="1826" ht="20" customHeight="1">
      <x:c r="A1826" s="1" t="str">
        <x:v>21754</x:v>
      </x:c>
      <x:c r="B1826" s="9" t="d">
        <x:v>2011-11-26T00:00:00.000Z</x:v>
      </x:c>
      <x:c r="C1826" s="13" t="n">
        <x:v>0</x:v>
      </x:c>
    </x:row>
    <x:row r="1827" ht="20" customHeight="1">
      <x:c r="A1827" s="1" t="str">
        <x:v>21754</x:v>
      </x:c>
      <x:c r="B1827" s="9" t="d">
        <x:v>2011-11-27T00:00:00.000Z</x:v>
      </x:c>
      <x:c r="C1827" s="13" t="n">
        <x:v>5</x:v>
      </x:c>
    </x:row>
    <x:row r="1828" ht="20" customHeight="1">
      <x:c r="A1828" s="1" t="str">
        <x:v>21754</x:v>
      </x:c>
      <x:c r="B1828" s="9" t="d">
        <x:v>2011-11-28T00:00:00.000Z</x:v>
      </x:c>
      <x:c r="C1828" s="13" t="n">
        <x:v>3</x:v>
      </x:c>
    </x:row>
    <x:row r="1829" ht="20" customHeight="1">
      <x:c r="A1829" s="1" t="str">
        <x:v>21754</x:v>
      </x:c>
      <x:c r="B1829" s="9" t="d">
        <x:v>2011-11-29T00:00:00.000Z</x:v>
      </x:c>
      <x:c r="C1829" s="13" t="n">
        <x:v>15</x:v>
      </x:c>
    </x:row>
    <x:row r="1830" ht="20" customHeight="1">
      <x:c r="A1830" s="1" t="str">
        <x:v>21754</x:v>
      </x:c>
      <x:c r="B1830" s="9" t="d">
        <x:v>2011-11-30T00:00:00.000Z</x:v>
      </x:c>
      <x:c r="C1830" s="13" t="n">
        <x:v>4</x:v>
      </x:c>
    </x:row>
    <x:row r="1831" ht="20" customHeight="1">
      <x:c r="A1831" s="1" t="str">
        <x:v>22111</x:v>
      </x:c>
      <x:c r="B1831" s="9" t="d">
        <x:v>2010-12-01T00:00:00.000Z</x:v>
      </x:c>
      <x:c r="C1831" s="13" t="n">
        <x:v>46</x:v>
      </x:c>
    </x:row>
    <x:row r="1832" ht="20" customHeight="1">
      <x:c r="A1832" s="1" t="str">
        <x:v>22111</x:v>
      </x:c>
      <x:c r="B1832" s="9" t="d">
        <x:v>2010-12-02T00:00:00.000Z</x:v>
      </x:c>
      <x:c r="C1832" s="13" t="n">
        <x:v>18</x:v>
      </x:c>
    </x:row>
    <x:row r="1833" ht="20" customHeight="1">
      <x:c r="A1833" s="1" t="str">
        <x:v>22111</x:v>
      </x:c>
      <x:c r="B1833" s="9" t="d">
        <x:v>2010-12-03T00:00:00.000Z</x:v>
      </x:c>
      <x:c r="C1833" s="13" t="n">
        <x:v>63</x:v>
      </x:c>
    </x:row>
    <x:row r="1834" ht="20" customHeight="1">
      <x:c r="A1834" s="1" t="str">
        <x:v>22111</x:v>
      </x:c>
      <x:c r="B1834" s="9" t="d">
        <x:v>2010-12-04T00:00:00.000Z</x:v>
      </x:c>
      <x:c r="C1834" s="13" t="n">
        <x:v>0</x:v>
      </x:c>
    </x:row>
    <x:row r="1835" ht="20" customHeight="1">
      <x:c r="A1835" s="1" t="str">
        <x:v>22111</x:v>
      </x:c>
      <x:c r="B1835" s="9" t="d">
        <x:v>2010-12-05T00:00:00.000Z</x:v>
      </x:c>
      <x:c r="C1835" s="13" t="n">
        <x:v>49</x:v>
      </x:c>
    </x:row>
    <x:row r="1836" ht="20" customHeight="1">
      <x:c r="A1836" s="1" t="str">
        <x:v>22111</x:v>
      </x:c>
      <x:c r="B1836" s="9" t="d">
        <x:v>2010-12-06T00:00:00.000Z</x:v>
      </x:c>
      <x:c r="C1836" s="13" t="n">
        <x:v>39</x:v>
      </x:c>
    </x:row>
    <x:row r="1837" ht="20" customHeight="1">
      <x:c r="A1837" s="1" t="str">
        <x:v>22111</x:v>
      </x:c>
      <x:c r="B1837" s="9" t="d">
        <x:v>2010-12-07T00:00:00.000Z</x:v>
      </x:c>
      <x:c r="C1837" s="13" t="n">
        <x:v>45</x:v>
      </x:c>
    </x:row>
    <x:row r="1838" ht="20" customHeight="1">
      <x:c r="A1838" s="1" t="str">
        <x:v>22111</x:v>
      </x:c>
      <x:c r="B1838" s="9" t="d">
        <x:v>2010-12-08T00:00:00.000Z</x:v>
      </x:c>
      <x:c r="C1838" s="13" t="n">
        <x:v>65</x:v>
      </x:c>
    </x:row>
    <x:row r="1839" ht="20" customHeight="1">
      <x:c r="A1839" s="1" t="str">
        <x:v>22111</x:v>
      </x:c>
      <x:c r="B1839" s="9" t="d">
        <x:v>2010-12-09T00:00:00.000Z</x:v>
      </x:c>
      <x:c r="C1839" s="13" t="n">
        <x:v>62</x:v>
      </x:c>
    </x:row>
    <x:row r="1840" ht="20" customHeight="1">
      <x:c r="A1840" s="1" t="str">
        <x:v>22111</x:v>
      </x:c>
      <x:c r="B1840" s="9" t="d">
        <x:v>2010-12-10T00:00:00.000Z</x:v>
      </x:c>
      <x:c r="C1840" s="13" t="n">
        <x:v>54</x:v>
      </x:c>
    </x:row>
    <x:row r="1841" ht="20" customHeight="1">
      <x:c r="A1841" s="1" t="str">
        <x:v>22111</x:v>
      </x:c>
      <x:c r="B1841" s="9" t="d">
        <x:v>2010-12-11T00:00:00.000Z</x:v>
      </x:c>
      <x:c r="C1841" s="13" t="n">
        <x:v>0</x:v>
      </x:c>
    </x:row>
    <x:row r="1842" ht="20" customHeight="1">
      <x:c r="A1842" s="1" t="str">
        <x:v>22111</x:v>
      </x:c>
      <x:c r="B1842" s="9" t="d">
        <x:v>2010-12-12T00:00:00.000Z</x:v>
      </x:c>
      <x:c r="C1842" s="13" t="n">
        <x:v>13</x:v>
      </x:c>
    </x:row>
    <x:row r="1843" ht="20" customHeight="1">
      <x:c r="A1843" s="1" t="str">
        <x:v>22111</x:v>
      </x:c>
      <x:c r="B1843" s="9" t="d">
        <x:v>2010-12-13T00:00:00.000Z</x:v>
      </x:c>
      <x:c r="C1843" s="13" t="n">
        <x:v>53</x:v>
      </x:c>
    </x:row>
    <x:row r="1844" ht="20" customHeight="1">
      <x:c r="A1844" s="1" t="str">
        <x:v>22111</x:v>
      </x:c>
      <x:c r="B1844" s="9" t="d">
        <x:v>2010-12-14T00:00:00.000Z</x:v>
      </x:c>
      <x:c r="C1844" s="13" t="n">
        <x:v>48</x:v>
      </x:c>
    </x:row>
    <x:row r="1845" ht="20" customHeight="1">
      <x:c r="A1845" s="1" t="str">
        <x:v>22111</x:v>
      </x:c>
      <x:c r="B1845" s="9" t="d">
        <x:v>2010-12-15T00:00:00.000Z</x:v>
      </x:c>
      <x:c r="C1845" s="13" t="n">
        <x:v>94</x:v>
      </x:c>
    </x:row>
    <x:row r="1846" ht="20" customHeight="1">
      <x:c r="A1846" s="1" t="str">
        <x:v>22111</x:v>
      </x:c>
      <x:c r="B1846" s="9" t="d">
        <x:v>2010-12-16T00:00:00.000Z</x:v>
      </x:c>
      <x:c r="C1846" s="13" t="n">
        <x:v>27</x:v>
      </x:c>
    </x:row>
    <x:row r="1847" ht="20" customHeight="1">
      <x:c r="A1847" s="1" t="str">
        <x:v>22111</x:v>
      </x:c>
      <x:c r="B1847" s="9" t="d">
        <x:v>2010-12-17T00:00:00.000Z</x:v>
      </x:c>
      <x:c r="C1847" s="13" t="n">
        <x:v>79</x:v>
      </x:c>
    </x:row>
    <x:row r="1848" ht="20" customHeight="1">
      <x:c r="A1848" s="1" t="str">
        <x:v>22111</x:v>
      </x:c>
      <x:c r="B1848" s="9" t="d">
        <x:v>2010-12-18T00:00:00.000Z</x:v>
      </x:c>
      <x:c r="C1848" s="13" t="n">
        <x:v>0</x:v>
      </x:c>
    </x:row>
    <x:row r="1849" ht="20" customHeight="1">
      <x:c r="A1849" s="1" t="str">
        <x:v>22111</x:v>
      </x:c>
      <x:c r="B1849" s="9" t="d">
        <x:v>2010-12-19T00:00:00.000Z</x:v>
      </x:c>
      <x:c r="C1849" s="13" t="n">
        <x:v>10</x:v>
      </x:c>
    </x:row>
    <x:row r="1850" ht="20" customHeight="1">
      <x:c r="A1850" s="1" t="str">
        <x:v>22111</x:v>
      </x:c>
      <x:c r="B1850" s="9" t="d">
        <x:v>2010-12-20T00:00:00.000Z</x:v>
      </x:c>
      <x:c r="C1850" s="13" t="n">
        <x:v>133</x:v>
      </x:c>
    </x:row>
    <x:row r="1851" ht="20" customHeight="1">
      <x:c r="A1851" s="1" t="str">
        <x:v>22111</x:v>
      </x:c>
      <x:c r="B1851" s="9" t="d">
        <x:v>2010-12-21T00:00:00.000Z</x:v>
      </x:c>
      <x:c r="C1851" s="13" t="n">
        <x:v>29</x:v>
      </x:c>
    </x:row>
    <x:row r="1852" ht="20" customHeight="1">
      <x:c r="A1852" s="1" t="str">
        <x:v>22111</x:v>
      </x:c>
      <x:c r="B1852" s="9" t="d">
        <x:v>2010-12-22T00:00:00.000Z</x:v>
      </x:c>
      <x:c r="C1852" s="13" t="n">
        <x:v>10</x:v>
      </x:c>
    </x:row>
    <x:row r="1853" ht="20" customHeight="1">
      <x:c r="A1853" s="1" t="str">
        <x:v>22111</x:v>
      </x:c>
      <x:c r="B1853" s="9" t="d">
        <x:v>2010-12-23T00:00:00.000Z</x:v>
      </x:c>
      <x:c r="C1853" s="13" t="n">
        <x:v>19</x:v>
      </x:c>
    </x:row>
    <x:row r="1854" ht="20" customHeight="1">
      <x:c r="A1854" s="1" t="str">
        <x:v>22111</x:v>
      </x:c>
      <x:c r="B1854" s="9" t="d">
        <x:v>2010-12-24T00:00:00.000Z</x:v>
      </x:c>
      <x:c r="C1854" s="13" t="n">
        <x:v>0</x:v>
      </x:c>
    </x:row>
    <x:row r="1855" ht="20" customHeight="1">
      <x:c r="A1855" s="1" t="str">
        <x:v>22111</x:v>
      </x:c>
      <x:c r="B1855" s="9" t="d">
        <x:v>2010-12-25T00:00:00.000Z</x:v>
      </x:c>
      <x:c r="C1855" s="13" t="n">
        <x:v>0</x:v>
      </x:c>
    </x:row>
    <x:row r="1856" ht="20" customHeight="1">
      <x:c r="A1856" s="1" t="str">
        <x:v>22111</x:v>
      </x:c>
      <x:c r="B1856" s="9" t="d">
        <x:v>2010-12-26T00:00:00.000Z</x:v>
      </x:c>
      <x:c r="C1856" s="13" t="n">
        <x:v>0</x:v>
      </x:c>
    </x:row>
    <x:row r="1857" ht="20" customHeight="1">
      <x:c r="A1857" s="1" t="str">
        <x:v>22111</x:v>
      </x:c>
      <x:c r="B1857" s="9" t="d">
        <x:v>2010-12-27T00:00:00.000Z</x:v>
      </x:c>
      <x:c r="C1857" s="13" t="n">
        <x:v>0</x:v>
      </x:c>
    </x:row>
    <x:row r="1858" ht="20" customHeight="1">
      <x:c r="A1858" s="1" t="str">
        <x:v>22111</x:v>
      </x:c>
      <x:c r="B1858" s="9" t="d">
        <x:v>2010-12-28T00:00:00.000Z</x:v>
      </x:c>
      <x:c r="C1858" s="13" t="n">
        <x:v>0</x:v>
      </x:c>
    </x:row>
    <x:row r="1859" ht="20" customHeight="1">
      <x:c r="A1859" s="1" t="str">
        <x:v>22111</x:v>
      </x:c>
      <x:c r="B1859" s="9" t="d">
        <x:v>2010-12-29T00:00:00.000Z</x:v>
      </x:c>
      <x:c r="C1859" s="13" t="n">
        <x:v>0</x:v>
      </x:c>
    </x:row>
    <x:row r="1860" ht="20" customHeight="1">
      <x:c r="A1860" s="1" t="str">
        <x:v>22111</x:v>
      </x:c>
      <x:c r="B1860" s="9" t="d">
        <x:v>2010-12-30T00:00:00.000Z</x:v>
      </x:c>
      <x:c r="C1860" s="13" t="n">
        <x:v>0</x:v>
      </x:c>
    </x:row>
    <x:row r="1861" ht="20" customHeight="1">
      <x:c r="A1861" s="1" t="str">
        <x:v>22111</x:v>
      </x:c>
      <x:c r="B1861" s="9" t="d">
        <x:v>2010-12-31T00:00:00.000Z</x:v>
      </x:c>
      <x:c r="C1861" s="13" t="n">
        <x:v>0</x:v>
      </x:c>
    </x:row>
    <x:row r="1862" ht="20" customHeight="1">
      <x:c r="A1862" s="1" t="str">
        <x:v>22111</x:v>
      </x:c>
      <x:c r="B1862" s="9" t="d">
        <x:v>2011-01-01T00:00:00.000Z</x:v>
      </x:c>
      <x:c r="C1862" s="13" t="n">
        <x:v>0</x:v>
      </x:c>
    </x:row>
    <x:row r="1863" ht="20" customHeight="1">
      <x:c r="A1863" s="1" t="str">
        <x:v>22111</x:v>
      </x:c>
      <x:c r="B1863" s="9" t="d">
        <x:v>2011-01-02T00:00:00.000Z</x:v>
      </x:c>
      <x:c r="C1863" s="13" t="n">
        <x:v>0</x:v>
      </x:c>
    </x:row>
    <x:row r="1864" ht="20" customHeight="1">
      <x:c r="A1864" s="1" t="str">
        <x:v>22111</x:v>
      </x:c>
      <x:c r="B1864" s="9" t="d">
        <x:v>2011-01-03T00:00:00.000Z</x:v>
      </x:c>
      <x:c r="C1864" s="13" t="n">
        <x:v>0</x:v>
      </x:c>
    </x:row>
    <x:row r="1865" ht="20" customHeight="1">
      <x:c r="A1865" s="1" t="str">
        <x:v>22111</x:v>
      </x:c>
      <x:c r="B1865" s="9" t="d">
        <x:v>2011-01-04T00:00:00.000Z</x:v>
      </x:c>
      <x:c r="C1865" s="13" t="n">
        <x:v>5</x:v>
      </x:c>
    </x:row>
    <x:row r="1866" ht="20" customHeight="1">
      <x:c r="A1866" s="1" t="str">
        <x:v>22111</x:v>
      </x:c>
      <x:c r="B1866" s="9" t="d">
        <x:v>2011-01-05T00:00:00.000Z</x:v>
      </x:c>
      <x:c r="C1866" s="13" t="n">
        <x:v>0</x:v>
      </x:c>
    </x:row>
    <x:row r="1867" ht="20" customHeight="1">
      <x:c r="A1867" s="1" t="str">
        <x:v>22111</x:v>
      </x:c>
      <x:c r="B1867" s="9" t="d">
        <x:v>2011-01-06T00:00:00.000Z</x:v>
      </x:c>
      <x:c r="C1867" s="13" t="n">
        <x:v>28</x:v>
      </x:c>
    </x:row>
    <x:row r="1868" ht="20" customHeight="1">
      <x:c r="A1868" s="1" t="str">
        <x:v>22111</x:v>
      </x:c>
      <x:c r="B1868" s="9" t="d">
        <x:v>2011-01-07T00:00:00.000Z</x:v>
      </x:c>
      <x:c r="C1868" s="13" t="n">
        <x:v>3</x:v>
      </x:c>
    </x:row>
    <x:row r="1869" ht="20" customHeight="1">
      <x:c r="A1869" s="1" t="str">
        <x:v>22111</x:v>
      </x:c>
      <x:c r="B1869" s="9" t="d">
        <x:v>2011-01-08T00:00:00.000Z</x:v>
      </x:c>
      <x:c r="C1869" s="13" t="n">
        <x:v>0</x:v>
      </x:c>
    </x:row>
    <x:row r="1870" ht="20" customHeight="1">
      <x:c r="A1870" s="1" t="str">
        <x:v>22111</x:v>
      </x:c>
      <x:c r="B1870" s="9" t="d">
        <x:v>2011-01-09T00:00:00.000Z</x:v>
      </x:c>
      <x:c r="C1870" s="13" t="n">
        <x:v>82</x:v>
      </x:c>
    </x:row>
    <x:row r="1871" ht="20" customHeight="1">
      <x:c r="A1871" s="1" t="str">
        <x:v>22111</x:v>
      </x:c>
      <x:c r="B1871" s="9" t="d">
        <x:v>2011-01-10T00:00:00.000Z</x:v>
      </x:c>
      <x:c r="C1871" s="13" t="n">
        <x:v>6</x:v>
      </x:c>
    </x:row>
    <x:row r="1872" ht="20" customHeight="1">
      <x:c r="A1872" s="1" t="str">
        <x:v>22111</x:v>
      </x:c>
      <x:c r="B1872" s="9" t="d">
        <x:v>2011-01-11T00:00:00.000Z</x:v>
      </x:c>
      <x:c r="C1872" s="13" t="n">
        <x:v>16</x:v>
      </x:c>
    </x:row>
    <x:row r="1873" ht="20" customHeight="1">
      <x:c r="A1873" s="1" t="str">
        <x:v>22111</x:v>
      </x:c>
      <x:c r="B1873" s="9" t="d">
        <x:v>2011-01-12T00:00:00.000Z</x:v>
      </x:c>
      <x:c r="C1873" s="13" t="n">
        <x:v>25</x:v>
      </x:c>
    </x:row>
    <x:row r="1874" ht="20" customHeight="1">
      <x:c r="A1874" s="1" t="str">
        <x:v>22111</x:v>
      </x:c>
      <x:c r="B1874" s="9" t="d">
        <x:v>2011-01-13T00:00:00.000Z</x:v>
      </x:c>
      <x:c r="C1874" s="13" t="n">
        <x:v>32</x:v>
      </x:c>
    </x:row>
    <x:row r="1875" ht="20" customHeight="1">
      <x:c r="A1875" s="1" t="str">
        <x:v>22111</x:v>
      </x:c>
      <x:c r="B1875" s="9" t="d">
        <x:v>2011-01-14T00:00:00.000Z</x:v>
      </x:c>
      <x:c r="C1875" s="13" t="n">
        <x:v>13</x:v>
      </x:c>
    </x:row>
    <x:row r="1876" ht="20" customHeight="1">
      <x:c r="A1876" s="1" t="str">
        <x:v>22111</x:v>
      </x:c>
      <x:c r="B1876" s="9" t="d">
        <x:v>2011-01-15T00:00:00.000Z</x:v>
      </x:c>
      <x:c r="C1876" s="13" t="n">
        <x:v>0</x:v>
      </x:c>
    </x:row>
    <x:row r="1877" ht="20" customHeight="1">
      <x:c r="A1877" s="1" t="str">
        <x:v>22111</x:v>
      </x:c>
      <x:c r="B1877" s="9" t="d">
        <x:v>2011-01-16T00:00:00.000Z</x:v>
      </x:c>
      <x:c r="C1877" s="13" t="n">
        <x:v>0</x:v>
      </x:c>
    </x:row>
    <x:row r="1878" ht="20" customHeight="1">
      <x:c r="A1878" s="1" t="str">
        <x:v>22111</x:v>
      </x:c>
      <x:c r="B1878" s="9" t="d">
        <x:v>2011-01-17T00:00:00.000Z</x:v>
      </x:c>
      <x:c r="C1878" s="13" t="n">
        <x:v>14</x:v>
      </x:c>
    </x:row>
    <x:row r="1879" ht="20" customHeight="1">
      <x:c r="A1879" s="1" t="str">
        <x:v>22111</x:v>
      </x:c>
      <x:c r="B1879" s="9" t="d">
        <x:v>2011-01-18T00:00:00.000Z</x:v>
      </x:c>
      <x:c r="C1879" s="13" t="n">
        <x:v>9</x:v>
      </x:c>
    </x:row>
    <x:row r="1880" ht="20" customHeight="1">
      <x:c r="A1880" s="1" t="str">
        <x:v>22111</x:v>
      </x:c>
      <x:c r="B1880" s="9" t="d">
        <x:v>2011-01-19T00:00:00.000Z</x:v>
      </x:c>
      <x:c r="C1880" s="13" t="n">
        <x:v>2</x:v>
      </x:c>
    </x:row>
    <x:row r="1881" ht="20" customHeight="1">
      <x:c r="A1881" s="1" t="str">
        <x:v>22111</x:v>
      </x:c>
      <x:c r="B1881" s="9" t="d">
        <x:v>2011-01-20T00:00:00.000Z</x:v>
      </x:c>
      <x:c r="C1881" s="13" t="n">
        <x:v>2</x:v>
      </x:c>
    </x:row>
    <x:row r="1882" ht="20" customHeight="1">
      <x:c r="A1882" s="1" t="str">
        <x:v>22111</x:v>
      </x:c>
      <x:c r="B1882" s="9" t="d">
        <x:v>2011-01-21T00:00:00.000Z</x:v>
      </x:c>
      <x:c r="C1882" s="13" t="n">
        <x:v>37</x:v>
      </x:c>
    </x:row>
    <x:row r="1883" ht="20" customHeight="1">
      <x:c r="A1883" s="1" t="str">
        <x:v>22111</x:v>
      </x:c>
      <x:c r="B1883" s="9" t="d">
        <x:v>2011-01-22T00:00:00.000Z</x:v>
      </x:c>
      <x:c r="C1883" s="13" t="n">
        <x:v>0</x:v>
      </x:c>
    </x:row>
    <x:row r="1884" ht="20" customHeight="1">
      <x:c r="A1884" s="1" t="str">
        <x:v>22111</x:v>
      </x:c>
      <x:c r="B1884" s="9" t="d">
        <x:v>2011-01-23T00:00:00.000Z</x:v>
      </x:c>
      <x:c r="C1884" s="13" t="n">
        <x:v>2</x:v>
      </x:c>
    </x:row>
    <x:row r="1885" ht="20" customHeight="1">
      <x:c r="A1885" s="1" t="str">
        <x:v>22111</x:v>
      </x:c>
      <x:c r="B1885" s="9" t="d">
        <x:v>2011-01-24T00:00:00.000Z</x:v>
      </x:c>
      <x:c r="C1885" s="13" t="n">
        <x:v>1</x:v>
      </x:c>
    </x:row>
    <x:row r="1886" ht="20" customHeight="1">
      <x:c r="A1886" s="1" t="str">
        <x:v>22111</x:v>
      </x:c>
      <x:c r="B1886" s="9" t="d">
        <x:v>2011-01-25T00:00:00.000Z</x:v>
      </x:c>
      <x:c r="C1886" s="13" t="n">
        <x:v>0</x:v>
      </x:c>
    </x:row>
    <x:row r="1887" ht="20" customHeight="1">
      <x:c r="A1887" s="1" t="str">
        <x:v>22111</x:v>
      </x:c>
      <x:c r="B1887" s="9" t="d">
        <x:v>2011-01-26T00:00:00.000Z</x:v>
      </x:c>
      <x:c r="C1887" s="13" t="n">
        <x:v>25</x:v>
      </x:c>
    </x:row>
    <x:row r="1888" ht="20" customHeight="1">
      <x:c r="A1888" s="1" t="str">
        <x:v>22111</x:v>
      </x:c>
      <x:c r="B1888" s="9" t="d">
        <x:v>2011-01-27T00:00:00.000Z</x:v>
      </x:c>
      <x:c r="C1888" s="13" t="n">
        <x:v>16</x:v>
      </x:c>
    </x:row>
    <x:row r="1889" ht="20" customHeight="1">
      <x:c r="A1889" s="1" t="str">
        <x:v>22111</x:v>
      </x:c>
      <x:c r="B1889" s="9" t="d">
        <x:v>2011-01-28T00:00:00.000Z</x:v>
      </x:c>
      <x:c r="C1889" s="13" t="n">
        <x:v>1</x:v>
      </x:c>
    </x:row>
    <x:row r="1890" ht="20" customHeight="1">
      <x:c r="A1890" s="1" t="str">
        <x:v>22111</x:v>
      </x:c>
      <x:c r="B1890" s="9" t="d">
        <x:v>2011-01-29T00:00:00.000Z</x:v>
      </x:c>
      <x:c r="C1890" s="13" t="n">
        <x:v>0</x:v>
      </x:c>
    </x:row>
    <x:row r="1891" ht="20" customHeight="1">
      <x:c r="A1891" s="1" t="str">
        <x:v>22111</x:v>
      </x:c>
      <x:c r="B1891" s="9" t="d">
        <x:v>2011-01-30T00:00:00.000Z</x:v>
      </x:c>
      <x:c r="C1891" s="13" t="n">
        <x:v>0</x:v>
      </x:c>
    </x:row>
    <x:row r="1892" ht="20" customHeight="1">
      <x:c r="A1892" s="1" t="str">
        <x:v>22111</x:v>
      </x:c>
      <x:c r="B1892" s="9" t="d">
        <x:v>2011-01-31T00:00:00.000Z</x:v>
      </x:c>
      <x:c r="C1892" s="13" t="n">
        <x:v>8</x:v>
      </x:c>
    </x:row>
    <x:row r="1893" ht="20" customHeight="1">
      <x:c r="A1893" s="1" t="str">
        <x:v>22111</x:v>
      </x:c>
      <x:c r="B1893" s="9" t="d">
        <x:v>2011-02-01T00:00:00.000Z</x:v>
      </x:c>
      <x:c r="C1893" s="13" t="n">
        <x:v>0</x:v>
      </x:c>
    </x:row>
    <x:row r="1894" ht="20" customHeight="1">
      <x:c r="A1894" s="1" t="str">
        <x:v>22111</x:v>
      </x:c>
      <x:c r="B1894" s="9" t="d">
        <x:v>2011-02-02T00:00:00.000Z</x:v>
      </x:c>
      <x:c r="C1894" s="13" t="n">
        <x:v>0</x:v>
      </x:c>
    </x:row>
    <x:row r="1895" ht="20" customHeight="1">
      <x:c r="A1895" s="1" t="str">
        <x:v>22111</x:v>
      </x:c>
      <x:c r="B1895" s="9" t="d">
        <x:v>2011-02-03T00:00:00.000Z</x:v>
      </x:c>
      <x:c r="C1895" s="13" t="n">
        <x:v>0</x:v>
      </x:c>
    </x:row>
    <x:row r="1896" ht="20" customHeight="1">
      <x:c r="A1896" s="1" t="str">
        <x:v>22111</x:v>
      </x:c>
      <x:c r="B1896" s="9" t="d">
        <x:v>2011-02-04T00:00:00.000Z</x:v>
      </x:c>
      <x:c r="C1896" s="13" t="n">
        <x:v>1</x:v>
      </x:c>
    </x:row>
    <x:row r="1897" ht="20" customHeight="1">
      <x:c r="A1897" s="1" t="str">
        <x:v>22111</x:v>
      </x:c>
      <x:c r="B1897" s="9" t="d">
        <x:v>2011-02-05T00:00:00.000Z</x:v>
      </x:c>
      <x:c r="C1897" s="13" t="n">
        <x:v>0</x:v>
      </x:c>
    </x:row>
    <x:row r="1898" ht="20" customHeight="1">
      <x:c r="A1898" s="1" t="str">
        <x:v>22111</x:v>
      </x:c>
      <x:c r="B1898" s="9" t="d">
        <x:v>2011-02-06T00:00:00.000Z</x:v>
      </x:c>
      <x:c r="C1898" s="13" t="n">
        <x:v>0</x:v>
      </x:c>
    </x:row>
    <x:row r="1899" ht="20" customHeight="1">
      <x:c r="A1899" s="1" t="str">
        <x:v>22111</x:v>
      </x:c>
      <x:c r="B1899" s="9" t="d">
        <x:v>2011-02-07T00:00:00.000Z</x:v>
      </x:c>
      <x:c r="C1899" s="13" t="n">
        <x:v>3</x:v>
      </x:c>
    </x:row>
    <x:row r="1900" ht="20" customHeight="1">
      <x:c r="A1900" s="1" t="str">
        <x:v>22111</x:v>
      </x:c>
      <x:c r="B1900" s="9" t="d">
        <x:v>2011-02-08T00:00:00.000Z</x:v>
      </x:c>
      <x:c r="C1900" s="13" t="n">
        <x:v>2</x:v>
      </x:c>
    </x:row>
    <x:row r="1901" ht="20" customHeight="1">
      <x:c r="A1901" s="1" t="str">
        <x:v>22111</x:v>
      </x:c>
      <x:c r="B1901" s="9" t="d">
        <x:v>2011-02-09T00:00:00.000Z</x:v>
      </x:c>
      <x:c r="C1901" s="13" t="n">
        <x:v>0</x:v>
      </x:c>
    </x:row>
    <x:row r="1902" ht="20" customHeight="1">
      <x:c r="A1902" s="1" t="str">
        <x:v>22111</x:v>
      </x:c>
      <x:c r="B1902" s="9" t="d">
        <x:v>2011-02-10T00:00:00.000Z</x:v>
      </x:c>
      <x:c r="C1902" s="13" t="n">
        <x:v>0</x:v>
      </x:c>
    </x:row>
    <x:row r="1903" ht="20" customHeight="1">
      <x:c r="A1903" s="1" t="str">
        <x:v>22111</x:v>
      </x:c>
      <x:c r="B1903" s="9" t="d">
        <x:v>2011-02-11T00:00:00.000Z</x:v>
      </x:c>
      <x:c r="C1903" s="13" t="n">
        <x:v>5</x:v>
      </x:c>
    </x:row>
    <x:row r="1904" ht="20" customHeight="1">
      <x:c r="A1904" s="1" t="str">
        <x:v>22111</x:v>
      </x:c>
      <x:c r="B1904" s="9" t="d">
        <x:v>2011-02-12T00:00:00.000Z</x:v>
      </x:c>
      <x:c r="C1904" s="13" t="n">
        <x:v>0</x:v>
      </x:c>
    </x:row>
    <x:row r="1905" ht="20" customHeight="1">
      <x:c r="A1905" s="1" t="str">
        <x:v>22111</x:v>
      </x:c>
      <x:c r="B1905" s="9" t="d">
        <x:v>2011-02-13T00:00:00.000Z</x:v>
      </x:c>
      <x:c r="C1905" s="13" t="n">
        <x:v>0</x:v>
      </x:c>
    </x:row>
    <x:row r="1906" ht="20" customHeight="1">
      <x:c r="A1906" s="1" t="str">
        <x:v>22111</x:v>
      </x:c>
      <x:c r="B1906" s="9" t="d">
        <x:v>2011-02-14T00:00:00.000Z</x:v>
      </x:c>
      <x:c r="C1906" s="13" t="n">
        <x:v>6</x:v>
      </x:c>
    </x:row>
    <x:row r="1907" ht="20" customHeight="1">
      <x:c r="A1907" s="1" t="str">
        <x:v>22111</x:v>
      </x:c>
      <x:c r="B1907" s="9" t="d">
        <x:v>2011-02-15T00:00:00.000Z</x:v>
      </x:c>
      <x:c r="C1907" s="13" t="n">
        <x:v>0</x:v>
      </x:c>
    </x:row>
    <x:row r="1908" ht="20" customHeight="1">
      <x:c r="A1908" s="1" t="str">
        <x:v>22111</x:v>
      </x:c>
      <x:c r="B1908" s="9" t="d">
        <x:v>2011-02-16T00:00:00.000Z</x:v>
      </x:c>
      <x:c r="C1908" s="13" t="n">
        <x:v>0</x:v>
      </x:c>
    </x:row>
    <x:row r="1909" ht="20" customHeight="1">
      <x:c r="A1909" s="1" t="str">
        <x:v>22111</x:v>
      </x:c>
      <x:c r="B1909" s="9" t="d">
        <x:v>2011-02-17T00:00:00.000Z</x:v>
      </x:c>
      <x:c r="C1909" s="13" t="n">
        <x:v>5</x:v>
      </x:c>
    </x:row>
    <x:row r="1910" ht="20" customHeight="1">
      <x:c r="A1910" s="1" t="str">
        <x:v>22111</x:v>
      </x:c>
      <x:c r="B1910" s="9" t="d">
        <x:v>2011-02-18T00:00:00.000Z</x:v>
      </x:c>
      <x:c r="C1910" s="13" t="n">
        <x:v>1</x:v>
      </x:c>
    </x:row>
    <x:row r="1911" ht="20" customHeight="1">
      <x:c r="A1911" s="1" t="str">
        <x:v>22111</x:v>
      </x:c>
      <x:c r="B1911" s="9" t="d">
        <x:v>2011-02-19T00:00:00.000Z</x:v>
      </x:c>
      <x:c r="C1911" s="13" t="n">
        <x:v>0</x:v>
      </x:c>
    </x:row>
    <x:row r="1912" ht="20" customHeight="1">
      <x:c r="A1912" s="1" t="str">
        <x:v>22111</x:v>
      </x:c>
      <x:c r="B1912" s="9" t="d">
        <x:v>2011-02-20T00:00:00.000Z</x:v>
      </x:c>
      <x:c r="C1912" s="13" t="n">
        <x:v>0</x:v>
      </x:c>
    </x:row>
    <x:row r="1913" ht="20" customHeight="1">
      <x:c r="A1913" s="1" t="str">
        <x:v>22111</x:v>
      </x:c>
      <x:c r="B1913" s="9" t="d">
        <x:v>2011-02-21T00:00:00.000Z</x:v>
      </x:c>
      <x:c r="C1913" s="13" t="n">
        <x:v>3</x:v>
      </x:c>
    </x:row>
    <x:row r="1914" ht="20" customHeight="1">
      <x:c r="A1914" s="1" t="str">
        <x:v>22111</x:v>
      </x:c>
      <x:c r="B1914" s="9" t="d">
        <x:v>2011-02-22T00:00:00.000Z</x:v>
      </x:c>
      <x:c r="C1914" s="13" t="n">
        <x:v>0</x:v>
      </x:c>
    </x:row>
    <x:row r="1915" ht="20" customHeight="1">
      <x:c r="A1915" s="1" t="str">
        <x:v>22111</x:v>
      </x:c>
      <x:c r="B1915" s="9" t="d">
        <x:v>2011-02-23T00:00:00.000Z</x:v>
      </x:c>
      <x:c r="C1915" s="13" t="n">
        <x:v>1</x:v>
      </x:c>
    </x:row>
    <x:row r="1916" ht="20" customHeight="1">
      <x:c r="A1916" s="1" t="str">
        <x:v>22111</x:v>
      </x:c>
      <x:c r="B1916" s="9" t="d">
        <x:v>2011-02-24T00:00:00.000Z</x:v>
      </x:c>
      <x:c r="C1916" s="13" t="n">
        <x:v>3</x:v>
      </x:c>
    </x:row>
    <x:row r="1917" ht="20" customHeight="1">
      <x:c r="A1917" s="1" t="str">
        <x:v>22111</x:v>
      </x:c>
      <x:c r="B1917" s="9" t="d">
        <x:v>2011-02-25T00:00:00.000Z</x:v>
      </x:c>
      <x:c r="C1917" s="13" t="n">
        <x:v>3</x:v>
      </x:c>
    </x:row>
    <x:row r="1918" ht="20" customHeight="1">
      <x:c r="A1918" s="1" t="str">
        <x:v>22111</x:v>
      </x:c>
      <x:c r="B1918" s="9" t="d">
        <x:v>2011-02-26T00:00:00.000Z</x:v>
      </x:c>
      <x:c r="C1918" s="13" t="n">
        <x:v>0</x:v>
      </x:c>
    </x:row>
    <x:row r="1919" ht="20" customHeight="1">
      <x:c r="A1919" s="1" t="str">
        <x:v>22111</x:v>
      </x:c>
      <x:c r="B1919" s="9" t="d">
        <x:v>2011-02-27T00:00:00.000Z</x:v>
      </x:c>
      <x:c r="C1919" s="13" t="n">
        <x:v>3</x:v>
      </x:c>
    </x:row>
    <x:row r="1920" ht="20" customHeight="1">
      <x:c r="A1920" s="1" t="str">
        <x:v>22111</x:v>
      </x:c>
      <x:c r="B1920" s="9" t="d">
        <x:v>2011-02-28T00:00:00.000Z</x:v>
      </x:c>
      <x:c r="C1920" s="13" t="n">
        <x:v>1</x:v>
      </x:c>
    </x:row>
    <x:row r="1921" ht="20" customHeight="1">
      <x:c r="A1921" s="1" t="str">
        <x:v>22111</x:v>
      </x:c>
      <x:c r="B1921" s="9" t="d">
        <x:v>2011-03-01T00:00:00.000Z</x:v>
      </x:c>
      <x:c r="C1921" s="13" t="n">
        <x:v>0</x:v>
      </x:c>
    </x:row>
    <x:row r="1922" ht="20" customHeight="1">
      <x:c r="A1922" s="1" t="str">
        <x:v>22111</x:v>
      </x:c>
      <x:c r="B1922" s="9" t="d">
        <x:v>2011-03-02T00:00:00.000Z</x:v>
      </x:c>
      <x:c r="C1922" s="13" t="n">
        <x:v>0</x:v>
      </x:c>
    </x:row>
    <x:row r="1923" ht="20" customHeight="1">
      <x:c r="A1923" s="1" t="str">
        <x:v>22111</x:v>
      </x:c>
      <x:c r="B1923" s="9" t="d">
        <x:v>2011-03-03T00:00:00.000Z</x:v>
      </x:c>
      <x:c r="C1923" s="13" t="n">
        <x:v>1</x:v>
      </x:c>
    </x:row>
    <x:row r="1924" ht="20" customHeight="1">
      <x:c r="A1924" s="1" t="str">
        <x:v>22111</x:v>
      </x:c>
      <x:c r="B1924" s="9" t="d">
        <x:v>2011-03-04T00:00:00.000Z</x:v>
      </x:c>
      <x:c r="C1924" s="13" t="n">
        <x:v>0</x:v>
      </x:c>
    </x:row>
    <x:row r="1925" ht="20" customHeight="1">
      <x:c r="A1925" s="1" t="str">
        <x:v>22111</x:v>
      </x:c>
      <x:c r="B1925" s="9" t="d">
        <x:v>2011-03-05T00:00:00.000Z</x:v>
      </x:c>
      <x:c r="C1925" s="13" t="n">
        <x:v>0</x:v>
      </x:c>
    </x:row>
    <x:row r="1926" ht="20" customHeight="1">
      <x:c r="A1926" s="1" t="str">
        <x:v>22111</x:v>
      </x:c>
      <x:c r="B1926" s="9" t="d">
        <x:v>2011-03-06T00:00:00.000Z</x:v>
      </x:c>
      <x:c r="C1926" s="13" t="n">
        <x:v>0</x:v>
      </x:c>
    </x:row>
    <x:row r="1927" ht="20" customHeight="1">
      <x:c r="A1927" s="1" t="str">
        <x:v>22111</x:v>
      </x:c>
      <x:c r="B1927" s="9" t="d">
        <x:v>2011-03-07T00:00:00.000Z</x:v>
      </x:c>
      <x:c r="C1927" s="13" t="n">
        <x:v>3</x:v>
      </x:c>
    </x:row>
    <x:row r="1928" ht="20" customHeight="1">
      <x:c r="A1928" s="1" t="str">
        <x:v>22111</x:v>
      </x:c>
      <x:c r="B1928" s="9" t="d">
        <x:v>2011-03-08T00:00:00.000Z</x:v>
      </x:c>
      <x:c r="C1928" s="13" t="n">
        <x:v>0</x:v>
      </x:c>
    </x:row>
    <x:row r="1929" ht="20" customHeight="1">
      <x:c r="A1929" s="1" t="str">
        <x:v>22111</x:v>
      </x:c>
      <x:c r="B1929" s="9" t="d">
        <x:v>2011-03-09T00:00:00.000Z</x:v>
      </x:c>
      <x:c r="C1929" s="13" t="n">
        <x:v>1</x:v>
      </x:c>
    </x:row>
    <x:row r="1930" ht="20" customHeight="1">
      <x:c r="A1930" s="1" t="str">
        <x:v>22111</x:v>
      </x:c>
      <x:c r="B1930" s="9" t="d">
        <x:v>2011-03-10T00:00:00.000Z</x:v>
      </x:c>
      <x:c r="C1930" s="13" t="n">
        <x:v>0</x:v>
      </x:c>
    </x:row>
    <x:row r="1931" ht="20" customHeight="1">
      <x:c r="A1931" s="1" t="str">
        <x:v>22111</x:v>
      </x:c>
      <x:c r="B1931" s="9" t="d">
        <x:v>2011-03-11T00:00:00.000Z</x:v>
      </x:c>
      <x:c r="C1931" s="13" t="n">
        <x:v>0</x:v>
      </x:c>
    </x:row>
    <x:row r="1932" ht="20" customHeight="1">
      <x:c r="A1932" s="1" t="str">
        <x:v>22111</x:v>
      </x:c>
      <x:c r="B1932" s="9" t="d">
        <x:v>2011-03-12T00:00:00.000Z</x:v>
      </x:c>
      <x:c r="C1932" s="13" t="n">
        <x:v>0</x:v>
      </x:c>
    </x:row>
    <x:row r="1933" ht="20" customHeight="1">
      <x:c r="A1933" s="1" t="str">
        <x:v>22111</x:v>
      </x:c>
      <x:c r="B1933" s="9" t="d">
        <x:v>2011-03-13T00:00:00.000Z</x:v>
      </x:c>
      <x:c r="C1933" s="13" t="n">
        <x:v>0</x:v>
      </x:c>
    </x:row>
    <x:row r="1934" ht="20" customHeight="1">
      <x:c r="A1934" s="1" t="str">
        <x:v>22111</x:v>
      </x:c>
      <x:c r="B1934" s="9" t="d">
        <x:v>2011-03-14T00:00:00.000Z</x:v>
      </x:c>
      <x:c r="C1934" s="13" t="n">
        <x:v>0</x:v>
      </x:c>
    </x:row>
    <x:row r="1935" ht="20" customHeight="1">
      <x:c r="A1935" s="1" t="str">
        <x:v>22111</x:v>
      </x:c>
      <x:c r="B1935" s="9" t="d">
        <x:v>2011-03-15T00:00:00.000Z</x:v>
      </x:c>
      <x:c r="C1935" s="13" t="n">
        <x:v>0</x:v>
      </x:c>
    </x:row>
    <x:row r="1936" ht="20" customHeight="1">
      <x:c r="A1936" s="1" t="str">
        <x:v>22111</x:v>
      </x:c>
      <x:c r="B1936" s="9" t="d">
        <x:v>2011-03-16T00:00:00.000Z</x:v>
      </x:c>
      <x:c r="C1936" s="13" t="n">
        <x:v>0</x:v>
      </x:c>
    </x:row>
    <x:row r="1937" ht="20" customHeight="1">
      <x:c r="A1937" s="1" t="str">
        <x:v>22111</x:v>
      </x:c>
      <x:c r="B1937" s="9" t="d">
        <x:v>2011-03-17T00:00:00.000Z</x:v>
      </x:c>
      <x:c r="C1937" s="13" t="n">
        <x:v>1</x:v>
      </x:c>
    </x:row>
    <x:row r="1938" ht="20" customHeight="1">
      <x:c r="A1938" s="1" t="str">
        <x:v>22111</x:v>
      </x:c>
      <x:c r="B1938" s="9" t="d">
        <x:v>2011-03-18T00:00:00.000Z</x:v>
      </x:c>
      <x:c r="C1938" s="13" t="n">
        <x:v>0</x:v>
      </x:c>
    </x:row>
    <x:row r="1939" ht="20" customHeight="1">
      <x:c r="A1939" s="1" t="str">
        <x:v>22111</x:v>
      </x:c>
      <x:c r="B1939" s="9" t="d">
        <x:v>2011-03-19T00:00:00.000Z</x:v>
      </x:c>
      <x:c r="C1939" s="13" t="n">
        <x:v>0</x:v>
      </x:c>
    </x:row>
    <x:row r="1940" ht="20" customHeight="1">
      <x:c r="A1940" s="1" t="str">
        <x:v>22111</x:v>
      </x:c>
      <x:c r="B1940" s="9" t="d">
        <x:v>2011-03-20T00:00:00.000Z</x:v>
      </x:c>
      <x:c r="C1940" s="13" t="n">
        <x:v>2</x:v>
      </x:c>
    </x:row>
    <x:row r="1941" ht="20" customHeight="1">
      <x:c r="A1941" s="1" t="str">
        <x:v>22111</x:v>
      </x:c>
      <x:c r="B1941" s="9" t="d">
        <x:v>2011-03-21T00:00:00.000Z</x:v>
      </x:c>
      <x:c r="C1941" s="13" t="n">
        <x:v>0</x:v>
      </x:c>
    </x:row>
    <x:row r="1942" ht="20" customHeight="1">
      <x:c r="A1942" s="1" t="str">
        <x:v>22111</x:v>
      </x:c>
      <x:c r="B1942" s="9" t="d">
        <x:v>2011-03-22T00:00:00.000Z</x:v>
      </x:c>
      <x:c r="C1942" s="13" t="n">
        <x:v>0</x:v>
      </x:c>
    </x:row>
    <x:row r="1943" ht="20" customHeight="1">
      <x:c r="A1943" s="1" t="str">
        <x:v>22111</x:v>
      </x:c>
      <x:c r="B1943" s="9" t="d">
        <x:v>2011-03-23T00:00:00.000Z</x:v>
      </x:c>
      <x:c r="C1943" s="13" t="n">
        <x:v>0</x:v>
      </x:c>
    </x:row>
    <x:row r="1944" ht="20" customHeight="1">
      <x:c r="A1944" s="1" t="str">
        <x:v>22111</x:v>
      </x:c>
      <x:c r="B1944" s="9" t="d">
        <x:v>2011-03-24T00:00:00.000Z</x:v>
      </x:c>
      <x:c r="C1944" s="13" t="n">
        <x:v>0</x:v>
      </x:c>
    </x:row>
    <x:row r="1945" ht="20" customHeight="1">
      <x:c r="A1945" s="1" t="str">
        <x:v>22111</x:v>
      </x:c>
      <x:c r="B1945" s="9" t="d">
        <x:v>2011-03-25T00:00:00.000Z</x:v>
      </x:c>
      <x:c r="C1945" s="13" t="n">
        <x:v>0</x:v>
      </x:c>
    </x:row>
    <x:row r="1946" ht="20" customHeight="1">
      <x:c r="A1946" s="1" t="str">
        <x:v>22111</x:v>
      </x:c>
      <x:c r="B1946" s="9" t="d">
        <x:v>2011-03-26T00:00:00.000Z</x:v>
      </x:c>
      <x:c r="C1946" s="13" t="n">
        <x:v>0</x:v>
      </x:c>
    </x:row>
    <x:row r="1947" ht="20" customHeight="1">
      <x:c r="A1947" s="1" t="str">
        <x:v>22111</x:v>
      </x:c>
      <x:c r="B1947" s="9" t="d">
        <x:v>2011-03-27T00:00:00.000Z</x:v>
      </x:c>
      <x:c r="C1947" s="13" t="n">
        <x:v>1</x:v>
      </x:c>
    </x:row>
    <x:row r="1948" ht="20" customHeight="1">
      <x:c r="A1948" s="1" t="str">
        <x:v>22111</x:v>
      </x:c>
      <x:c r="B1948" s="9" t="d">
        <x:v>2011-03-28T00:00:00.000Z</x:v>
      </x:c>
      <x:c r="C1948" s="13" t="n">
        <x:v>0</x:v>
      </x:c>
    </x:row>
    <x:row r="1949" ht="20" customHeight="1">
      <x:c r="A1949" s="1" t="str">
        <x:v>22111</x:v>
      </x:c>
      <x:c r="B1949" s="9" t="d">
        <x:v>2011-03-29T00:00:00.000Z</x:v>
      </x:c>
      <x:c r="C1949" s="13" t="n">
        <x:v>3</x:v>
      </x:c>
    </x:row>
    <x:row r="1950" ht="20" customHeight="1">
      <x:c r="A1950" s="1" t="str">
        <x:v>22111</x:v>
      </x:c>
      <x:c r="B1950" s="9" t="d">
        <x:v>2011-03-30T00:00:00.000Z</x:v>
      </x:c>
      <x:c r="C1950" s="13" t="n">
        <x:v>0</x:v>
      </x:c>
    </x:row>
    <x:row r="1951" ht="20" customHeight="1">
      <x:c r="A1951" s="1" t="str">
        <x:v>22111</x:v>
      </x:c>
      <x:c r="B1951" s="9" t="d">
        <x:v>2011-03-31T00:00:00.000Z</x:v>
      </x:c>
      <x:c r="C1951" s="13" t="n">
        <x:v>1</x:v>
      </x:c>
    </x:row>
    <x:row r="1952" ht="20" customHeight="1">
      <x:c r="A1952" s="1" t="str">
        <x:v>22111</x:v>
      </x:c>
      <x:c r="B1952" s="9" t="d">
        <x:v>2011-04-01T00:00:00.000Z</x:v>
      </x:c>
      <x:c r="C1952" s="13" t="n">
        <x:v>0</x:v>
      </x:c>
    </x:row>
    <x:row r="1953" ht="20" customHeight="1">
      <x:c r="A1953" s="1" t="str">
        <x:v>22111</x:v>
      </x:c>
      <x:c r="B1953" s="9" t="d">
        <x:v>2011-04-02T00:00:00.000Z</x:v>
      </x:c>
      <x:c r="C1953" s="13" t="n">
        <x:v>0</x:v>
      </x:c>
    </x:row>
    <x:row r="1954" ht="20" customHeight="1">
      <x:c r="A1954" s="1" t="str">
        <x:v>22111</x:v>
      </x:c>
      <x:c r="B1954" s="9" t="d">
        <x:v>2011-04-03T00:00:00.000Z</x:v>
      </x:c>
      <x:c r="C1954" s="13" t="n">
        <x:v>0</x:v>
      </x:c>
    </x:row>
    <x:row r="1955" ht="20" customHeight="1">
      <x:c r="A1955" s="1" t="str">
        <x:v>22111</x:v>
      </x:c>
      <x:c r="B1955" s="9" t="d">
        <x:v>2011-04-04T00:00:00.000Z</x:v>
      </x:c>
      <x:c r="C1955" s="13" t="n">
        <x:v>0</x:v>
      </x:c>
    </x:row>
    <x:row r="1956" ht="20" customHeight="1">
      <x:c r="A1956" s="1" t="str">
        <x:v>22111</x:v>
      </x:c>
      <x:c r="B1956" s="9" t="d">
        <x:v>2011-04-05T00:00:00.000Z</x:v>
      </x:c>
      <x:c r="C1956" s="13" t="n">
        <x:v>0</x:v>
      </x:c>
    </x:row>
    <x:row r="1957" ht="20" customHeight="1">
      <x:c r="A1957" s="1" t="str">
        <x:v>22111</x:v>
      </x:c>
      <x:c r="B1957" s="9" t="d">
        <x:v>2011-04-06T00:00:00.000Z</x:v>
      </x:c>
      <x:c r="C1957" s="13" t="n">
        <x:v>4</x:v>
      </x:c>
    </x:row>
    <x:row r="1958" ht="20" customHeight="1">
      <x:c r="A1958" s="1" t="str">
        <x:v>22111</x:v>
      </x:c>
      <x:c r="B1958" s="9" t="d">
        <x:v>2011-04-07T00:00:00.000Z</x:v>
      </x:c>
      <x:c r="C1958" s="13" t="n">
        <x:v>0</x:v>
      </x:c>
    </x:row>
    <x:row r="1959" ht="20" customHeight="1">
      <x:c r="A1959" s="1" t="str">
        <x:v>22111</x:v>
      </x:c>
      <x:c r="B1959" s="9" t="d">
        <x:v>2011-04-08T00:00:00.000Z</x:v>
      </x:c>
      <x:c r="C1959" s="13" t="n">
        <x:v>0</x:v>
      </x:c>
    </x:row>
    <x:row r="1960" ht="20" customHeight="1">
      <x:c r="A1960" s="1" t="str">
        <x:v>22111</x:v>
      </x:c>
      <x:c r="B1960" s="9" t="d">
        <x:v>2011-04-09T00:00:00.000Z</x:v>
      </x:c>
      <x:c r="C1960" s="13" t="n">
        <x:v>0</x:v>
      </x:c>
    </x:row>
    <x:row r="1961" ht="20" customHeight="1">
      <x:c r="A1961" s="1" t="str">
        <x:v>22111</x:v>
      </x:c>
      <x:c r="B1961" s="9" t="d">
        <x:v>2011-04-10T00:00:00.000Z</x:v>
      </x:c>
      <x:c r="C1961" s="13" t="n">
        <x:v>0</x:v>
      </x:c>
    </x:row>
    <x:row r="1962" ht="20" customHeight="1">
      <x:c r="A1962" s="1" t="str">
        <x:v>22111</x:v>
      </x:c>
      <x:c r="B1962" s="9" t="d">
        <x:v>2011-04-11T00:00:00.000Z</x:v>
      </x:c>
      <x:c r="C1962" s="13" t="n">
        <x:v>0</x:v>
      </x:c>
    </x:row>
    <x:row r="1963" ht="20" customHeight="1">
      <x:c r="A1963" s="1" t="str">
        <x:v>22111</x:v>
      </x:c>
      <x:c r="B1963" s="9" t="d">
        <x:v>2011-04-12T00:00:00.000Z</x:v>
      </x:c>
      <x:c r="C1963" s="13" t="n">
        <x:v>0</x:v>
      </x:c>
    </x:row>
    <x:row r="1964" ht="20" customHeight="1">
      <x:c r="A1964" s="1" t="str">
        <x:v>22111</x:v>
      </x:c>
      <x:c r="B1964" s="9" t="d">
        <x:v>2011-04-13T00:00:00.000Z</x:v>
      </x:c>
      <x:c r="C1964" s="13" t="n">
        <x:v>0</x:v>
      </x:c>
    </x:row>
    <x:row r="1965" ht="20" customHeight="1">
      <x:c r="A1965" s="1" t="str">
        <x:v>22111</x:v>
      </x:c>
      <x:c r="B1965" s="9" t="d">
        <x:v>2011-04-14T00:00:00.000Z</x:v>
      </x:c>
      <x:c r="C1965" s="13" t="n">
        <x:v>0</x:v>
      </x:c>
    </x:row>
    <x:row r="1966" ht="20" customHeight="1">
      <x:c r="A1966" s="1" t="str">
        <x:v>22111</x:v>
      </x:c>
      <x:c r="B1966" s="9" t="d">
        <x:v>2011-04-15T00:00:00.000Z</x:v>
      </x:c>
      <x:c r="C1966" s="13" t="n">
        <x:v>0</x:v>
      </x:c>
    </x:row>
    <x:row r="1967" ht="20" customHeight="1">
      <x:c r="A1967" s="1" t="str">
        <x:v>22111</x:v>
      </x:c>
      <x:c r="B1967" s="9" t="d">
        <x:v>2011-04-16T00:00:00.000Z</x:v>
      </x:c>
      <x:c r="C1967" s="13" t="n">
        <x:v>0</x:v>
      </x:c>
    </x:row>
    <x:row r="1968" ht="20" customHeight="1">
      <x:c r="A1968" s="1" t="str">
        <x:v>22111</x:v>
      </x:c>
      <x:c r="B1968" s="9" t="d">
        <x:v>2011-04-17T00:00:00.000Z</x:v>
      </x:c>
      <x:c r="C1968" s="13" t="n">
        <x:v>0</x:v>
      </x:c>
    </x:row>
    <x:row r="1969" ht="20" customHeight="1">
      <x:c r="A1969" s="1" t="str">
        <x:v>22111</x:v>
      </x:c>
      <x:c r="B1969" s="9" t="d">
        <x:v>2011-04-18T00:00:00.000Z</x:v>
      </x:c>
      <x:c r="C1969" s="13" t="n">
        <x:v>1</x:v>
      </x:c>
    </x:row>
    <x:row r="1970" ht="20" customHeight="1">
      <x:c r="A1970" s="1" t="str">
        <x:v>22111</x:v>
      </x:c>
      <x:c r="B1970" s="9" t="d">
        <x:v>2011-04-19T00:00:00.000Z</x:v>
      </x:c>
      <x:c r="C1970" s="13" t="n">
        <x:v>3</x:v>
      </x:c>
    </x:row>
    <x:row r="1971" ht="20" customHeight="1">
      <x:c r="A1971" s="1" t="str">
        <x:v>22111</x:v>
      </x:c>
      <x:c r="B1971" s="9" t="d">
        <x:v>2011-04-20T00:00:00.000Z</x:v>
      </x:c>
      <x:c r="C1971" s="13" t="n">
        <x:v>0</x:v>
      </x:c>
    </x:row>
    <x:row r="1972" ht="20" customHeight="1">
      <x:c r="A1972" s="1" t="str">
        <x:v>22111</x:v>
      </x:c>
      <x:c r="B1972" s="9" t="d">
        <x:v>2011-04-21T00:00:00.000Z</x:v>
      </x:c>
      <x:c r="C1972" s="13" t="n">
        <x:v>3</x:v>
      </x:c>
    </x:row>
    <x:row r="1973" ht="20" customHeight="1">
      <x:c r="A1973" s="1" t="str">
        <x:v>22111</x:v>
      </x:c>
      <x:c r="B1973" s="9" t="d">
        <x:v>2011-04-22T00:00:00.000Z</x:v>
      </x:c>
      <x:c r="C1973" s="13" t="n">
        <x:v>0</x:v>
      </x:c>
    </x:row>
    <x:row r="1974" ht="20" customHeight="1">
      <x:c r="A1974" s="1" t="str">
        <x:v>22111</x:v>
      </x:c>
      <x:c r="B1974" s="9" t="d">
        <x:v>2011-04-23T00:00:00.000Z</x:v>
      </x:c>
      <x:c r="C1974" s="13" t="n">
        <x:v>0</x:v>
      </x:c>
    </x:row>
    <x:row r="1975" ht="20" customHeight="1">
      <x:c r="A1975" s="1" t="str">
        <x:v>22111</x:v>
      </x:c>
      <x:c r="B1975" s="9" t="d">
        <x:v>2011-04-24T00:00:00.000Z</x:v>
      </x:c>
      <x:c r="C1975" s="13" t="n">
        <x:v>0</x:v>
      </x:c>
    </x:row>
    <x:row r="1976" ht="20" customHeight="1">
      <x:c r="A1976" s="1" t="str">
        <x:v>22111</x:v>
      </x:c>
      <x:c r="B1976" s="9" t="d">
        <x:v>2011-04-25T00:00:00.000Z</x:v>
      </x:c>
      <x:c r="C1976" s="13" t="n">
        <x:v>0</x:v>
      </x:c>
    </x:row>
    <x:row r="1977" ht="20" customHeight="1">
      <x:c r="A1977" s="1" t="str">
        <x:v>22111</x:v>
      </x:c>
      <x:c r="B1977" s="9" t="d">
        <x:v>2011-04-26T00:00:00.000Z</x:v>
      </x:c>
      <x:c r="C1977" s="13" t="n">
        <x:v>0</x:v>
      </x:c>
    </x:row>
    <x:row r="1978" ht="20" customHeight="1">
      <x:c r="A1978" s="1" t="str">
        <x:v>22111</x:v>
      </x:c>
      <x:c r="B1978" s="9" t="d">
        <x:v>2011-04-27T00:00:00.000Z</x:v>
      </x:c>
      <x:c r="C1978" s="13" t="n">
        <x:v>0</x:v>
      </x:c>
    </x:row>
    <x:row r="1979" ht="20" customHeight="1">
      <x:c r="A1979" s="1" t="str">
        <x:v>22111</x:v>
      </x:c>
      <x:c r="B1979" s="9" t="d">
        <x:v>2011-04-28T00:00:00.000Z</x:v>
      </x:c>
      <x:c r="C1979" s="13" t="n">
        <x:v>0</x:v>
      </x:c>
    </x:row>
    <x:row r="1980" ht="20" customHeight="1">
      <x:c r="A1980" s="1" t="str">
        <x:v>22111</x:v>
      </x:c>
      <x:c r="B1980" s="9" t="d">
        <x:v>2011-04-29T00:00:00.000Z</x:v>
      </x:c>
      <x:c r="C1980" s="13" t="n">
        <x:v>0</x:v>
      </x:c>
    </x:row>
    <x:row r="1981" ht="20" customHeight="1">
      <x:c r="A1981" s="1" t="str">
        <x:v>22111</x:v>
      </x:c>
      <x:c r="B1981" s="9" t="d">
        <x:v>2011-04-30T00:00:00.000Z</x:v>
      </x:c>
      <x:c r="C1981" s="13" t="n">
        <x:v>0</x:v>
      </x:c>
    </x:row>
    <x:row r="1982" ht="20" customHeight="1">
      <x:c r="A1982" s="1" t="str">
        <x:v>22111</x:v>
      </x:c>
      <x:c r="B1982" s="9" t="d">
        <x:v>2011-05-01T00:00:00.000Z</x:v>
      </x:c>
      <x:c r="C1982" s="13" t="n">
        <x:v>0</x:v>
      </x:c>
    </x:row>
    <x:row r="1983" ht="20" customHeight="1">
      <x:c r="A1983" s="1" t="str">
        <x:v>22111</x:v>
      </x:c>
      <x:c r="B1983" s="9" t="d">
        <x:v>2011-05-02T00:00:00.000Z</x:v>
      </x:c>
      <x:c r="C1983" s="13" t="n">
        <x:v>0</x:v>
      </x:c>
    </x:row>
    <x:row r="1984" ht="20" customHeight="1">
      <x:c r="A1984" s="1" t="str">
        <x:v>22111</x:v>
      </x:c>
      <x:c r="B1984" s="9" t="d">
        <x:v>2011-05-03T00:00:00.000Z</x:v>
      </x:c>
      <x:c r="C1984" s="13" t="n">
        <x:v>1</x:v>
      </x:c>
    </x:row>
    <x:row r="1985" ht="20" customHeight="1">
      <x:c r="A1985" s="1" t="str">
        <x:v>22111</x:v>
      </x:c>
      <x:c r="B1985" s="9" t="d">
        <x:v>2011-05-04T00:00:00.000Z</x:v>
      </x:c>
      <x:c r="C1985" s="13" t="n">
        <x:v>30</x:v>
      </x:c>
    </x:row>
    <x:row r="1986" ht="20" customHeight="1">
      <x:c r="A1986" s="1" t="str">
        <x:v>22111</x:v>
      </x:c>
      <x:c r="B1986" s="9" t="d">
        <x:v>2011-05-05T00:00:00.000Z</x:v>
      </x:c>
      <x:c r="C1986" s="13" t="n">
        <x:v>0</x:v>
      </x:c>
    </x:row>
    <x:row r="1987" ht="20" customHeight="1">
      <x:c r="A1987" s="1" t="str">
        <x:v>22111</x:v>
      </x:c>
      <x:c r="B1987" s="9" t="d">
        <x:v>2011-05-06T00:00:00.000Z</x:v>
      </x:c>
      <x:c r="C1987" s="13" t="n">
        <x:v>0</x:v>
      </x:c>
    </x:row>
    <x:row r="1988" ht="20" customHeight="1">
      <x:c r="A1988" s="1" t="str">
        <x:v>22111</x:v>
      </x:c>
      <x:c r="B1988" s="9" t="d">
        <x:v>2011-05-07T00:00:00.000Z</x:v>
      </x:c>
      <x:c r="C1988" s="13" t="n">
        <x:v>0</x:v>
      </x:c>
    </x:row>
    <x:row r="1989" ht="20" customHeight="1">
      <x:c r="A1989" s="1" t="str">
        <x:v>22111</x:v>
      </x:c>
      <x:c r="B1989" s="9" t="d">
        <x:v>2011-05-08T00:00:00.000Z</x:v>
      </x:c>
      <x:c r="C1989" s="13" t="n">
        <x:v>0</x:v>
      </x:c>
    </x:row>
    <x:row r="1990" ht="20" customHeight="1">
      <x:c r="A1990" s="1" t="str">
        <x:v>22111</x:v>
      </x:c>
      <x:c r="B1990" s="9" t="d">
        <x:v>2011-05-09T00:00:00.000Z</x:v>
      </x:c>
      <x:c r="C1990" s="13" t="n">
        <x:v>1</x:v>
      </x:c>
    </x:row>
    <x:row r="1991" ht="20" customHeight="1">
      <x:c r="A1991" s="1" t="str">
        <x:v>22111</x:v>
      </x:c>
      <x:c r="B1991" s="9" t="d">
        <x:v>2011-05-10T00:00:00.000Z</x:v>
      </x:c>
      <x:c r="C1991" s="13" t="n">
        <x:v>0</x:v>
      </x:c>
    </x:row>
    <x:row r="1992" ht="20" customHeight="1">
      <x:c r="A1992" s="1" t="str">
        <x:v>22111</x:v>
      </x:c>
      <x:c r="B1992" s="9" t="d">
        <x:v>2011-05-11T00:00:00.000Z</x:v>
      </x:c>
      <x:c r="C1992" s="13" t="n">
        <x:v>0</x:v>
      </x:c>
    </x:row>
    <x:row r="1993" ht="20" customHeight="1">
      <x:c r="A1993" s="1" t="str">
        <x:v>22111</x:v>
      </x:c>
      <x:c r="B1993" s="9" t="d">
        <x:v>2011-05-12T00:00:00.000Z</x:v>
      </x:c>
      <x:c r="C1993" s="13" t="n">
        <x:v>6</x:v>
      </x:c>
    </x:row>
    <x:row r="1994" ht="20" customHeight="1">
      <x:c r="A1994" s="1" t="str">
        <x:v>22111</x:v>
      </x:c>
      <x:c r="B1994" s="9" t="d">
        <x:v>2011-05-13T00:00:00.000Z</x:v>
      </x:c>
      <x:c r="C1994" s="13" t="n">
        <x:v>0</x:v>
      </x:c>
    </x:row>
    <x:row r="1995" ht="20" customHeight="1">
      <x:c r="A1995" s="1" t="str">
        <x:v>22111</x:v>
      </x:c>
      <x:c r="B1995" s="9" t="d">
        <x:v>2011-05-14T00:00:00.000Z</x:v>
      </x:c>
      <x:c r="C1995" s="13" t="n">
        <x:v>0</x:v>
      </x:c>
    </x:row>
    <x:row r="1996" ht="20" customHeight="1">
      <x:c r="A1996" s="1" t="str">
        <x:v>22111</x:v>
      </x:c>
      <x:c r="B1996" s="9" t="d">
        <x:v>2011-05-15T00:00:00.000Z</x:v>
      </x:c>
      <x:c r="C1996" s="13" t="n">
        <x:v>0</x:v>
      </x:c>
    </x:row>
    <x:row r="1997" ht="20" customHeight="1">
      <x:c r="A1997" s="1" t="str">
        <x:v>22111</x:v>
      </x:c>
      <x:c r="B1997" s="9" t="d">
        <x:v>2011-05-16T00:00:00.000Z</x:v>
      </x:c>
      <x:c r="C1997" s="13" t="n">
        <x:v>24</x:v>
      </x:c>
    </x:row>
    <x:row r="1998" ht="20" customHeight="1">
      <x:c r="A1998" s="1" t="str">
        <x:v>22111</x:v>
      </x:c>
      <x:c r="B1998" s="9" t="d">
        <x:v>2011-05-17T00:00:00.000Z</x:v>
      </x:c>
      <x:c r="C1998" s="13" t="n">
        <x:v>7</x:v>
      </x:c>
    </x:row>
    <x:row r="1999" ht="20" customHeight="1">
      <x:c r="A1999" s="1" t="str">
        <x:v>22111</x:v>
      </x:c>
      <x:c r="B1999" s="9" t="d">
        <x:v>2011-05-18T00:00:00.000Z</x:v>
      </x:c>
      <x:c r="C1999" s="13" t="n">
        <x:v>0</x:v>
      </x:c>
    </x:row>
    <x:row r="2000" ht="20" customHeight="1">
      <x:c r="A2000" s="1" t="str">
        <x:v>22111</x:v>
      </x:c>
      <x:c r="B2000" s="9" t="d">
        <x:v>2011-05-19T00:00:00.000Z</x:v>
      </x:c>
      <x:c r="C2000" s="13" t="n">
        <x:v>0</x:v>
      </x:c>
    </x:row>
    <x:row r="2001" ht="20" customHeight="1">
      <x:c r="A2001" s="1" t="str">
        <x:v>22111</x:v>
      </x:c>
      <x:c r="B2001" s="9" t="d">
        <x:v>2011-05-20T00:00:00.000Z</x:v>
      </x:c>
      <x:c r="C2001" s="13" t="n">
        <x:v>0</x:v>
      </x:c>
    </x:row>
    <x:row r="2002" ht="20" customHeight="1">
      <x:c r="A2002" s="1" t="str">
        <x:v>22111</x:v>
      </x:c>
      <x:c r="B2002" s="9" t="d">
        <x:v>2011-05-21T00:00:00.000Z</x:v>
      </x:c>
      <x:c r="C2002" s="13" t="n">
        <x:v>0</x:v>
      </x:c>
    </x:row>
    <x:row r="2003" ht="20" customHeight="1">
      <x:c r="A2003" s="1" t="str">
        <x:v>22111</x:v>
      </x:c>
      <x:c r="B2003" s="9" t="d">
        <x:v>2011-05-22T00:00:00.000Z</x:v>
      </x:c>
      <x:c r="C2003" s="13" t="n">
        <x:v>2</x:v>
      </x:c>
    </x:row>
    <x:row r="2004" ht="20" customHeight="1">
      <x:c r="A2004" s="1" t="str">
        <x:v>22111</x:v>
      </x:c>
      <x:c r="B2004" s="9" t="d">
        <x:v>2011-05-23T00:00:00.000Z</x:v>
      </x:c>
      <x:c r="C2004" s="13" t="n">
        <x:v>0</x:v>
      </x:c>
    </x:row>
    <x:row r="2005" ht="20" customHeight="1">
      <x:c r="A2005" s="1" t="str">
        <x:v>22111</x:v>
      </x:c>
      <x:c r="B2005" s="9" t="d">
        <x:v>2011-05-24T00:00:00.000Z</x:v>
      </x:c>
      <x:c r="C2005" s="13" t="n">
        <x:v>1</x:v>
      </x:c>
    </x:row>
    <x:row r="2006" ht="20" customHeight="1">
      <x:c r="A2006" s="1" t="str">
        <x:v>22111</x:v>
      </x:c>
      <x:c r="B2006" s="9" t="d">
        <x:v>2011-05-25T00:00:00.000Z</x:v>
      </x:c>
      <x:c r="C2006" s="13" t="n">
        <x:v>0</x:v>
      </x:c>
    </x:row>
    <x:row r="2007" ht="20" customHeight="1">
      <x:c r="A2007" s="1" t="str">
        <x:v>22111</x:v>
      </x:c>
      <x:c r="B2007" s="9" t="d">
        <x:v>2011-05-26T00:00:00.000Z</x:v>
      </x:c>
      <x:c r="C2007" s="13" t="n">
        <x:v>0</x:v>
      </x:c>
    </x:row>
    <x:row r="2008" ht="20" customHeight="1">
      <x:c r="A2008" s="1" t="str">
        <x:v>22111</x:v>
      </x:c>
      <x:c r="B2008" s="9" t="d">
        <x:v>2011-05-27T00:00:00.000Z</x:v>
      </x:c>
      <x:c r="C2008" s="13" t="n">
        <x:v>0</x:v>
      </x:c>
    </x:row>
    <x:row r="2009" ht="20" customHeight="1">
      <x:c r="A2009" s="1" t="str">
        <x:v>22111</x:v>
      </x:c>
      <x:c r="B2009" s="9" t="d">
        <x:v>2011-05-28T00:00:00.000Z</x:v>
      </x:c>
      <x:c r="C2009" s="13" t="n">
        <x:v>0</x:v>
      </x:c>
    </x:row>
    <x:row r="2010" ht="20" customHeight="1">
      <x:c r="A2010" s="1" t="str">
        <x:v>22111</x:v>
      </x:c>
      <x:c r="B2010" s="9" t="d">
        <x:v>2011-05-29T00:00:00.000Z</x:v>
      </x:c>
      <x:c r="C2010" s="13" t="n">
        <x:v>0</x:v>
      </x:c>
    </x:row>
    <x:row r="2011" ht="20" customHeight="1">
      <x:c r="A2011" s="1" t="str">
        <x:v>22111</x:v>
      </x:c>
      <x:c r="B2011" s="9" t="d">
        <x:v>2011-05-30T00:00:00.000Z</x:v>
      </x:c>
      <x:c r="C2011" s="13" t="n">
        <x:v>0</x:v>
      </x:c>
    </x:row>
    <x:row r="2012" ht="20" customHeight="1">
      <x:c r="A2012" s="1" t="str">
        <x:v>22111</x:v>
      </x:c>
      <x:c r="B2012" s="9" t="d">
        <x:v>2011-05-31T00:00:00.000Z</x:v>
      </x:c>
      <x:c r="C2012" s="13" t="n">
        <x:v>3</x:v>
      </x:c>
    </x:row>
    <x:row r="2013" ht="20" customHeight="1">
      <x:c r="A2013" s="1" t="str">
        <x:v>22111</x:v>
      </x:c>
      <x:c r="B2013" s="9" t="d">
        <x:v>2011-06-01T00:00:00.000Z</x:v>
      </x:c>
      <x:c r="C2013" s="13" t="n">
        <x:v>0</x:v>
      </x:c>
    </x:row>
    <x:row r="2014" ht="20" customHeight="1">
      <x:c r="A2014" s="1" t="str">
        <x:v>22111</x:v>
      </x:c>
      <x:c r="B2014" s="9" t="d">
        <x:v>2011-06-02T00:00:00.000Z</x:v>
      </x:c>
      <x:c r="C2014" s="13" t="n">
        <x:v>0</x:v>
      </x:c>
    </x:row>
    <x:row r="2015" ht="20" customHeight="1">
      <x:c r="A2015" s="1" t="str">
        <x:v>22111</x:v>
      </x:c>
      <x:c r="B2015" s="9" t="d">
        <x:v>2011-06-03T00:00:00.000Z</x:v>
      </x:c>
      <x:c r="C2015" s="13" t="n">
        <x:v>0</x:v>
      </x:c>
    </x:row>
    <x:row r="2016" ht="20" customHeight="1">
      <x:c r="A2016" s="1" t="str">
        <x:v>22111</x:v>
      </x:c>
      <x:c r="B2016" s="9" t="d">
        <x:v>2011-06-04T00:00:00.000Z</x:v>
      </x:c>
      <x:c r="C2016" s="13" t="n">
        <x:v>0</x:v>
      </x:c>
    </x:row>
    <x:row r="2017" ht="20" customHeight="1">
      <x:c r="A2017" s="1" t="str">
        <x:v>22111</x:v>
      </x:c>
      <x:c r="B2017" s="9" t="d">
        <x:v>2011-06-05T00:00:00.000Z</x:v>
      </x:c>
      <x:c r="C2017" s="13" t="n">
        <x:v>0</x:v>
      </x:c>
    </x:row>
    <x:row r="2018" ht="20" customHeight="1">
      <x:c r="A2018" s="1" t="str">
        <x:v>22111</x:v>
      </x:c>
      <x:c r="B2018" s="9" t="d">
        <x:v>2011-06-06T00:00:00.000Z</x:v>
      </x:c>
      <x:c r="C2018" s="13" t="n">
        <x:v>9</x:v>
      </x:c>
    </x:row>
    <x:row r="2019" ht="20" customHeight="1">
      <x:c r="A2019" s="1" t="str">
        <x:v>22111</x:v>
      </x:c>
      <x:c r="B2019" s="9" t="d">
        <x:v>2011-06-07T00:00:00.000Z</x:v>
      </x:c>
      <x:c r="C2019" s="13" t="n">
        <x:v>0</x:v>
      </x:c>
    </x:row>
    <x:row r="2020" ht="20" customHeight="1">
      <x:c r="A2020" s="1" t="str">
        <x:v>22111</x:v>
      </x:c>
      <x:c r="B2020" s="9" t="d">
        <x:v>2011-06-08T00:00:00.000Z</x:v>
      </x:c>
      <x:c r="C2020" s="13" t="n">
        <x:v>0</x:v>
      </x:c>
    </x:row>
    <x:row r="2021" ht="20" customHeight="1">
      <x:c r="A2021" s="1" t="str">
        <x:v>22111</x:v>
      </x:c>
      <x:c r="B2021" s="9" t="d">
        <x:v>2011-06-09T00:00:00.000Z</x:v>
      </x:c>
      <x:c r="C2021" s="13" t="n">
        <x:v>0</x:v>
      </x:c>
    </x:row>
    <x:row r="2022" ht="20" customHeight="1">
      <x:c r="A2022" s="1" t="str">
        <x:v>22111</x:v>
      </x:c>
      <x:c r="B2022" s="9" t="d">
        <x:v>2011-06-10T00:00:00.000Z</x:v>
      </x:c>
      <x:c r="C2022" s="13" t="n">
        <x:v>0</x:v>
      </x:c>
    </x:row>
    <x:row r="2023" ht="20" customHeight="1">
      <x:c r="A2023" s="1" t="str">
        <x:v>22111</x:v>
      </x:c>
      <x:c r="B2023" s="9" t="d">
        <x:v>2011-06-11T00:00:00.000Z</x:v>
      </x:c>
      <x:c r="C2023" s="13" t="n">
        <x:v>0</x:v>
      </x:c>
    </x:row>
    <x:row r="2024" ht="20" customHeight="1">
      <x:c r="A2024" s="1" t="str">
        <x:v>22111</x:v>
      </x:c>
      <x:c r="B2024" s="9" t="d">
        <x:v>2011-06-12T00:00:00.000Z</x:v>
      </x:c>
      <x:c r="C2024" s="13" t="n">
        <x:v>0</x:v>
      </x:c>
    </x:row>
    <x:row r="2025" ht="20" customHeight="1">
      <x:c r="A2025" s="1" t="str">
        <x:v>22111</x:v>
      </x:c>
      <x:c r="B2025" s="9" t="d">
        <x:v>2011-06-13T00:00:00.000Z</x:v>
      </x:c>
      <x:c r="C2025" s="13" t="n">
        <x:v>0</x:v>
      </x:c>
    </x:row>
    <x:row r="2026" ht="20" customHeight="1">
      <x:c r="A2026" s="1" t="str">
        <x:v>22111</x:v>
      </x:c>
      <x:c r="B2026" s="9" t="d">
        <x:v>2011-06-14T00:00:00.000Z</x:v>
      </x:c>
      <x:c r="C2026" s="13" t="n">
        <x:v>0</x:v>
      </x:c>
    </x:row>
    <x:row r="2027" ht="20" customHeight="1">
      <x:c r="A2027" s="1" t="str">
        <x:v>22111</x:v>
      </x:c>
      <x:c r="B2027" s="9" t="d">
        <x:v>2011-06-15T00:00:00.000Z</x:v>
      </x:c>
      <x:c r="C2027" s="13" t="n">
        <x:v>0</x:v>
      </x:c>
    </x:row>
    <x:row r="2028" ht="20" customHeight="1">
      <x:c r="A2028" s="1" t="str">
        <x:v>22111</x:v>
      </x:c>
      <x:c r="B2028" s="9" t="d">
        <x:v>2011-06-16T00:00:00.000Z</x:v>
      </x:c>
      <x:c r="C2028" s="13" t="n">
        <x:v>1</x:v>
      </x:c>
    </x:row>
    <x:row r="2029" ht="20" customHeight="1">
      <x:c r="A2029" s="1" t="str">
        <x:v>22111</x:v>
      </x:c>
      <x:c r="B2029" s="9" t="d">
        <x:v>2011-06-17T00:00:00.000Z</x:v>
      </x:c>
      <x:c r="C2029" s="13" t="n">
        <x:v>0</x:v>
      </x:c>
    </x:row>
    <x:row r="2030" ht="20" customHeight="1">
      <x:c r="A2030" s="1" t="str">
        <x:v>22111</x:v>
      </x:c>
      <x:c r="B2030" s="9" t="d">
        <x:v>2011-06-18T00:00:00.000Z</x:v>
      </x:c>
      <x:c r="C2030" s="13" t="n">
        <x:v>0</x:v>
      </x:c>
    </x:row>
    <x:row r="2031" ht="20" customHeight="1">
      <x:c r="A2031" s="1" t="str">
        <x:v>22111</x:v>
      </x:c>
      <x:c r="B2031" s="9" t="d">
        <x:v>2011-06-19T00:00:00.000Z</x:v>
      </x:c>
      <x:c r="C2031" s="13" t="n">
        <x:v>0</x:v>
      </x:c>
    </x:row>
    <x:row r="2032" ht="20" customHeight="1">
      <x:c r="A2032" s="1" t="str">
        <x:v>22111</x:v>
      </x:c>
      <x:c r="B2032" s="9" t="d">
        <x:v>2011-06-20T00:00:00.000Z</x:v>
      </x:c>
      <x:c r="C2032" s="13" t="n">
        <x:v>1</x:v>
      </x:c>
    </x:row>
    <x:row r="2033" ht="20" customHeight="1">
      <x:c r="A2033" s="1" t="str">
        <x:v>22111</x:v>
      </x:c>
      <x:c r="B2033" s="9" t="d">
        <x:v>2011-06-21T00:00:00.000Z</x:v>
      </x:c>
      <x:c r="C2033" s="13" t="n">
        <x:v>1</x:v>
      </x:c>
    </x:row>
    <x:row r="2034" ht="20" customHeight="1">
      <x:c r="A2034" s="1" t="str">
        <x:v>22111</x:v>
      </x:c>
      <x:c r="B2034" s="9" t="d">
        <x:v>2011-06-22T00:00:00.000Z</x:v>
      </x:c>
      <x:c r="C2034" s="13" t="n">
        <x:v>24</x:v>
      </x:c>
    </x:row>
    <x:row r="2035" ht="20" customHeight="1">
      <x:c r="A2035" s="1" t="str">
        <x:v>22111</x:v>
      </x:c>
      <x:c r="B2035" s="9" t="d">
        <x:v>2011-06-23T00:00:00.000Z</x:v>
      </x:c>
      <x:c r="C2035" s="13" t="n">
        <x:v>0</x:v>
      </x:c>
    </x:row>
    <x:row r="2036" ht="20" customHeight="1">
      <x:c r="A2036" s="1" t="str">
        <x:v>22111</x:v>
      </x:c>
      <x:c r="B2036" s="9" t="d">
        <x:v>2011-06-24T00:00:00.000Z</x:v>
      </x:c>
      <x:c r="C2036" s="13" t="n">
        <x:v>3</x:v>
      </x:c>
    </x:row>
    <x:row r="2037" ht="20" customHeight="1">
      <x:c r="A2037" s="1" t="str">
        <x:v>22111</x:v>
      </x:c>
      <x:c r="B2037" s="9" t="d">
        <x:v>2011-06-25T00:00:00.000Z</x:v>
      </x:c>
      <x:c r="C2037" s="13" t="n">
        <x:v>0</x:v>
      </x:c>
    </x:row>
    <x:row r="2038" ht="20" customHeight="1">
      <x:c r="A2038" s="1" t="str">
        <x:v>22111</x:v>
      </x:c>
      <x:c r="B2038" s="9" t="d">
        <x:v>2011-06-26T00:00:00.000Z</x:v>
      </x:c>
      <x:c r="C2038" s="13" t="n">
        <x:v>0</x:v>
      </x:c>
    </x:row>
    <x:row r="2039" ht="20" customHeight="1">
      <x:c r="A2039" s="1" t="str">
        <x:v>22111</x:v>
      </x:c>
      <x:c r="B2039" s="9" t="d">
        <x:v>2011-06-27T00:00:00.000Z</x:v>
      </x:c>
      <x:c r="C2039" s="13" t="n">
        <x:v>0</x:v>
      </x:c>
    </x:row>
    <x:row r="2040" ht="20" customHeight="1">
      <x:c r="A2040" s="1" t="str">
        <x:v>22111</x:v>
      </x:c>
      <x:c r="B2040" s="9" t="d">
        <x:v>2011-06-28T00:00:00.000Z</x:v>
      </x:c>
      <x:c r="C2040" s="13" t="n">
        <x:v>0</x:v>
      </x:c>
    </x:row>
    <x:row r="2041" ht="20" customHeight="1">
      <x:c r="A2041" s="1" t="str">
        <x:v>22111</x:v>
      </x:c>
      <x:c r="B2041" s="9" t="d">
        <x:v>2011-06-29T00:00:00.000Z</x:v>
      </x:c>
      <x:c r="C2041" s="13" t="n">
        <x:v>0</x:v>
      </x:c>
    </x:row>
    <x:row r="2042" ht="20" customHeight="1">
      <x:c r="A2042" s="1" t="str">
        <x:v>22111</x:v>
      </x:c>
      <x:c r="B2042" s="9" t="d">
        <x:v>2011-06-30T00:00:00.000Z</x:v>
      </x:c>
      <x:c r="C2042" s="13" t="n">
        <x:v>0</x:v>
      </x:c>
    </x:row>
    <x:row r="2043" ht="20" customHeight="1">
      <x:c r="A2043" s="1" t="str">
        <x:v>22111</x:v>
      </x:c>
      <x:c r="B2043" s="9" t="d">
        <x:v>2011-07-01T00:00:00.000Z</x:v>
      </x:c>
      <x:c r="C2043" s="13" t="n">
        <x:v>0</x:v>
      </x:c>
    </x:row>
    <x:row r="2044" ht="20" customHeight="1">
      <x:c r="A2044" s="1" t="str">
        <x:v>22111</x:v>
      </x:c>
      <x:c r="B2044" s="9" t="d">
        <x:v>2011-07-02T00:00:00.000Z</x:v>
      </x:c>
      <x:c r="C2044" s="13" t="n">
        <x:v>0</x:v>
      </x:c>
    </x:row>
    <x:row r="2045" ht="20" customHeight="1">
      <x:c r="A2045" s="1" t="str">
        <x:v>22111</x:v>
      </x:c>
      <x:c r="B2045" s="9" t="d">
        <x:v>2011-07-03T00:00:00.000Z</x:v>
      </x:c>
      <x:c r="C2045" s="13" t="n">
        <x:v>1</x:v>
      </x:c>
    </x:row>
    <x:row r="2046" ht="20" customHeight="1">
      <x:c r="A2046" s="1" t="str">
        <x:v>22111</x:v>
      </x:c>
      <x:c r="B2046" s="9" t="d">
        <x:v>2011-07-04T00:00:00.000Z</x:v>
      </x:c>
      <x:c r="C2046" s="13" t="n">
        <x:v>0</x:v>
      </x:c>
    </x:row>
    <x:row r="2047" ht="20" customHeight="1">
      <x:c r="A2047" s="1" t="str">
        <x:v>22111</x:v>
      </x:c>
      <x:c r="B2047" s="9" t="d">
        <x:v>2011-07-05T00:00:00.000Z</x:v>
      </x:c>
      <x:c r="C2047" s="13" t="n">
        <x:v>0</x:v>
      </x:c>
    </x:row>
    <x:row r="2048" ht="20" customHeight="1">
      <x:c r="A2048" s="1" t="str">
        <x:v>22111</x:v>
      </x:c>
      <x:c r="B2048" s="9" t="d">
        <x:v>2011-07-06T00:00:00.000Z</x:v>
      </x:c>
      <x:c r="C2048" s="13" t="n">
        <x:v>0</x:v>
      </x:c>
    </x:row>
    <x:row r="2049" ht="20" customHeight="1">
      <x:c r="A2049" s="1" t="str">
        <x:v>22111</x:v>
      </x:c>
      <x:c r="B2049" s="9" t="d">
        <x:v>2011-07-07T00:00:00.000Z</x:v>
      </x:c>
      <x:c r="C2049" s="13" t="n">
        <x:v>0</x:v>
      </x:c>
    </x:row>
    <x:row r="2050" ht="20" customHeight="1">
      <x:c r="A2050" s="1" t="str">
        <x:v>22111</x:v>
      </x:c>
      <x:c r="B2050" s="9" t="d">
        <x:v>2011-07-08T00:00:00.000Z</x:v>
      </x:c>
      <x:c r="C2050" s="13" t="n">
        <x:v>0</x:v>
      </x:c>
    </x:row>
    <x:row r="2051" ht="20" customHeight="1">
      <x:c r="A2051" s="1" t="str">
        <x:v>22111</x:v>
      </x:c>
      <x:c r="B2051" s="9" t="d">
        <x:v>2011-07-09T00:00:00.000Z</x:v>
      </x:c>
      <x:c r="C2051" s="13" t="n">
        <x:v>0</x:v>
      </x:c>
    </x:row>
    <x:row r="2052" ht="20" customHeight="1">
      <x:c r="A2052" s="1" t="str">
        <x:v>22111</x:v>
      </x:c>
      <x:c r="B2052" s="9" t="d">
        <x:v>2011-07-10T00:00:00.000Z</x:v>
      </x:c>
      <x:c r="C2052" s="13" t="n">
        <x:v>0</x:v>
      </x:c>
    </x:row>
    <x:row r="2053" ht="20" customHeight="1">
      <x:c r="A2053" s="1" t="str">
        <x:v>22111</x:v>
      </x:c>
      <x:c r="B2053" s="9" t="d">
        <x:v>2011-07-11T00:00:00.000Z</x:v>
      </x:c>
      <x:c r="C2053" s="13" t="n">
        <x:v>0</x:v>
      </x:c>
    </x:row>
    <x:row r="2054" ht="20" customHeight="1">
      <x:c r="A2054" s="1" t="str">
        <x:v>22111</x:v>
      </x:c>
      <x:c r="B2054" s="9" t="d">
        <x:v>2011-07-12T00:00:00.000Z</x:v>
      </x:c>
      <x:c r="C2054" s="13" t="n">
        <x:v>1</x:v>
      </x:c>
    </x:row>
    <x:row r="2055" ht="20" customHeight="1">
      <x:c r="A2055" s="1" t="str">
        <x:v>22111</x:v>
      </x:c>
      <x:c r="B2055" s="9" t="d">
        <x:v>2011-07-13T00:00:00.000Z</x:v>
      </x:c>
      <x:c r="C2055" s="13" t="n">
        <x:v>0</x:v>
      </x:c>
    </x:row>
    <x:row r="2056" ht="20" customHeight="1">
      <x:c r="A2056" s="1" t="str">
        <x:v>22111</x:v>
      </x:c>
      <x:c r="B2056" s="9" t="d">
        <x:v>2011-07-14T00:00:00.000Z</x:v>
      </x:c>
      <x:c r="C2056" s="13" t="n">
        <x:v>0</x:v>
      </x:c>
    </x:row>
    <x:row r="2057" ht="20" customHeight="1">
      <x:c r="A2057" s="1" t="str">
        <x:v>22111</x:v>
      </x:c>
      <x:c r="B2057" s="9" t="d">
        <x:v>2011-07-15T00:00:00.000Z</x:v>
      </x:c>
      <x:c r="C2057" s="13" t="n">
        <x:v>0</x:v>
      </x:c>
    </x:row>
    <x:row r="2058" ht="20" customHeight="1">
      <x:c r="A2058" s="1" t="str">
        <x:v>22111</x:v>
      </x:c>
      <x:c r="B2058" s="9" t="d">
        <x:v>2011-07-16T00:00:00.000Z</x:v>
      </x:c>
      <x:c r="C2058" s="13" t="n">
        <x:v>0</x:v>
      </x:c>
    </x:row>
    <x:row r="2059" ht="20" customHeight="1">
      <x:c r="A2059" s="1" t="str">
        <x:v>22111</x:v>
      </x:c>
      <x:c r="B2059" s="9" t="d">
        <x:v>2011-07-17T00:00:00.000Z</x:v>
      </x:c>
      <x:c r="C2059" s="13" t="n">
        <x:v>0</x:v>
      </x:c>
    </x:row>
    <x:row r="2060" ht="20" customHeight="1">
      <x:c r="A2060" s="1" t="str">
        <x:v>22111</x:v>
      </x:c>
      <x:c r="B2060" s="9" t="d">
        <x:v>2011-07-18T00:00:00.000Z</x:v>
      </x:c>
      <x:c r="C2060" s="13" t="n">
        <x:v>0</x:v>
      </x:c>
    </x:row>
    <x:row r="2061" ht="20" customHeight="1">
      <x:c r="A2061" s="1" t="str">
        <x:v>22111</x:v>
      </x:c>
      <x:c r="B2061" s="9" t="d">
        <x:v>2011-07-19T00:00:00.000Z</x:v>
      </x:c>
      <x:c r="C2061" s="13" t="n">
        <x:v>75</x:v>
      </x:c>
    </x:row>
    <x:row r="2062" ht="20" customHeight="1">
      <x:c r="A2062" s="1" t="str">
        <x:v>22111</x:v>
      </x:c>
      <x:c r="B2062" s="9" t="d">
        <x:v>2011-07-20T00:00:00.000Z</x:v>
      </x:c>
      <x:c r="C2062" s="13" t="n">
        <x:v>3</x:v>
      </x:c>
    </x:row>
    <x:row r="2063" ht="20" customHeight="1">
      <x:c r="A2063" s="1" t="str">
        <x:v>22111</x:v>
      </x:c>
      <x:c r="B2063" s="9" t="d">
        <x:v>2011-07-21T00:00:00.000Z</x:v>
      </x:c>
      <x:c r="C2063" s="13" t="n">
        <x:v>1</x:v>
      </x:c>
    </x:row>
    <x:row r="2064" ht="20" customHeight="1">
      <x:c r="A2064" s="1" t="str">
        <x:v>22111</x:v>
      </x:c>
      <x:c r="B2064" s="9" t="d">
        <x:v>2011-07-22T00:00:00.000Z</x:v>
      </x:c>
      <x:c r="C2064" s="13" t="n">
        <x:v>0</x:v>
      </x:c>
    </x:row>
    <x:row r="2065" ht="20" customHeight="1">
      <x:c r="A2065" s="1" t="str">
        <x:v>22111</x:v>
      </x:c>
      <x:c r="B2065" s="9" t="d">
        <x:v>2011-07-23T00:00:00.000Z</x:v>
      </x:c>
      <x:c r="C2065" s="13" t="n">
        <x:v>0</x:v>
      </x:c>
    </x:row>
    <x:row r="2066" ht="20" customHeight="1">
      <x:c r="A2066" s="1" t="str">
        <x:v>22111</x:v>
      </x:c>
      <x:c r="B2066" s="9" t="d">
        <x:v>2011-07-24T00:00:00.000Z</x:v>
      </x:c>
      <x:c r="C2066" s="13" t="n">
        <x:v>2</x:v>
      </x:c>
    </x:row>
    <x:row r="2067" ht="20" customHeight="1">
      <x:c r="A2067" s="1" t="str">
        <x:v>22111</x:v>
      </x:c>
      <x:c r="B2067" s="9" t="d">
        <x:v>2011-07-25T00:00:00.000Z</x:v>
      </x:c>
      <x:c r="C2067" s="13" t="n">
        <x:v>0</x:v>
      </x:c>
    </x:row>
    <x:row r="2068" ht="20" customHeight="1">
      <x:c r="A2068" s="1" t="str">
        <x:v>22111</x:v>
      </x:c>
      <x:c r="B2068" s="9" t="d">
        <x:v>2011-07-26T00:00:00.000Z</x:v>
      </x:c>
      <x:c r="C2068" s="13" t="n">
        <x:v>3</x:v>
      </x:c>
    </x:row>
    <x:row r="2069" ht="20" customHeight="1">
      <x:c r="A2069" s="1" t="str">
        <x:v>22111</x:v>
      </x:c>
      <x:c r="B2069" s="9" t="d">
        <x:v>2011-07-27T00:00:00.000Z</x:v>
      </x:c>
      <x:c r="C2069" s="13" t="n">
        <x:v>0</x:v>
      </x:c>
    </x:row>
    <x:row r="2070" ht="20" customHeight="1">
      <x:c r="A2070" s="1" t="str">
        <x:v>22111</x:v>
      </x:c>
      <x:c r="B2070" s="9" t="d">
        <x:v>2011-07-28T00:00:00.000Z</x:v>
      </x:c>
      <x:c r="C2070" s="13" t="n">
        <x:v>48</x:v>
      </x:c>
    </x:row>
    <x:row r="2071" ht="20" customHeight="1">
      <x:c r="A2071" s="1" t="str">
        <x:v>22111</x:v>
      </x:c>
      <x:c r="B2071" s="9" t="d">
        <x:v>2011-07-29T00:00:00.000Z</x:v>
      </x:c>
      <x:c r="C2071" s="13" t="n">
        <x:v>0</x:v>
      </x:c>
    </x:row>
    <x:row r="2072" ht="20" customHeight="1">
      <x:c r="A2072" s="1" t="str">
        <x:v>22111</x:v>
      </x:c>
      <x:c r="B2072" s="9" t="d">
        <x:v>2011-07-30T00:00:00.000Z</x:v>
      </x:c>
      <x:c r="C2072" s="13" t="n">
        <x:v>0</x:v>
      </x:c>
    </x:row>
    <x:row r="2073" ht="20" customHeight="1">
      <x:c r="A2073" s="1" t="str">
        <x:v>22111</x:v>
      </x:c>
      <x:c r="B2073" s="9" t="d">
        <x:v>2011-07-31T00:00:00.000Z</x:v>
      </x:c>
      <x:c r="C2073" s="13" t="n">
        <x:v>0</x:v>
      </x:c>
    </x:row>
    <x:row r="2074" ht="20" customHeight="1">
      <x:c r="A2074" s="1" t="str">
        <x:v>22111</x:v>
      </x:c>
      <x:c r="B2074" s="9" t="d">
        <x:v>2011-08-01T00:00:00.000Z</x:v>
      </x:c>
      <x:c r="C2074" s="13" t="n">
        <x:v>0</x:v>
      </x:c>
    </x:row>
    <x:row r="2075" ht="20" customHeight="1">
      <x:c r="A2075" s="1" t="str">
        <x:v>22111</x:v>
      </x:c>
      <x:c r="B2075" s="9" t="d">
        <x:v>2011-08-02T00:00:00.000Z</x:v>
      </x:c>
      <x:c r="C2075" s="13" t="n">
        <x:v>4</x:v>
      </x:c>
    </x:row>
    <x:row r="2076" ht="20" customHeight="1">
      <x:c r="A2076" s="1" t="str">
        <x:v>22111</x:v>
      </x:c>
      <x:c r="B2076" s="9" t="d">
        <x:v>2011-08-03T00:00:00.000Z</x:v>
      </x:c>
      <x:c r="C2076" s="13" t="n">
        <x:v>6</x:v>
      </x:c>
    </x:row>
    <x:row r="2077" ht="20" customHeight="1">
      <x:c r="A2077" s="1" t="str">
        <x:v>22111</x:v>
      </x:c>
      <x:c r="B2077" s="9" t="d">
        <x:v>2011-08-04T00:00:00.000Z</x:v>
      </x:c>
      <x:c r="C2077" s="13" t="n">
        <x:v>2</x:v>
      </x:c>
    </x:row>
    <x:row r="2078" ht="20" customHeight="1">
      <x:c r="A2078" s="1" t="str">
        <x:v>22111</x:v>
      </x:c>
      <x:c r="B2078" s="9" t="d">
        <x:v>2011-08-05T00:00:00.000Z</x:v>
      </x:c>
      <x:c r="C2078" s="13" t="n">
        <x:v>0</x:v>
      </x:c>
    </x:row>
    <x:row r="2079" ht="20" customHeight="1">
      <x:c r="A2079" s="1" t="str">
        <x:v>22111</x:v>
      </x:c>
      <x:c r="B2079" s="9" t="d">
        <x:v>2011-08-06T00:00:00.000Z</x:v>
      </x:c>
      <x:c r="C2079" s="13" t="n">
        <x:v>0</x:v>
      </x:c>
    </x:row>
    <x:row r="2080" ht="20" customHeight="1">
      <x:c r="A2080" s="1" t="str">
        <x:v>22111</x:v>
      </x:c>
      <x:c r="B2080" s="9" t="d">
        <x:v>2011-08-07T00:00:00.000Z</x:v>
      </x:c>
      <x:c r="C2080" s="13" t="n">
        <x:v>0</x:v>
      </x:c>
    </x:row>
    <x:row r="2081" ht="20" customHeight="1">
      <x:c r="A2081" s="1" t="str">
        <x:v>22111</x:v>
      </x:c>
      <x:c r="B2081" s="9" t="d">
        <x:v>2011-08-08T00:00:00.000Z</x:v>
      </x:c>
      <x:c r="C2081" s="13" t="n">
        <x:v>0</x:v>
      </x:c>
    </x:row>
    <x:row r="2082" ht="20" customHeight="1">
      <x:c r="A2082" s="1" t="str">
        <x:v>22111</x:v>
      </x:c>
      <x:c r="B2082" s="9" t="d">
        <x:v>2011-08-09T00:00:00.000Z</x:v>
      </x:c>
      <x:c r="C2082" s="13" t="n">
        <x:v>6</x:v>
      </x:c>
    </x:row>
    <x:row r="2083" ht="20" customHeight="1">
      <x:c r="A2083" s="1" t="str">
        <x:v>22111</x:v>
      </x:c>
      <x:c r="B2083" s="9" t="d">
        <x:v>2011-08-10T00:00:00.000Z</x:v>
      </x:c>
      <x:c r="C2083" s="13" t="n">
        <x:v>0</x:v>
      </x:c>
    </x:row>
    <x:row r="2084" ht="20" customHeight="1">
      <x:c r="A2084" s="1" t="str">
        <x:v>22111</x:v>
      </x:c>
      <x:c r="B2084" s="9" t="d">
        <x:v>2011-08-11T00:00:00.000Z</x:v>
      </x:c>
      <x:c r="C2084" s="13" t="n">
        <x:v>0</x:v>
      </x:c>
    </x:row>
    <x:row r="2085" ht="20" customHeight="1">
      <x:c r="A2085" s="1" t="str">
        <x:v>22111</x:v>
      </x:c>
      <x:c r="B2085" s="9" t="d">
        <x:v>2011-08-12T00:00:00.000Z</x:v>
      </x:c>
      <x:c r="C2085" s="13" t="n">
        <x:v>4</x:v>
      </x:c>
    </x:row>
    <x:row r="2086" ht="20" customHeight="1">
      <x:c r="A2086" s="1" t="str">
        <x:v>22111</x:v>
      </x:c>
      <x:c r="B2086" s="9" t="d">
        <x:v>2011-08-13T00:00:00.000Z</x:v>
      </x:c>
      <x:c r="C2086" s="13" t="n">
        <x:v>0</x:v>
      </x:c>
    </x:row>
    <x:row r="2087" ht="20" customHeight="1">
      <x:c r="A2087" s="1" t="str">
        <x:v>22111</x:v>
      </x:c>
      <x:c r="B2087" s="9" t="d">
        <x:v>2011-08-14T00:00:00.000Z</x:v>
      </x:c>
      <x:c r="C2087" s="13" t="n">
        <x:v>0</x:v>
      </x:c>
    </x:row>
    <x:row r="2088" ht="20" customHeight="1">
      <x:c r="A2088" s="1" t="str">
        <x:v>22111</x:v>
      </x:c>
      <x:c r="B2088" s="9" t="d">
        <x:v>2011-08-15T00:00:00.000Z</x:v>
      </x:c>
      <x:c r="C2088" s="13" t="n">
        <x:v>5</x:v>
      </x:c>
    </x:row>
    <x:row r="2089" ht="20" customHeight="1">
      <x:c r="A2089" s="1" t="str">
        <x:v>22111</x:v>
      </x:c>
      <x:c r="B2089" s="9" t="d">
        <x:v>2011-08-16T00:00:00.000Z</x:v>
      </x:c>
      <x:c r="C2089" s="13" t="n">
        <x:v>12</x:v>
      </x:c>
    </x:row>
    <x:row r="2090" ht="20" customHeight="1">
      <x:c r="A2090" s="1" t="str">
        <x:v>22111</x:v>
      </x:c>
      <x:c r="B2090" s="9" t="d">
        <x:v>2011-08-17T00:00:00.000Z</x:v>
      </x:c>
      <x:c r="C2090" s="13" t="n">
        <x:v>0</x:v>
      </x:c>
    </x:row>
    <x:row r="2091" ht="20" customHeight="1">
      <x:c r="A2091" s="1" t="str">
        <x:v>22111</x:v>
      </x:c>
      <x:c r="B2091" s="9" t="d">
        <x:v>2011-08-18T00:00:00.000Z</x:v>
      </x:c>
      <x:c r="C2091" s="13" t="n">
        <x:v>14</x:v>
      </x:c>
    </x:row>
    <x:row r="2092" ht="20" customHeight="1">
      <x:c r="A2092" s="1" t="str">
        <x:v>22111</x:v>
      </x:c>
      <x:c r="B2092" s="9" t="d">
        <x:v>2011-08-19T00:00:00.000Z</x:v>
      </x:c>
      <x:c r="C2092" s="13" t="n">
        <x:v>0</x:v>
      </x:c>
    </x:row>
    <x:row r="2093" ht="20" customHeight="1">
      <x:c r="A2093" s="1" t="str">
        <x:v>22111</x:v>
      </x:c>
      <x:c r="B2093" s="9" t="d">
        <x:v>2011-08-20T00:00:00.000Z</x:v>
      </x:c>
      <x:c r="C2093" s="13" t="n">
        <x:v>0</x:v>
      </x:c>
    </x:row>
    <x:row r="2094" ht="20" customHeight="1">
      <x:c r="A2094" s="1" t="str">
        <x:v>22111</x:v>
      </x:c>
      <x:c r="B2094" s="9" t="d">
        <x:v>2011-08-21T00:00:00.000Z</x:v>
      </x:c>
      <x:c r="C2094" s="13" t="n">
        <x:v>3</x:v>
      </x:c>
    </x:row>
    <x:row r="2095" ht="20" customHeight="1">
      <x:c r="A2095" s="1" t="str">
        <x:v>22111</x:v>
      </x:c>
      <x:c r="B2095" s="9" t="d">
        <x:v>2011-08-22T00:00:00.000Z</x:v>
      </x:c>
      <x:c r="C2095" s="13" t="n">
        <x:v>12</x:v>
      </x:c>
    </x:row>
    <x:row r="2096" ht="20" customHeight="1">
      <x:c r="A2096" s="1" t="str">
        <x:v>22111</x:v>
      </x:c>
      <x:c r="B2096" s="9" t="d">
        <x:v>2011-08-23T00:00:00.000Z</x:v>
      </x:c>
      <x:c r="C2096" s="13" t="n">
        <x:v>10</x:v>
      </x:c>
    </x:row>
    <x:row r="2097" ht="20" customHeight="1">
      <x:c r="A2097" s="1" t="str">
        <x:v>22111</x:v>
      </x:c>
      <x:c r="B2097" s="9" t="d">
        <x:v>2011-08-24T00:00:00.000Z</x:v>
      </x:c>
      <x:c r="C2097" s="13" t="n">
        <x:v>12</x:v>
      </x:c>
    </x:row>
    <x:row r="2098" ht="20" customHeight="1">
      <x:c r="A2098" s="1" t="str">
        <x:v>22111</x:v>
      </x:c>
      <x:c r="B2098" s="9" t="d">
        <x:v>2011-08-25T00:00:00.000Z</x:v>
      </x:c>
      <x:c r="C2098" s="13" t="n">
        <x:v>3</x:v>
      </x:c>
    </x:row>
    <x:row r="2099" ht="20" customHeight="1">
      <x:c r="A2099" s="1" t="str">
        <x:v>22111</x:v>
      </x:c>
      <x:c r="B2099" s="9" t="d">
        <x:v>2011-08-26T00:00:00.000Z</x:v>
      </x:c>
      <x:c r="C2099" s="13" t="n">
        <x:v>33</x:v>
      </x:c>
    </x:row>
    <x:row r="2100" ht="20" customHeight="1">
      <x:c r="A2100" s="1" t="str">
        <x:v>22111</x:v>
      </x:c>
      <x:c r="B2100" s="9" t="d">
        <x:v>2011-08-27T00:00:00.000Z</x:v>
      </x:c>
      <x:c r="C2100" s="13" t="n">
        <x:v>0</x:v>
      </x:c>
    </x:row>
    <x:row r="2101" ht="20" customHeight="1">
      <x:c r="A2101" s="1" t="str">
        <x:v>22111</x:v>
      </x:c>
      <x:c r="B2101" s="9" t="d">
        <x:v>2011-08-28T00:00:00.000Z</x:v>
      </x:c>
      <x:c r="C2101" s="13" t="n">
        <x:v>0</x:v>
      </x:c>
    </x:row>
    <x:row r="2102" ht="20" customHeight="1">
      <x:c r="A2102" s="1" t="str">
        <x:v>22111</x:v>
      </x:c>
      <x:c r="B2102" s="9" t="d">
        <x:v>2011-08-29T00:00:00.000Z</x:v>
      </x:c>
      <x:c r="C2102" s="13" t="n">
        <x:v>0</x:v>
      </x:c>
    </x:row>
    <x:row r="2103" ht="20" customHeight="1">
      <x:c r="A2103" s="1" t="str">
        <x:v>22111</x:v>
      </x:c>
      <x:c r="B2103" s="9" t="d">
        <x:v>2011-08-30T00:00:00.000Z</x:v>
      </x:c>
      <x:c r="C2103" s="13" t="n">
        <x:v>13</x:v>
      </x:c>
    </x:row>
    <x:row r="2104" ht="20" customHeight="1">
      <x:c r="A2104" s="1" t="str">
        <x:v>22111</x:v>
      </x:c>
      <x:c r="B2104" s="9" t="d">
        <x:v>2011-08-31T00:00:00.000Z</x:v>
      </x:c>
      <x:c r="C2104" s="13" t="n">
        <x:v>6</x:v>
      </x:c>
    </x:row>
    <x:row r="2105" ht="20" customHeight="1">
      <x:c r="A2105" s="1" t="str">
        <x:v>22111</x:v>
      </x:c>
      <x:c r="B2105" s="9" t="d">
        <x:v>2011-09-01T00:00:00.000Z</x:v>
      </x:c>
      <x:c r="C2105" s="13" t="n">
        <x:v>9</x:v>
      </x:c>
    </x:row>
    <x:row r="2106" ht="20" customHeight="1">
      <x:c r="A2106" s="1" t="str">
        <x:v>22111</x:v>
      </x:c>
      <x:c r="B2106" s="9" t="d">
        <x:v>2011-09-02T00:00:00.000Z</x:v>
      </x:c>
      <x:c r="C2106" s="13" t="n">
        <x:v>9</x:v>
      </x:c>
    </x:row>
    <x:row r="2107" ht="20" customHeight="1">
      <x:c r="A2107" s="1" t="str">
        <x:v>22111</x:v>
      </x:c>
      <x:c r="B2107" s="9" t="d">
        <x:v>2011-09-03T00:00:00.000Z</x:v>
      </x:c>
      <x:c r="C2107" s="13" t="n">
        <x:v>0</x:v>
      </x:c>
    </x:row>
    <x:row r="2108" ht="20" customHeight="1">
      <x:c r="A2108" s="1" t="str">
        <x:v>22111</x:v>
      </x:c>
      <x:c r="B2108" s="9" t="d">
        <x:v>2011-09-04T00:00:00.000Z</x:v>
      </x:c>
      <x:c r="C2108" s="13" t="n">
        <x:v>6</x:v>
      </x:c>
    </x:row>
    <x:row r="2109" ht="20" customHeight="1">
      <x:c r="A2109" s="1" t="str">
        <x:v>22111</x:v>
      </x:c>
      <x:c r="B2109" s="9" t="d">
        <x:v>2011-09-05T00:00:00.000Z</x:v>
      </x:c>
      <x:c r="C2109" s="13" t="n">
        <x:v>75</x:v>
      </x:c>
    </x:row>
    <x:row r="2110" ht="20" customHeight="1">
      <x:c r="A2110" s="1" t="str">
        <x:v>22111</x:v>
      </x:c>
      <x:c r="B2110" s="9" t="d">
        <x:v>2011-09-06T00:00:00.000Z</x:v>
      </x:c>
      <x:c r="C2110" s="13" t="n">
        <x:v>2</x:v>
      </x:c>
    </x:row>
    <x:row r="2111" ht="20" customHeight="1">
      <x:c r="A2111" s="1" t="str">
        <x:v>22111</x:v>
      </x:c>
      <x:c r="B2111" s="9" t="d">
        <x:v>2011-09-07T00:00:00.000Z</x:v>
      </x:c>
      <x:c r="C2111" s="13" t="n">
        <x:v>5</x:v>
      </x:c>
    </x:row>
    <x:row r="2112" ht="20" customHeight="1">
      <x:c r="A2112" s="1" t="str">
        <x:v>22111</x:v>
      </x:c>
      <x:c r="B2112" s="9" t="d">
        <x:v>2011-09-08T00:00:00.000Z</x:v>
      </x:c>
      <x:c r="C2112" s="13" t="n">
        <x:v>8</x:v>
      </x:c>
    </x:row>
    <x:row r="2113" ht="20" customHeight="1">
      <x:c r="A2113" s="1" t="str">
        <x:v>22111</x:v>
      </x:c>
      <x:c r="B2113" s="9" t="d">
        <x:v>2011-09-09T00:00:00.000Z</x:v>
      </x:c>
      <x:c r="C2113" s="13" t="n">
        <x:v>16</x:v>
      </x:c>
    </x:row>
    <x:row r="2114" ht="20" customHeight="1">
      <x:c r="A2114" s="1" t="str">
        <x:v>22111</x:v>
      </x:c>
      <x:c r="B2114" s="9" t="d">
        <x:v>2011-09-10T00:00:00.000Z</x:v>
      </x:c>
      <x:c r="C2114" s="13" t="n">
        <x:v>0</x:v>
      </x:c>
    </x:row>
    <x:row r="2115" ht="20" customHeight="1">
      <x:c r="A2115" s="1" t="str">
        <x:v>22111</x:v>
      </x:c>
      <x:c r="B2115" s="9" t="d">
        <x:v>2011-09-11T00:00:00.000Z</x:v>
      </x:c>
      <x:c r="C2115" s="13" t="n">
        <x:v>11</x:v>
      </x:c>
    </x:row>
    <x:row r="2116" ht="20" customHeight="1">
      <x:c r="A2116" s="1" t="str">
        <x:v>22111</x:v>
      </x:c>
      <x:c r="B2116" s="9" t="d">
        <x:v>2011-09-12T00:00:00.000Z</x:v>
      </x:c>
      <x:c r="C2116" s="13" t="n">
        <x:v>1</x:v>
      </x:c>
    </x:row>
    <x:row r="2117" ht="20" customHeight="1">
      <x:c r="A2117" s="1" t="str">
        <x:v>22111</x:v>
      </x:c>
      <x:c r="B2117" s="9" t="d">
        <x:v>2011-09-13T00:00:00.000Z</x:v>
      </x:c>
      <x:c r="C2117" s="13" t="n">
        <x:v>18</x:v>
      </x:c>
    </x:row>
    <x:row r="2118" ht="20" customHeight="1">
      <x:c r="A2118" s="1" t="str">
        <x:v>22111</x:v>
      </x:c>
      <x:c r="B2118" s="9" t="d">
        <x:v>2011-09-14T00:00:00.000Z</x:v>
      </x:c>
      <x:c r="C2118" s="13" t="n">
        <x:v>35</x:v>
      </x:c>
    </x:row>
    <x:row r="2119" ht="20" customHeight="1">
      <x:c r="A2119" s="1" t="str">
        <x:v>22111</x:v>
      </x:c>
      <x:c r="B2119" s="9" t="d">
        <x:v>2011-09-15T00:00:00.000Z</x:v>
      </x:c>
      <x:c r="C2119" s="13" t="n">
        <x:v>43</x:v>
      </x:c>
    </x:row>
    <x:row r="2120" ht="20" customHeight="1">
      <x:c r="A2120" s="1" t="str">
        <x:v>22111</x:v>
      </x:c>
      <x:c r="B2120" s="9" t="d">
        <x:v>2011-09-16T00:00:00.000Z</x:v>
      </x:c>
      <x:c r="C2120" s="13" t="n">
        <x:v>4</x:v>
      </x:c>
    </x:row>
    <x:row r="2121" ht="20" customHeight="1">
      <x:c r="A2121" s="1" t="str">
        <x:v>22111</x:v>
      </x:c>
      <x:c r="B2121" s="9" t="d">
        <x:v>2011-09-17T00:00:00.000Z</x:v>
      </x:c>
      <x:c r="C2121" s="13" t="n">
        <x:v>0</x:v>
      </x:c>
    </x:row>
    <x:row r="2122" ht="20" customHeight="1">
      <x:c r="A2122" s="1" t="str">
        <x:v>22111</x:v>
      </x:c>
      <x:c r="B2122" s="9" t="d">
        <x:v>2011-09-18T00:00:00.000Z</x:v>
      </x:c>
      <x:c r="C2122" s="13" t="n">
        <x:v>6</x:v>
      </x:c>
    </x:row>
    <x:row r="2123" ht="20" customHeight="1">
      <x:c r="A2123" s="1" t="str">
        <x:v>22111</x:v>
      </x:c>
      <x:c r="B2123" s="9" t="d">
        <x:v>2011-09-19T00:00:00.000Z</x:v>
      </x:c>
      <x:c r="C2123" s="13" t="n">
        <x:v>30</x:v>
      </x:c>
    </x:row>
    <x:row r="2124" ht="20" customHeight="1">
      <x:c r="A2124" s="1" t="str">
        <x:v>22111</x:v>
      </x:c>
      <x:c r="B2124" s="9" t="d">
        <x:v>2011-09-20T00:00:00.000Z</x:v>
      </x:c>
      <x:c r="C2124" s="13" t="n">
        <x:v>555</x:v>
      </x:c>
    </x:row>
    <x:row r="2125" ht="20" customHeight="1">
      <x:c r="A2125" s="1" t="str">
        <x:v>22111</x:v>
      </x:c>
      <x:c r="B2125" s="9" t="d">
        <x:v>2011-09-21T00:00:00.000Z</x:v>
      </x:c>
      <x:c r="C2125" s="13" t="n">
        <x:v>7</x:v>
      </x:c>
    </x:row>
    <x:row r="2126" ht="20" customHeight="1">
      <x:c r="A2126" s="1" t="str">
        <x:v>22111</x:v>
      </x:c>
      <x:c r="B2126" s="9" t="d">
        <x:v>2011-09-22T00:00:00.000Z</x:v>
      </x:c>
      <x:c r="C2126" s="13" t="n">
        <x:v>62</x:v>
      </x:c>
    </x:row>
    <x:row r="2127" ht="20" customHeight="1">
      <x:c r="A2127" s="1" t="str">
        <x:v>22111</x:v>
      </x:c>
      <x:c r="B2127" s="9" t="d">
        <x:v>2011-09-23T00:00:00.000Z</x:v>
      </x:c>
      <x:c r="C2127" s="13" t="n">
        <x:v>29</x:v>
      </x:c>
    </x:row>
    <x:row r="2128" ht="20" customHeight="1">
      <x:c r="A2128" s="1" t="str">
        <x:v>22111</x:v>
      </x:c>
      <x:c r="B2128" s="9" t="d">
        <x:v>2011-09-24T00:00:00.000Z</x:v>
      </x:c>
      <x:c r="C2128" s="13" t="n">
        <x:v>0</x:v>
      </x:c>
    </x:row>
    <x:row r="2129" ht="20" customHeight="1">
      <x:c r="A2129" s="1" t="str">
        <x:v>22111</x:v>
      </x:c>
      <x:c r="B2129" s="9" t="d">
        <x:v>2011-09-25T00:00:00.000Z</x:v>
      </x:c>
      <x:c r="C2129" s="13" t="n">
        <x:v>47</x:v>
      </x:c>
    </x:row>
    <x:row r="2130" ht="20" customHeight="1">
      <x:c r="A2130" s="1" t="str">
        <x:v>22111</x:v>
      </x:c>
      <x:c r="B2130" s="9" t="d">
        <x:v>2011-09-26T00:00:00.000Z</x:v>
      </x:c>
      <x:c r="C2130" s="13" t="n">
        <x:v>15</x:v>
      </x:c>
    </x:row>
    <x:row r="2131" ht="20" customHeight="1">
      <x:c r="A2131" s="1" t="str">
        <x:v>22111</x:v>
      </x:c>
      <x:c r="B2131" s="9" t="d">
        <x:v>2011-09-27T00:00:00.000Z</x:v>
      </x:c>
      <x:c r="C2131" s="13" t="n">
        <x:v>20</x:v>
      </x:c>
    </x:row>
    <x:row r="2132" ht="20" customHeight="1">
      <x:c r="A2132" s="1" t="str">
        <x:v>22111</x:v>
      </x:c>
      <x:c r="B2132" s="9" t="d">
        <x:v>2011-09-28T00:00:00.000Z</x:v>
      </x:c>
      <x:c r="C2132" s="13" t="n">
        <x:v>10</x:v>
      </x:c>
    </x:row>
    <x:row r="2133" ht="20" customHeight="1">
      <x:c r="A2133" s="1" t="str">
        <x:v>22111</x:v>
      </x:c>
      <x:c r="B2133" s="9" t="d">
        <x:v>2011-09-29T00:00:00.000Z</x:v>
      </x:c>
      <x:c r="C2133" s="13" t="n">
        <x:v>29</x:v>
      </x:c>
    </x:row>
    <x:row r="2134" ht="20" customHeight="1">
      <x:c r="A2134" s="1" t="str">
        <x:v>22111</x:v>
      </x:c>
      <x:c r="B2134" s="9" t="d">
        <x:v>2011-09-30T00:00:00.000Z</x:v>
      </x:c>
      <x:c r="C2134" s="13" t="n">
        <x:v>36</x:v>
      </x:c>
    </x:row>
    <x:row r="2135" ht="20" customHeight="1">
      <x:c r="A2135" s="1" t="str">
        <x:v>22111</x:v>
      </x:c>
      <x:c r="B2135" s="9" t="d">
        <x:v>2011-10-01T00:00:00.000Z</x:v>
      </x:c>
      <x:c r="C2135" s="13" t="n">
        <x:v>0</x:v>
      </x:c>
    </x:row>
    <x:row r="2136" ht="20" customHeight="1">
      <x:c r="A2136" s="1" t="str">
        <x:v>22111</x:v>
      </x:c>
      <x:c r="B2136" s="9" t="d">
        <x:v>2011-10-02T00:00:00.000Z</x:v>
      </x:c>
      <x:c r="C2136" s="13" t="n">
        <x:v>12</x:v>
      </x:c>
    </x:row>
    <x:row r="2137" ht="20" customHeight="1">
      <x:c r="A2137" s="1" t="str">
        <x:v>22111</x:v>
      </x:c>
      <x:c r="B2137" s="9" t="d">
        <x:v>2011-10-03T00:00:00.000Z</x:v>
      </x:c>
      <x:c r="C2137" s="13" t="n">
        <x:v>24</x:v>
      </x:c>
    </x:row>
    <x:row r="2138" ht="20" customHeight="1">
      <x:c r="A2138" s="1" t="str">
        <x:v>22111</x:v>
      </x:c>
      <x:c r="B2138" s="9" t="d">
        <x:v>2011-10-04T00:00:00.000Z</x:v>
      </x:c>
      <x:c r="C2138" s="13" t="n">
        <x:v>25</x:v>
      </x:c>
    </x:row>
    <x:row r="2139" ht="20" customHeight="1">
      <x:c r="A2139" s="1" t="str">
        <x:v>22111</x:v>
      </x:c>
      <x:c r="B2139" s="9" t="d">
        <x:v>2011-10-05T00:00:00.000Z</x:v>
      </x:c>
      <x:c r="C2139" s="13" t="n">
        <x:v>6</x:v>
      </x:c>
    </x:row>
    <x:row r="2140" ht="20" customHeight="1">
      <x:c r="A2140" s="1" t="str">
        <x:v>22111</x:v>
      </x:c>
      <x:c r="B2140" s="9" t="d">
        <x:v>2011-10-06T00:00:00.000Z</x:v>
      </x:c>
      <x:c r="C2140" s="13" t="n">
        <x:v>18</x:v>
      </x:c>
    </x:row>
    <x:row r="2141" ht="20" customHeight="1">
      <x:c r="A2141" s="1" t="str">
        <x:v>22111</x:v>
      </x:c>
      <x:c r="B2141" s="9" t="d">
        <x:v>2011-10-07T00:00:00.000Z</x:v>
      </x:c>
      <x:c r="C2141" s="13" t="n">
        <x:v>4</x:v>
      </x:c>
    </x:row>
    <x:row r="2142" ht="20" customHeight="1">
      <x:c r="A2142" s="1" t="str">
        <x:v>22111</x:v>
      </x:c>
      <x:c r="B2142" s="9" t="d">
        <x:v>2011-10-08T00:00:00.000Z</x:v>
      </x:c>
      <x:c r="C2142" s="13" t="n">
        <x:v>0</x:v>
      </x:c>
    </x:row>
    <x:row r="2143" ht="20" customHeight="1">
      <x:c r="A2143" s="1" t="str">
        <x:v>22111</x:v>
      </x:c>
      <x:c r="B2143" s="9" t="d">
        <x:v>2011-10-09T00:00:00.000Z</x:v>
      </x:c>
      <x:c r="C2143" s="13" t="n">
        <x:v>8</x:v>
      </x:c>
    </x:row>
    <x:row r="2144" ht="20" customHeight="1">
      <x:c r="A2144" s="1" t="str">
        <x:v>22111</x:v>
      </x:c>
      <x:c r="B2144" s="9" t="d">
        <x:v>2011-10-10T00:00:00.000Z</x:v>
      </x:c>
      <x:c r="C2144" s="13" t="n">
        <x:v>22</x:v>
      </x:c>
    </x:row>
    <x:row r="2145" ht="20" customHeight="1">
      <x:c r="A2145" s="1" t="str">
        <x:v>22111</x:v>
      </x:c>
      <x:c r="B2145" s="9" t="d">
        <x:v>2011-10-11T00:00:00.000Z</x:v>
      </x:c>
      <x:c r="C2145" s="13" t="n">
        <x:v>8</x:v>
      </x:c>
    </x:row>
    <x:row r="2146" ht="20" customHeight="1">
      <x:c r="A2146" s="1" t="str">
        <x:v>22111</x:v>
      </x:c>
      <x:c r="B2146" s="9" t="d">
        <x:v>2011-10-12T00:00:00.000Z</x:v>
      </x:c>
      <x:c r="C2146" s="13" t="n">
        <x:v>9</x:v>
      </x:c>
    </x:row>
    <x:row r="2147" ht="20" customHeight="1">
      <x:c r="A2147" s="1" t="str">
        <x:v>22111</x:v>
      </x:c>
      <x:c r="B2147" s="9" t="d">
        <x:v>2011-10-13T00:00:00.000Z</x:v>
      </x:c>
      <x:c r="C2147" s="13" t="n">
        <x:v>8</x:v>
      </x:c>
    </x:row>
    <x:row r="2148" ht="20" customHeight="1">
      <x:c r="A2148" s="1" t="str">
        <x:v>22111</x:v>
      </x:c>
      <x:c r="B2148" s="9" t="d">
        <x:v>2011-10-14T00:00:00.000Z</x:v>
      </x:c>
      <x:c r="C2148" s="13" t="n">
        <x:v>7</x:v>
      </x:c>
    </x:row>
    <x:row r="2149" ht="20" customHeight="1">
      <x:c r="A2149" s="1" t="str">
        <x:v>22111</x:v>
      </x:c>
      <x:c r="B2149" s="9" t="d">
        <x:v>2011-10-15T00:00:00.000Z</x:v>
      </x:c>
      <x:c r="C2149" s="13" t="n">
        <x:v>0</x:v>
      </x:c>
    </x:row>
    <x:row r="2150" ht="20" customHeight="1">
      <x:c r="A2150" s="1" t="str">
        <x:v>22111</x:v>
      </x:c>
      <x:c r="B2150" s="9" t="d">
        <x:v>2011-10-16T00:00:00.000Z</x:v>
      </x:c>
      <x:c r="C2150" s="13" t="n">
        <x:v>39</x:v>
      </x:c>
    </x:row>
    <x:row r="2151" ht="20" customHeight="1">
      <x:c r="A2151" s="1" t="str">
        <x:v>22111</x:v>
      </x:c>
      <x:c r="B2151" s="9" t="d">
        <x:v>2011-10-17T00:00:00.000Z</x:v>
      </x:c>
      <x:c r="C2151" s="13" t="n">
        <x:v>11</x:v>
      </x:c>
    </x:row>
    <x:row r="2152" ht="20" customHeight="1">
      <x:c r="A2152" s="1" t="str">
        <x:v>22111</x:v>
      </x:c>
      <x:c r="B2152" s="9" t="d">
        <x:v>2011-10-18T00:00:00.000Z</x:v>
      </x:c>
      <x:c r="C2152" s="13" t="n">
        <x:v>19</x:v>
      </x:c>
    </x:row>
    <x:row r="2153" ht="20" customHeight="1">
      <x:c r="A2153" s="1" t="str">
        <x:v>22111</x:v>
      </x:c>
      <x:c r="B2153" s="9" t="d">
        <x:v>2011-10-19T00:00:00.000Z</x:v>
      </x:c>
      <x:c r="C2153" s="13" t="n">
        <x:v>45</x:v>
      </x:c>
    </x:row>
    <x:row r="2154" ht="20" customHeight="1">
      <x:c r="A2154" s="1" t="str">
        <x:v>22111</x:v>
      </x:c>
      <x:c r="B2154" s="9" t="d">
        <x:v>2011-10-20T00:00:00.000Z</x:v>
      </x:c>
      <x:c r="C2154" s="13" t="n">
        <x:v>30</x:v>
      </x:c>
    </x:row>
    <x:row r="2155" ht="20" customHeight="1">
      <x:c r="A2155" s="1" t="str">
        <x:v>22111</x:v>
      </x:c>
      <x:c r="B2155" s="9" t="d">
        <x:v>2011-10-21T00:00:00.000Z</x:v>
      </x:c>
      <x:c r="C2155" s="13" t="n">
        <x:v>11</x:v>
      </x:c>
    </x:row>
    <x:row r="2156" ht="20" customHeight="1">
      <x:c r="A2156" s="1" t="str">
        <x:v>22111</x:v>
      </x:c>
      <x:c r="B2156" s="9" t="d">
        <x:v>2011-10-22T00:00:00.000Z</x:v>
      </x:c>
      <x:c r="C2156" s="13" t="n">
        <x:v>0</x:v>
      </x:c>
    </x:row>
    <x:row r="2157" ht="20" customHeight="1">
      <x:c r="A2157" s="1" t="str">
        <x:v>22111</x:v>
      </x:c>
      <x:c r="B2157" s="9" t="d">
        <x:v>2011-10-23T00:00:00.000Z</x:v>
      </x:c>
      <x:c r="C2157" s="13" t="n">
        <x:v>14</x:v>
      </x:c>
    </x:row>
    <x:row r="2158" ht="20" customHeight="1">
      <x:c r="A2158" s="1" t="str">
        <x:v>22111</x:v>
      </x:c>
      <x:c r="B2158" s="9" t="d">
        <x:v>2011-10-24T00:00:00.000Z</x:v>
      </x:c>
      <x:c r="C2158" s="13" t="n">
        <x:v>4</x:v>
      </x:c>
    </x:row>
    <x:row r="2159" ht="20" customHeight="1">
      <x:c r="A2159" s="1" t="str">
        <x:v>22111</x:v>
      </x:c>
      <x:c r="B2159" s="9" t="d">
        <x:v>2011-10-25T00:00:00.000Z</x:v>
      </x:c>
      <x:c r="C2159" s="13" t="n">
        <x:v>9</x:v>
      </x:c>
    </x:row>
    <x:row r="2160" ht="20" customHeight="1">
      <x:c r="A2160" s="1" t="str">
        <x:v>22111</x:v>
      </x:c>
      <x:c r="B2160" s="9" t="d">
        <x:v>2011-10-26T00:00:00.000Z</x:v>
      </x:c>
      <x:c r="C2160" s="13" t="n">
        <x:v>27</x:v>
      </x:c>
    </x:row>
    <x:row r="2161" ht="20" customHeight="1">
      <x:c r="A2161" s="1" t="str">
        <x:v>22111</x:v>
      </x:c>
      <x:c r="B2161" s="9" t="d">
        <x:v>2011-10-27T00:00:00.000Z</x:v>
      </x:c>
      <x:c r="C2161" s="13" t="n">
        <x:v>12</x:v>
      </x:c>
    </x:row>
    <x:row r="2162" ht="20" customHeight="1">
      <x:c r="A2162" s="1" t="str">
        <x:v>22111</x:v>
      </x:c>
      <x:c r="B2162" s="9" t="d">
        <x:v>2011-10-28T00:00:00.000Z</x:v>
      </x:c>
      <x:c r="C2162" s="13" t="n">
        <x:v>37</x:v>
      </x:c>
    </x:row>
    <x:row r="2163" ht="20" customHeight="1">
      <x:c r="A2163" s="1" t="str">
        <x:v>22111</x:v>
      </x:c>
      <x:c r="B2163" s="9" t="d">
        <x:v>2011-10-29T00:00:00.000Z</x:v>
      </x:c>
      <x:c r="C2163" s="13" t="n">
        <x:v>0</x:v>
      </x:c>
    </x:row>
    <x:row r="2164" ht="20" customHeight="1">
      <x:c r="A2164" s="1" t="str">
        <x:v>22111</x:v>
      </x:c>
      <x:c r="B2164" s="9" t="d">
        <x:v>2011-10-30T00:00:00.000Z</x:v>
      </x:c>
      <x:c r="C2164" s="13" t="n">
        <x:v>15</x:v>
      </x:c>
    </x:row>
    <x:row r="2165" ht="20" customHeight="1">
      <x:c r="A2165" s="1" t="str">
        <x:v>22111</x:v>
      </x:c>
      <x:c r="B2165" s="9" t="d">
        <x:v>2011-10-31T00:00:00.000Z</x:v>
      </x:c>
      <x:c r="C2165" s="13" t="n">
        <x:v>17</x:v>
      </x:c>
    </x:row>
    <x:row r="2166" ht="20" customHeight="1">
      <x:c r="A2166" s="1" t="str">
        <x:v>22111</x:v>
      </x:c>
      <x:c r="B2166" s="9" t="d">
        <x:v>2011-11-01T00:00:00.000Z</x:v>
      </x:c>
      <x:c r="C2166" s="13" t="n">
        <x:v>30</x:v>
      </x:c>
    </x:row>
    <x:row r="2167" ht="20" customHeight="1">
      <x:c r="A2167" s="1" t="str">
        <x:v>22111</x:v>
      </x:c>
      <x:c r="B2167" s="9" t="d">
        <x:v>2011-11-02T00:00:00.000Z</x:v>
      </x:c>
      <x:c r="C2167" s="13" t="n">
        <x:v>6</x:v>
      </x:c>
    </x:row>
    <x:row r="2168" ht="20" customHeight="1">
      <x:c r="A2168" s="1" t="str">
        <x:v>22111</x:v>
      </x:c>
      <x:c r="B2168" s="9" t="d">
        <x:v>2011-11-03T00:00:00.000Z</x:v>
      </x:c>
      <x:c r="C2168" s="13" t="n">
        <x:v>16</x:v>
      </x:c>
    </x:row>
    <x:row r="2169" ht="20" customHeight="1">
      <x:c r="A2169" s="1" t="str">
        <x:v>22111</x:v>
      </x:c>
      <x:c r="B2169" s="9" t="d">
        <x:v>2011-11-04T00:00:00.000Z</x:v>
      </x:c>
      <x:c r="C2169" s="13" t="n">
        <x:v>47</x:v>
      </x:c>
    </x:row>
    <x:row r="2170" ht="20" customHeight="1">
      <x:c r="A2170" s="1" t="str">
        <x:v>22111</x:v>
      </x:c>
      <x:c r="B2170" s="9" t="d">
        <x:v>2011-11-05T00:00:00.000Z</x:v>
      </x:c>
      <x:c r="C2170" s="13" t="n">
        <x:v>0</x:v>
      </x:c>
    </x:row>
    <x:row r="2171" ht="20" customHeight="1">
      <x:c r="A2171" s="1" t="str">
        <x:v>22111</x:v>
      </x:c>
      <x:c r="B2171" s="9" t="d">
        <x:v>2011-11-06T00:00:00.000Z</x:v>
      </x:c>
      <x:c r="C2171" s="13" t="n">
        <x:v>19</x:v>
      </x:c>
    </x:row>
    <x:row r="2172" ht="20" customHeight="1">
      <x:c r="A2172" s="1" t="str">
        <x:v>22111</x:v>
      </x:c>
      <x:c r="B2172" s="9" t="d">
        <x:v>2011-11-07T00:00:00.000Z</x:v>
      </x:c>
      <x:c r="C2172" s="13" t="n">
        <x:v>52</x:v>
      </x:c>
    </x:row>
    <x:row r="2173" ht="20" customHeight="1">
      <x:c r="A2173" s="1" t="str">
        <x:v>22111</x:v>
      </x:c>
      <x:c r="B2173" s="9" t="d">
        <x:v>2011-11-08T00:00:00.000Z</x:v>
      </x:c>
      <x:c r="C2173" s="13" t="n">
        <x:v>36</x:v>
      </x:c>
    </x:row>
    <x:row r="2174" ht="20" customHeight="1">
      <x:c r="A2174" s="1" t="str">
        <x:v>22111</x:v>
      </x:c>
      <x:c r="B2174" s="9" t="d">
        <x:v>2011-11-09T00:00:00.000Z</x:v>
      </x:c>
      <x:c r="C2174" s="13" t="n">
        <x:v>42</x:v>
      </x:c>
    </x:row>
    <x:row r="2175" ht="20" customHeight="1">
      <x:c r="A2175" s="1" t="str">
        <x:v>22111</x:v>
      </x:c>
      <x:c r="B2175" s="9" t="d">
        <x:v>2011-11-10T00:00:00.000Z</x:v>
      </x:c>
      <x:c r="C2175" s="13" t="n">
        <x:v>79</x:v>
      </x:c>
    </x:row>
    <x:row r="2176" ht="20" customHeight="1">
      <x:c r="A2176" s="1" t="str">
        <x:v>22111</x:v>
      </x:c>
      <x:c r="B2176" s="9" t="d">
        <x:v>2011-11-11T00:00:00.000Z</x:v>
      </x:c>
      <x:c r="C2176" s="13" t="n">
        <x:v>52</x:v>
      </x:c>
    </x:row>
    <x:row r="2177" ht="20" customHeight="1">
      <x:c r="A2177" s="1" t="str">
        <x:v>22111</x:v>
      </x:c>
      <x:c r="B2177" s="9" t="d">
        <x:v>2011-11-12T00:00:00.000Z</x:v>
      </x:c>
      <x:c r="C2177" s="13" t="n">
        <x:v>0</x:v>
      </x:c>
    </x:row>
    <x:row r="2178" ht="20" customHeight="1">
      <x:c r="A2178" s="1" t="str">
        <x:v>22111</x:v>
      </x:c>
      <x:c r="B2178" s="9" t="d">
        <x:v>2011-11-13T00:00:00.000Z</x:v>
      </x:c>
      <x:c r="C2178" s="13" t="n">
        <x:v>8</x:v>
      </x:c>
    </x:row>
    <x:row r="2179" ht="20" customHeight="1">
      <x:c r="A2179" s="1" t="str">
        <x:v>22111</x:v>
      </x:c>
      <x:c r="B2179" s="9" t="d">
        <x:v>2011-11-14T00:00:00.000Z</x:v>
      </x:c>
      <x:c r="C2179" s="13" t="n">
        <x:v>47</x:v>
      </x:c>
    </x:row>
    <x:row r="2180" ht="20" customHeight="1">
      <x:c r="A2180" s="1" t="str">
        <x:v>22111</x:v>
      </x:c>
      <x:c r="B2180" s="9" t="d">
        <x:v>2011-11-15T00:00:00.000Z</x:v>
      </x:c>
      <x:c r="C2180" s="13" t="n">
        <x:v>36</x:v>
      </x:c>
    </x:row>
    <x:row r="2181" ht="20" customHeight="1">
      <x:c r="A2181" s="1" t="str">
        <x:v>22111</x:v>
      </x:c>
      <x:c r="B2181" s="9" t="d">
        <x:v>2011-11-16T00:00:00.000Z</x:v>
      </x:c>
      <x:c r="C2181" s="13" t="n">
        <x:v>125</x:v>
      </x:c>
    </x:row>
    <x:row r="2182" ht="20" customHeight="1">
      <x:c r="A2182" s="1" t="str">
        <x:v>22111</x:v>
      </x:c>
      <x:c r="B2182" s="9" t="d">
        <x:v>2011-11-17T00:00:00.000Z</x:v>
      </x:c>
      <x:c r="C2182" s="13" t="n">
        <x:v>46</x:v>
      </x:c>
    </x:row>
    <x:row r="2183" ht="20" customHeight="1">
      <x:c r="A2183" s="1" t="str">
        <x:v>22111</x:v>
      </x:c>
      <x:c r="B2183" s="9" t="d">
        <x:v>2011-11-18T00:00:00.000Z</x:v>
      </x:c>
      <x:c r="C2183" s="13" t="n">
        <x:v>24</x:v>
      </x:c>
    </x:row>
    <x:row r="2184" ht="20" customHeight="1">
      <x:c r="A2184" s="1" t="str">
        <x:v>22111</x:v>
      </x:c>
      <x:c r="B2184" s="9" t="d">
        <x:v>2011-11-19T00:00:00.000Z</x:v>
      </x:c>
      <x:c r="C2184" s="13" t="n">
        <x:v>0</x:v>
      </x:c>
    </x:row>
    <x:row r="2185" ht="20" customHeight="1">
      <x:c r="A2185" s="1" t="str">
        <x:v>22111</x:v>
      </x:c>
      <x:c r="B2185" s="9" t="d">
        <x:v>2011-11-20T00:00:00.000Z</x:v>
      </x:c>
      <x:c r="C2185" s="13" t="n">
        <x:v>17</x:v>
      </x:c>
    </x:row>
    <x:row r="2186" ht="20" customHeight="1">
      <x:c r="A2186" s="1" t="str">
        <x:v>22111</x:v>
      </x:c>
      <x:c r="B2186" s="9" t="d">
        <x:v>2011-11-21T00:00:00.000Z</x:v>
      </x:c>
      <x:c r="C2186" s="13" t="n">
        <x:v>10</x:v>
      </x:c>
    </x:row>
    <x:row r="2187" ht="20" customHeight="1">
      <x:c r="A2187" s="1" t="str">
        <x:v>22111</x:v>
      </x:c>
      <x:c r="B2187" s="9" t="d">
        <x:v>2011-11-22T00:00:00.000Z</x:v>
      </x:c>
      <x:c r="C2187" s="13" t="n">
        <x:v>30</x:v>
      </x:c>
    </x:row>
    <x:row r="2188" ht="20" customHeight="1">
      <x:c r="A2188" s="1" t="str">
        <x:v>22111</x:v>
      </x:c>
      <x:c r="B2188" s="9" t="d">
        <x:v>2011-11-23T00:00:00.000Z</x:v>
      </x:c>
      <x:c r="C2188" s="13" t="n">
        <x:v>83</x:v>
      </x:c>
    </x:row>
    <x:row r="2189" ht="20" customHeight="1">
      <x:c r="A2189" s="1" t="str">
        <x:v>22111</x:v>
      </x:c>
      <x:c r="B2189" s="9" t="d">
        <x:v>2011-11-24T00:00:00.000Z</x:v>
      </x:c>
      <x:c r="C2189" s="13" t="n">
        <x:v>10</x:v>
      </x:c>
    </x:row>
    <x:row r="2190" ht="20" customHeight="1">
      <x:c r="A2190" s="1" t="str">
        <x:v>22111</x:v>
      </x:c>
      <x:c r="B2190" s="9" t="d">
        <x:v>2011-11-25T00:00:00.000Z</x:v>
      </x:c>
      <x:c r="C2190" s="13" t="n">
        <x:v>7</x:v>
      </x:c>
    </x:row>
    <x:row r="2191" ht="20" customHeight="1">
      <x:c r="A2191" s="1" t="str">
        <x:v>22111</x:v>
      </x:c>
      <x:c r="B2191" s="9" t="d">
        <x:v>2011-11-26T00:00:00.000Z</x:v>
      </x:c>
      <x:c r="C2191" s="13" t="n">
        <x:v>0</x:v>
      </x:c>
    </x:row>
    <x:row r="2192" ht="20" customHeight="1">
      <x:c r="A2192" s="1" t="str">
        <x:v>22111</x:v>
      </x:c>
      <x:c r="B2192" s="9" t="d">
        <x:v>2011-11-27T00:00:00.000Z</x:v>
      </x:c>
      <x:c r="C2192" s="13" t="n">
        <x:v>20</x:v>
      </x:c>
    </x:row>
    <x:row r="2193" ht="20" customHeight="1">
      <x:c r="A2193" s="1" t="str">
        <x:v>22111</x:v>
      </x:c>
      <x:c r="B2193" s="9" t="d">
        <x:v>2011-11-28T00:00:00.000Z</x:v>
      </x:c>
      <x:c r="C2193" s="13" t="n">
        <x:v>63</x:v>
      </x:c>
    </x:row>
    <x:row r="2194" ht="20" customHeight="1">
      <x:c r="A2194" s="1" t="str">
        <x:v>22111</x:v>
      </x:c>
      <x:c r="B2194" s="9" t="d">
        <x:v>2011-11-29T00:00:00.000Z</x:v>
      </x:c>
      <x:c r="C2194" s="13" t="n">
        <x:v>53</x:v>
      </x:c>
    </x:row>
    <x:row r="2195" ht="20" customHeight="1">
      <x:c r="A2195" s="1" t="str">
        <x:v>22111</x:v>
      </x:c>
      <x:c r="B2195" s="9" t="d">
        <x:v>2011-11-30T00:00:00.000Z</x:v>
      </x:c>
      <x:c r="C2195" s="13" t="n">
        <x:v>24</x:v>
      </x:c>
    </x:row>
    <x:row r="2196" ht="20" customHeight="1">
      <x:c r="A2196" s="1" t="str">
        <x:v>22197</x:v>
      </x:c>
      <x:c r="B2196" s="9" t="d">
        <x:v>2010-12-01T00:00:00.000Z</x:v>
      </x:c>
      <x:c r="C2196" s="13" t="n">
        <x:v>271</x:v>
      </x:c>
    </x:row>
    <x:row r="2197" ht="20" customHeight="1">
      <x:c r="A2197" s="1" t="str">
        <x:v>22197</x:v>
      </x:c>
      <x:c r="B2197" s="9" t="d">
        <x:v>2010-12-02T00:00:00.000Z</x:v>
      </x:c>
      <x:c r="C2197" s="13" t="n">
        <x:v>74</x:v>
      </x:c>
    </x:row>
    <x:row r="2198" ht="20" customHeight="1">
      <x:c r="A2198" s="1" t="str">
        <x:v>22197</x:v>
      </x:c>
      <x:c r="B2198" s="9" t="d">
        <x:v>2010-12-03T00:00:00.000Z</x:v>
      </x:c>
      <x:c r="C2198" s="13" t="n">
        <x:v>67</x:v>
      </x:c>
    </x:row>
    <x:row r="2199" ht="20" customHeight="1">
      <x:c r="A2199" s="1" t="str">
        <x:v>22197</x:v>
      </x:c>
      <x:c r="B2199" s="9" t="d">
        <x:v>2010-12-04T00:00:00.000Z</x:v>
      </x:c>
      <x:c r="C2199" s="13" t="n">
        <x:v>0</x:v>
      </x:c>
    </x:row>
    <x:row r="2200" ht="20" customHeight="1">
      <x:c r="A2200" s="1" t="str">
        <x:v>22197</x:v>
      </x:c>
      <x:c r="B2200" s="9" t="d">
        <x:v>2010-12-05T00:00:00.000Z</x:v>
      </x:c>
      <x:c r="C2200" s="13" t="n">
        <x:v>81</x:v>
      </x:c>
    </x:row>
    <x:row r="2201" ht="20" customHeight="1">
      <x:c r="A2201" s="1" t="str">
        <x:v>22197</x:v>
      </x:c>
      <x:c r="B2201" s="9" t="d">
        <x:v>2010-12-06T00:00:00.000Z</x:v>
      </x:c>
      <x:c r="C2201" s="13" t="n">
        <x:v>265</x:v>
      </x:c>
    </x:row>
    <x:row r="2202" ht="20" customHeight="1">
      <x:c r="A2202" s="1" t="str">
        <x:v>22197</x:v>
      </x:c>
      <x:c r="B2202" s="9" t="d">
        <x:v>2010-12-07T00:00:00.000Z</x:v>
      </x:c>
      <x:c r="C2202" s="13" t="n">
        <x:v>130</x:v>
      </x:c>
    </x:row>
    <x:row r="2203" ht="20" customHeight="1">
      <x:c r="A2203" s="1" t="str">
        <x:v>22197</x:v>
      </x:c>
      <x:c r="B2203" s="9" t="d">
        <x:v>2010-12-08T00:00:00.000Z</x:v>
      </x:c>
      <x:c r="C2203" s="13" t="n">
        <x:v>213</x:v>
      </x:c>
    </x:row>
    <x:row r="2204" ht="20" customHeight="1">
      <x:c r="A2204" s="1" t="str">
        <x:v>22197</x:v>
      </x:c>
      <x:c r="B2204" s="9" t="d">
        <x:v>2010-12-09T00:00:00.000Z</x:v>
      </x:c>
      <x:c r="C2204" s="13" t="n">
        <x:v>260</x:v>
      </x:c>
    </x:row>
    <x:row r="2205" ht="20" customHeight="1">
      <x:c r="A2205" s="1" t="str">
        <x:v>22197</x:v>
      </x:c>
      <x:c r="B2205" s="9" t="d">
        <x:v>2010-12-10T00:00:00.000Z</x:v>
      </x:c>
      <x:c r="C2205" s="13" t="n">
        <x:v>95</x:v>
      </x:c>
    </x:row>
    <x:row r="2206" ht="20" customHeight="1">
      <x:c r="A2206" s="1" t="str">
        <x:v>22197</x:v>
      </x:c>
      <x:c r="B2206" s="9" t="d">
        <x:v>2010-12-11T00:00:00.000Z</x:v>
      </x:c>
      <x:c r="C2206" s="13" t="n">
        <x:v>0</x:v>
      </x:c>
    </x:row>
    <x:row r="2207" ht="20" customHeight="1">
      <x:c r="A2207" s="1" t="str">
        <x:v>22197</x:v>
      </x:c>
      <x:c r="B2207" s="9" t="d">
        <x:v>2010-12-12T00:00:00.000Z</x:v>
      </x:c>
      <x:c r="C2207" s="13" t="n">
        <x:v>49</x:v>
      </x:c>
    </x:row>
    <x:row r="2208" ht="20" customHeight="1">
      <x:c r="A2208" s="1" t="str">
        <x:v>22197</x:v>
      </x:c>
      <x:c r="B2208" s="9" t="d">
        <x:v>2010-12-13T00:00:00.000Z</x:v>
      </x:c>
      <x:c r="C2208" s="13" t="n">
        <x:v>45</x:v>
      </x:c>
    </x:row>
    <x:row r="2209" ht="20" customHeight="1">
      <x:c r="A2209" s="1" t="str">
        <x:v>22197</x:v>
      </x:c>
      <x:c r="B2209" s="9" t="d">
        <x:v>2010-12-14T00:00:00.000Z</x:v>
      </x:c>
      <x:c r="C2209" s="13" t="n">
        <x:v>282</x:v>
      </x:c>
    </x:row>
    <x:row r="2210" ht="20" customHeight="1">
      <x:c r="A2210" s="1" t="str">
        <x:v>22197</x:v>
      </x:c>
      <x:c r="B2210" s="9" t="d">
        <x:v>2010-12-15T00:00:00.000Z</x:v>
      </x:c>
      <x:c r="C2210" s="13" t="n">
        <x:v>355</x:v>
      </x:c>
    </x:row>
    <x:row r="2211" ht="20" customHeight="1">
      <x:c r="A2211" s="1" t="str">
        <x:v>22197</x:v>
      </x:c>
      <x:c r="B2211" s="9" t="d">
        <x:v>2010-12-16T00:00:00.000Z</x:v>
      </x:c>
      <x:c r="C2211" s="13" t="n">
        <x:v>19</x:v>
      </x:c>
    </x:row>
    <x:row r="2212" ht="20" customHeight="1">
      <x:c r="A2212" s="1" t="str">
        <x:v>22197</x:v>
      </x:c>
      <x:c r="B2212" s="9" t="d">
        <x:v>2010-12-17T00:00:00.000Z</x:v>
      </x:c>
      <x:c r="C2212" s="13" t="n">
        <x:v>272</x:v>
      </x:c>
    </x:row>
    <x:row r="2213" ht="20" customHeight="1">
      <x:c r="A2213" s="1" t="str">
        <x:v>22197</x:v>
      </x:c>
      <x:c r="B2213" s="9" t="d">
        <x:v>2010-12-18T00:00:00.000Z</x:v>
      </x:c>
      <x:c r="C2213" s="13" t="n">
        <x:v>0</x:v>
      </x:c>
    </x:row>
    <x:row r="2214" ht="20" customHeight="1">
      <x:c r="A2214" s="1" t="str">
        <x:v>22197</x:v>
      </x:c>
      <x:c r="B2214" s="9" t="d">
        <x:v>2010-12-19T00:00:00.000Z</x:v>
      </x:c>
      <x:c r="C2214" s="13" t="n">
        <x:v>7</x:v>
      </x:c>
    </x:row>
    <x:row r="2215" ht="20" customHeight="1">
      <x:c r="A2215" s="1" t="str">
        <x:v>22197</x:v>
      </x:c>
      <x:c r="B2215" s="9" t="d">
        <x:v>2010-12-20T00:00:00.000Z</x:v>
      </x:c>
      <x:c r="C2215" s="13" t="n">
        <x:v>169</x:v>
      </x:c>
    </x:row>
    <x:row r="2216" ht="20" customHeight="1">
      <x:c r="A2216" s="1" t="str">
        <x:v>22197</x:v>
      </x:c>
      <x:c r="B2216" s="9" t="d">
        <x:v>2010-12-21T00:00:00.000Z</x:v>
      </x:c>
      <x:c r="C2216" s="13" t="n">
        <x:v>75</x:v>
      </x:c>
    </x:row>
    <x:row r="2217" ht="20" customHeight="1">
      <x:c r="A2217" s="1" t="str">
        <x:v>22197</x:v>
      </x:c>
      <x:c r="B2217" s="9" t="d">
        <x:v>2010-12-22T00:00:00.000Z</x:v>
      </x:c>
      <x:c r="C2217" s="13" t="n">
        <x:v>0</x:v>
      </x:c>
    </x:row>
    <x:row r="2218" ht="20" customHeight="1">
      <x:c r="A2218" s="1" t="str">
        <x:v>22197</x:v>
      </x:c>
      <x:c r="B2218" s="9" t="d">
        <x:v>2010-12-23T00:00:00.000Z</x:v>
      </x:c>
      <x:c r="C2218" s="13" t="n">
        <x:v>8</x:v>
      </x:c>
    </x:row>
    <x:row r="2219" ht="20" customHeight="1">
      <x:c r="A2219" s="1" t="str">
        <x:v>22197</x:v>
      </x:c>
      <x:c r="B2219" s="9" t="d">
        <x:v>2010-12-24T00:00:00.000Z</x:v>
      </x:c>
      <x:c r="C2219" s="13" t="n">
        <x:v>0</x:v>
      </x:c>
    </x:row>
    <x:row r="2220" ht="20" customHeight="1">
      <x:c r="A2220" s="1" t="str">
        <x:v>22197</x:v>
      </x:c>
      <x:c r="B2220" s="9" t="d">
        <x:v>2010-12-25T00:00:00.000Z</x:v>
      </x:c>
      <x:c r="C2220" s="13" t="n">
        <x:v>0</x:v>
      </x:c>
    </x:row>
    <x:row r="2221" ht="20" customHeight="1">
      <x:c r="A2221" s="1" t="str">
        <x:v>22197</x:v>
      </x:c>
      <x:c r="B2221" s="9" t="d">
        <x:v>2010-12-26T00:00:00.000Z</x:v>
      </x:c>
      <x:c r="C2221" s="13" t="n">
        <x:v>0</x:v>
      </x:c>
    </x:row>
    <x:row r="2222" ht="20" customHeight="1">
      <x:c r="A2222" s="1" t="str">
        <x:v>22197</x:v>
      </x:c>
      <x:c r="B2222" s="9" t="d">
        <x:v>2010-12-27T00:00:00.000Z</x:v>
      </x:c>
      <x:c r="C2222" s="13" t="n">
        <x:v>0</x:v>
      </x:c>
    </x:row>
    <x:row r="2223" ht="20" customHeight="1">
      <x:c r="A2223" s="1" t="str">
        <x:v>22197</x:v>
      </x:c>
      <x:c r="B2223" s="9" t="d">
        <x:v>2010-12-28T00:00:00.000Z</x:v>
      </x:c>
      <x:c r="C2223" s="13" t="n">
        <x:v>0</x:v>
      </x:c>
    </x:row>
    <x:row r="2224" ht="20" customHeight="1">
      <x:c r="A2224" s="1" t="str">
        <x:v>22197</x:v>
      </x:c>
      <x:c r="B2224" s="9" t="d">
        <x:v>2010-12-29T00:00:00.000Z</x:v>
      </x:c>
      <x:c r="C2224" s="13" t="n">
        <x:v>0</x:v>
      </x:c>
    </x:row>
    <x:row r="2225" ht="20" customHeight="1">
      <x:c r="A2225" s="1" t="str">
        <x:v>22197</x:v>
      </x:c>
      <x:c r="B2225" s="9" t="d">
        <x:v>2010-12-30T00:00:00.000Z</x:v>
      </x:c>
      <x:c r="C2225" s="13" t="n">
        <x:v>0</x:v>
      </x:c>
    </x:row>
    <x:row r="2226" ht="20" customHeight="1">
      <x:c r="A2226" s="1" t="str">
        <x:v>22197</x:v>
      </x:c>
      <x:c r="B2226" s="9" t="d">
        <x:v>2010-12-31T00:00:00.000Z</x:v>
      </x:c>
      <x:c r="C2226" s="13" t="n">
        <x:v>0</x:v>
      </x:c>
    </x:row>
    <x:row r="2227" ht="20" customHeight="1">
      <x:c r="A2227" s="1" t="str">
        <x:v>22197</x:v>
      </x:c>
      <x:c r="B2227" s="9" t="d">
        <x:v>2011-01-01T00:00:00.000Z</x:v>
      </x:c>
      <x:c r="C2227" s="13" t="n">
        <x:v>0</x:v>
      </x:c>
    </x:row>
    <x:row r="2228" ht="20" customHeight="1">
      <x:c r="A2228" s="1" t="str">
        <x:v>22197</x:v>
      </x:c>
      <x:c r="B2228" s="9" t="d">
        <x:v>2011-01-02T00:00:00.000Z</x:v>
      </x:c>
      <x:c r="C2228" s="13" t="n">
        <x:v>0</x:v>
      </x:c>
    </x:row>
    <x:row r="2229" ht="20" customHeight="1">
      <x:c r="A2229" s="1" t="str">
        <x:v>22197</x:v>
      </x:c>
      <x:c r="B2229" s="9" t="d">
        <x:v>2011-01-03T00:00:00.000Z</x:v>
      </x:c>
      <x:c r="C2229" s="13" t="n">
        <x:v>0</x:v>
      </x:c>
    </x:row>
    <x:row r="2230" ht="20" customHeight="1">
      <x:c r="A2230" s="1" t="str">
        <x:v>22197</x:v>
      </x:c>
      <x:c r="B2230" s="9" t="d">
        <x:v>2011-01-04T00:00:00.000Z</x:v>
      </x:c>
      <x:c r="C2230" s="13" t="n">
        <x:v>23</x:v>
      </x:c>
    </x:row>
    <x:row r="2231" ht="20" customHeight="1">
      <x:c r="A2231" s="1" t="str">
        <x:v>22197</x:v>
      </x:c>
      <x:c r="B2231" s="9" t="d">
        <x:v>2011-01-05T00:00:00.000Z</x:v>
      </x:c>
      <x:c r="C2231" s="13" t="n">
        <x:v>3</x:v>
      </x:c>
    </x:row>
    <x:row r="2232" ht="20" customHeight="1">
      <x:c r="A2232" s="1" t="str">
        <x:v>22197</x:v>
      </x:c>
      <x:c r="B2232" s="9" t="d">
        <x:v>2011-01-06T00:00:00.000Z</x:v>
      </x:c>
      <x:c r="C2232" s="13" t="n">
        <x:v>736</x:v>
      </x:c>
    </x:row>
    <x:row r="2233" ht="20" customHeight="1">
      <x:c r="A2233" s="1" t="str">
        <x:v>22197</x:v>
      </x:c>
      <x:c r="B2233" s="9" t="d">
        <x:v>2011-01-07T00:00:00.000Z</x:v>
      </x:c>
      <x:c r="C2233" s="13" t="n">
        <x:v>36</x:v>
      </x:c>
    </x:row>
    <x:row r="2234" ht="20" customHeight="1">
      <x:c r="A2234" s="1" t="str">
        <x:v>22197</x:v>
      </x:c>
      <x:c r="B2234" s="9" t="d">
        <x:v>2011-01-08T00:00:00.000Z</x:v>
      </x:c>
      <x:c r="C2234" s="13" t="n">
        <x:v>0</x:v>
      </x:c>
    </x:row>
    <x:row r="2235" ht="20" customHeight="1">
      <x:c r="A2235" s="1" t="str">
        <x:v>22197</x:v>
      </x:c>
      <x:c r="B2235" s="9" t="d">
        <x:v>2011-01-09T00:00:00.000Z</x:v>
      </x:c>
      <x:c r="C2235" s="13" t="n">
        <x:v>9</x:v>
      </x:c>
    </x:row>
    <x:row r="2236" ht="20" customHeight="1">
      <x:c r="A2236" s="1" t="str">
        <x:v>22197</x:v>
      </x:c>
      <x:c r="B2236" s="9" t="d">
        <x:v>2011-01-10T00:00:00.000Z</x:v>
      </x:c>
      <x:c r="C2236" s="13" t="n">
        <x:v>7</x:v>
      </x:c>
    </x:row>
    <x:row r="2237" ht="20" customHeight="1">
      <x:c r="A2237" s="1" t="str">
        <x:v>22197</x:v>
      </x:c>
      <x:c r="B2237" s="9" t="d">
        <x:v>2011-01-11T00:00:00.000Z</x:v>
      </x:c>
      <x:c r="C2237" s="13" t="n">
        <x:v>20</x:v>
      </x:c>
    </x:row>
    <x:row r="2238" ht="20" customHeight="1">
      <x:c r="A2238" s="1" t="str">
        <x:v>22197</x:v>
      </x:c>
      <x:c r="B2238" s="9" t="d">
        <x:v>2011-01-12T00:00:00.000Z</x:v>
      </x:c>
      <x:c r="C2238" s="13" t="n">
        <x:v>24</x:v>
      </x:c>
    </x:row>
    <x:row r="2239" ht="20" customHeight="1">
      <x:c r="A2239" s="1" t="str">
        <x:v>22197</x:v>
      </x:c>
      <x:c r="B2239" s="9" t="d">
        <x:v>2011-01-13T00:00:00.000Z</x:v>
      </x:c>
      <x:c r="C2239" s="13" t="n">
        <x:v>29</x:v>
      </x:c>
    </x:row>
    <x:row r="2240" ht="20" customHeight="1">
      <x:c r="A2240" s="1" t="str">
        <x:v>22197</x:v>
      </x:c>
      <x:c r="B2240" s="9" t="d">
        <x:v>2011-01-14T00:00:00.000Z</x:v>
      </x:c>
      <x:c r="C2240" s="13" t="n">
        <x:v>34</x:v>
      </x:c>
    </x:row>
    <x:row r="2241" ht="20" customHeight="1">
      <x:c r="A2241" s="1" t="str">
        <x:v>22197</x:v>
      </x:c>
      <x:c r="B2241" s="9" t="d">
        <x:v>2011-01-15T00:00:00.000Z</x:v>
      </x:c>
      <x:c r="C2241" s="13" t="n">
        <x:v>0</x:v>
      </x:c>
    </x:row>
    <x:row r="2242" ht="20" customHeight="1">
      <x:c r="A2242" s="1" t="str">
        <x:v>22197</x:v>
      </x:c>
      <x:c r="B2242" s="9" t="d">
        <x:v>2011-01-16T00:00:00.000Z</x:v>
      </x:c>
      <x:c r="C2242" s="13" t="n">
        <x:v>230</x:v>
      </x:c>
    </x:row>
    <x:row r="2243" ht="20" customHeight="1">
      <x:c r="A2243" s="1" t="str">
        <x:v>22197</x:v>
      </x:c>
      <x:c r="B2243" s="9" t="d">
        <x:v>2011-01-17T00:00:00.000Z</x:v>
      </x:c>
      <x:c r="C2243" s="13" t="n">
        <x:v>41</x:v>
      </x:c>
    </x:row>
    <x:row r="2244" ht="20" customHeight="1">
      <x:c r="A2244" s="1" t="str">
        <x:v>22197</x:v>
      </x:c>
      <x:c r="B2244" s="9" t="d">
        <x:v>2011-01-18T00:00:00.000Z</x:v>
      </x:c>
      <x:c r="C2244" s="13" t="n">
        <x:v>4</x:v>
      </x:c>
    </x:row>
    <x:row r="2245" ht="20" customHeight="1">
      <x:c r="A2245" s="1" t="str">
        <x:v>22197</x:v>
      </x:c>
      <x:c r="B2245" s="9" t="d">
        <x:v>2011-01-19T00:00:00.000Z</x:v>
      </x:c>
      <x:c r="C2245" s="13" t="n">
        <x:v>52</x:v>
      </x:c>
    </x:row>
    <x:row r="2246" ht="20" customHeight="1">
      <x:c r="A2246" s="1" t="str">
        <x:v>22197</x:v>
      </x:c>
      <x:c r="B2246" s="9" t="d">
        <x:v>2011-01-20T00:00:00.000Z</x:v>
      </x:c>
      <x:c r="C2246" s="13" t="n">
        <x:v>12</x:v>
      </x:c>
    </x:row>
    <x:row r="2247" ht="20" customHeight="1">
      <x:c r="A2247" s="1" t="str">
        <x:v>22197</x:v>
      </x:c>
      <x:c r="B2247" s="9" t="d">
        <x:v>2011-01-21T00:00:00.000Z</x:v>
      </x:c>
      <x:c r="C2247" s="13" t="n">
        <x:v>152</x:v>
      </x:c>
    </x:row>
    <x:row r="2248" ht="20" customHeight="1">
      <x:c r="A2248" s="1" t="str">
        <x:v>22197</x:v>
      </x:c>
      <x:c r="B2248" s="9" t="d">
        <x:v>2011-01-22T00:00:00.000Z</x:v>
      </x:c>
      <x:c r="C2248" s="13" t="n">
        <x:v>0</x:v>
      </x:c>
    </x:row>
    <x:row r="2249" ht="20" customHeight="1">
      <x:c r="A2249" s="1" t="str">
        <x:v>22197</x:v>
      </x:c>
      <x:c r="B2249" s="9" t="d">
        <x:v>2011-01-23T00:00:00.000Z</x:v>
      </x:c>
      <x:c r="C2249" s="13" t="n">
        <x:v>0</x:v>
      </x:c>
    </x:row>
    <x:row r="2250" ht="20" customHeight="1">
      <x:c r="A2250" s="1" t="str">
        <x:v>22197</x:v>
      </x:c>
      <x:c r="B2250" s="9" t="d">
        <x:v>2011-01-24T00:00:00.000Z</x:v>
      </x:c>
      <x:c r="C2250" s="13" t="n">
        <x:v>23</x:v>
      </x:c>
    </x:row>
    <x:row r="2251" ht="20" customHeight="1">
      <x:c r="A2251" s="1" t="str">
        <x:v>22197</x:v>
      </x:c>
      <x:c r="B2251" s="9" t="d">
        <x:v>2011-01-25T00:00:00.000Z</x:v>
      </x:c>
      <x:c r="C2251" s="13" t="n">
        <x:v>134</x:v>
      </x:c>
    </x:row>
    <x:row r="2252" ht="20" customHeight="1">
      <x:c r="A2252" s="1" t="str">
        <x:v>22197</x:v>
      </x:c>
      <x:c r="B2252" s="9" t="d">
        <x:v>2011-01-26T00:00:00.000Z</x:v>
      </x:c>
      <x:c r="C2252" s="13" t="n">
        <x:v>103</x:v>
      </x:c>
    </x:row>
    <x:row r="2253" ht="20" customHeight="1">
      <x:c r="A2253" s="1" t="str">
        <x:v>22197</x:v>
      </x:c>
      <x:c r="B2253" s="9" t="d">
        <x:v>2011-01-27T00:00:00.000Z</x:v>
      </x:c>
      <x:c r="C2253" s="13" t="n">
        <x:v>57</x:v>
      </x:c>
    </x:row>
    <x:row r="2254" ht="20" customHeight="1">
      <x:c r="A2254" s="1" t="str">
        <x:v>22197</x:v>
      </x:c>
      <x:c r="B2254" s="9" t="d">
        <x:v>2011-01-28T00:00:00.000Z</x:v>
      </x:c>
      <x:c r="C2254" s="13" t="n">
        <x:v>24</x:v>
      </x:c>
    </x:row>
    <x:row r="2255" ht="20" customHeight="1">
      <x:c r="A2255" s="1" t="str">
        <x:v>22197</x:v>
      </x:c>
      <x:c r="B2255" s="9" t="d">
        <x:v>2011-01-29T00:00:00.000Z</x:v>
      </x:c>
      <x:c r="C2255" s="13" t="n">
        <x:v>0</x:v>
      </x:c>
    </x:row>
    <x:row r="2256" ht="20" customHeight="1">
      <x:c r="A2256" s="1" t="str">
        <x:v>22197</x:v>
      </x:c>
      <x:c r="B2256" s="9" t="d">
        <x:v>2011-01-30T00:00:00.000Z</x:v>
      </x:c>
      <x:c r="C2256" s="13" t="n">
        <x:v>10</x:v>
      </x:c>
    </x:row>
    <x:row r="2257" ht="20" customHeight="1">
      <x:c r="A2257" s="1" t="str">
        <x:v>22197</x:v>
      </x:c>
      <x:c r="B2257" s="9" t="d">
        <x:v>2011-01-31T00:00:00.000Z</x:v>
      </x:c>
      <x:c r="C2257" s="13" t="n">
        <x:v>61</x:v>
      </x:c>
    </x:row>
    <x:row r="2258" ht="20" customHeight="1">
      <x:c r="A2258" s="1" t="str">
        <x:v>22197</x:v>
      </x:c>
      <x:c r="B2258" s="9" t="d">
        <x:v>2011-02-01T00:00:00.000Z</x:v>
      </x:c>
      <x:c r="C2258" s="13" t="n">
        <x:v>6</x:v>
      </x:c>
    </x:row>
    <x:row r="2259" ht="20" customHeight="1">
      <x:c r="A2259" s="1" t="str">
        <x:v>22197</x:v>
      </x:c>
      <x:c r="B2259" s="9" t="d">
        <x:v>2011-02-02T00:00:00.000Z</x:v>
      </x:c>
      <x:c r="C2259" s="13" t="n">
        <x:v>6</x:v>
      </x:c>
    </x:row>
    <x:row r="2260" ht="20" customHeight="1">
      <x:c r="A2260" s="1" t="str">
        <x:v>22197</x:v>
      </x:c>
      <x:c r="B2260" s="9" t="d">
        <x:v>2011-02-03T00:00:00.000Z</x:v>
      </x:c>
      <x:c r="C2260" s="13" t="n">
        <x:v>0</x:v>
      </x:c>
    </x:row>
    <x:row r="2261" ht="20" customHeight="1">
      <x:c r="A2261" s="1" t="str">
        <x:v>22197</x:v>
      </x:c>
      <x:c r="B2261" s="9" t="d">
        <x:v>2011-02-04T00:00:00.000Z</x:v>
      </x:c>
      <x:c r="C2261" s="13" t="n">
        <x:v>34</x:v>
      </x:c>
    </x:row>
    <x:row r="2262" ht="20" customHeight="1">
      <x:c r="A2262" s="1" t="str">
        <x:v>22197</x:v>
      </x:c>
      <x:c r="B2262" s="9" t="d">
        <x:v>2011-02-05T00:00:00.000Z</x:v>
      </x:c>
      <x:c r="C2262" s="13" t="n">
        <x:v>0</x:v>
      </x:c>
    </x:row>
    <x:row r="2263" ht="20" customHeight="1">
      <x:c r="A2263" s="1" t="str">
        <x:v>22197</x:v>
      </x:c>
      <x:c r="B2263" s="9" t="d">
        <x:v>2011-02-06T00:00:00.000Z</x:v>
      </x:c>
      <x:c r="C2263" s="13" t="n">
        <x:v>0</x:v>
      </x:c>
    </x:row>
    <x:row r="2264" ht="20" customHeight="1">
      <x:c r="A2264" s="1" t="str">
        <x:v>22197</x:v>
      </x:c>
      <x:c r="B2264" s="9" t="d">
        <x:v>2011-02-07T00:00:00.000Z</x:v>
      </x:c>
      <x:c r="C2264" s="13" t="n">
        <x:v>13</x:v>
      </x:c>
    </x:row>
    <x:row r="2265" ht="20" customHeight="1">
      <x:c r="A2265" s="1" t="str">
        <x:v>22197</x:v>
      </x:c>
      <x:c r="B2265" s="9" t="d">
        <x:v>2011-02-08T00:00:00.000Z</x:v>
      </x:c>
      <x:c r="C2265" s="13" t="n">
        <x:v>39</x:v>
      </x:c>
    </x:row>
    <x:row r="2266" ht="20" customHeight="1">
      <x:c r="A2266" s="1" t="str">
        <x:v>22197</x:v>
      </x:c>
      <x:c r="B2266" s="9" t="d">
        <x:v>2011-02-09T00:00:00.000Z</x:v>
      </x:c>
      <x:c r="C2266" s="13" t="n">
        <x:v>36</x:v>
      </x:c>
    </x:row>
    <x:row r="2267" ht="20" customHeight="1">
      <x:c r="A2267" s="1" t="str">
        <x:v>22197</x:v>
      </x:c>
      <x:c r="B2267" s="9" t="d">
        <x:v>2011-02-10T00:00:00.000Z</x:v>
      </x:c>
      <x:c r="C2267" s="13" t="n">
        <x:v>44</x:v>
      </x:c>
    </x:row>
    <x:row r="2268" ht="20" customHeight="1">
      <x:c r="A2268" s="1" t="str">
        <x:v>22197</x:v>
      </x:c>
      <x:c r="B2268" s="9" t="d">
        <x:v>2011-02-11T00:00:00.000Z</x:v>
      </x:c>
      <x:c r="C2268" s="13" t="n">
        <x:v>102</x:v>
      </x:c>
    </x:row>
    <x:row r="2269" ht="20" customHeight="1">
      <x:c r="A2269" s="1" t="str">
        <x:v>22197</x:v>
      </x:c>
      <x:c r="B2269" s="9" t="d">
        <x:v>2011-02-12T00:00:00.000Z</x:v>
      </x:c>
      <x:c r="C2269" s="13" t="n">
        <x:v>0</x:v>
      </x:c>
    </x:row>
    <x:row r="2270" ht="20" customHeight="1">
      <x:c r="A2270" s="1" t="str">
        <x:v>22197</x:v>
      </x:c>
      <x:c r="B2270" s="9" t="d">
        <x:v>2011-02-13T00:00:00.000Z</x:v>
      </x:c>
      <x:c r="C2270" s="13" t="n">
        <x:v>5</x:v>
      </x:c>
    </x:row>
    <x:row r="2271" ht="20" customHeight="1">
      <x:c r="A2271" s="1" t="str">
        <x:v>22197</x:v>
      </x:c>
      <x:c r="B2271" s="9" t="d">
        <x:v>2011-02-14T00:00:00.000Z</x:v>
      </x:c>
      <x:c r="C2271" s="13" t="n">
        <x:v>17</x:v>
      </x:c>
    </x:row>
    <x:row r="2272" ht="20" customHeight="1">
      <x:c r="A2272" s="1" t="str">
        <x:v>22197</x:v>
      </x:c>
      <x:c r="B2272" s="9" t="d">
        <x:v>2011-02-15T00:00:00.000Z</x:v>
      </x:c>
      <x:c r="C2272" s="13" t="n">
        <x:v>631</x:v>
      </x:c>
    </x:row>
    <x:row r="2273" ht="20" customHeight="1">
      <x:c r="A2273" s="1" t="str">
        <x:v>22197</x:v>
      </x:c>
      <x:c r="B2273" s="9" t="d">
        <x:v>2011-02-16T00:00:00.000Z</x:v>
      </x:c>
      <x:c r="C2273" s="13" t="n">
        <x:v>21</x:v>
      </x:c>
    </x:row>
    <x:row r="2274" ht="20" customHeight="1">
      <x:c r="A2274" s="1" t="str">
        <x:v>22197</x:v>
      </x:c>
      <x:c r="B2274" s="9" t="d">
        <x:v>2011-02-17T00:00:00.000Z</x:v>
      </x:c>
      <x:c r="C2274" s="13" t="n">
        <x:v>311</x:v>
      </x:c>
    </x:row>
    <x:row r="2275" ht="20" customHeight="1">
      <x:c r="A2275" s="1" t="str">
        <x:v>22197</x:v>
      </x:c>
      <x:c r="B2275" s="9" t="d">
        <x:v>2011-02-18T00:00:00.000Z</x:v>
      </x:c>
      <x:c r="C2275" s="13" t="n">
        <x:v>48</x:v>
      </x:c>
    </x:row>
    <x:row r="2276" ht="20" customHeight="1">
      <x:c r="A2276" s="1" t="str">
        <x:v>22197</x:v>
      </x:c>
      <x:c r="B2276" s="9" t="d">
        <x:v>2011-02-19T00:00:00.000Z</x:v>
      </x:c>
      <x:c r="C2276" s="13" t="n">
        <x:v>0</x:v>
      </x:c>
    </x:row>
    <x:row r="2277" ht="20" customHeight="1">
      <x:c r="A2277" s="1" t="str">
        <x:v>22197</x:v>
      </x:c>
      <x:c r="B2277" s="9" t="d">
        <x:v>2011-02-20T00:00:00.000Z</x:v>
      </x:c>
      <x:c r="C2277" s="13" t="n">
        <x:v>10</x:v>
      </x:c>
    </x:row>
    <x:row r="2278" ht="20" customHeight="1">
      <x:c r="A2278" s="1" t="str">
        <x:v>22197</x:v>
      </x:c>
      <x:c r="B2278" s="9" t="d">
        <x:v>2011-02-21T00:00:00.000Z</x:v>
      </x:c>
      <x:c r="C2278" s="13" t="n">
        <x:v>9</x:v>
      </x:c>
    </x:row>
    <x:row r="2279" ht="20" customHeight="1">
      <x:c r="A2279" s="1" t="str">
        <x:v>22197</x:v>
      </x:c>
      <x:c r="B2279" s="9" t="d">
        <x:v>2011-02-22T00:00:00.000Z</x:v>
      </x:c>
      <x:c r="C2279" s="13" t="n">
        <x:v>106</x:v>
      </x:c>
    </x:row>
    <x:row r="2280" ht="20" customHeight="1">
      <x:c r="A2280" s="1" t="str">
        <x:v>22197</x:v>
      </x:c>
      <x:c r="B2280" s="9" t="d">
        <x:v>2011-02-23T00:00:00.000Z</x:v>
      </x:c>
      <x:c r="C2280" s="13" t="n">
        <x:v>1048</x:v>
      </x:c>
    </x:row>
    <x:row r="2281" ht="20" customHeight="1">
      <x:c r="A2281" s="1" t="str">
        <x:v>22197</x:v>
      </x:c>
      <x:c r="B2281" s="9" t="d">
        <x:v>2011-02-24T00:00:00.000Z</x:v>
      </x:c>
      <x:c r="C2281" s="13" t="n">
        <x:v>48</x:v>
      </x:c>
    </x:row>
    <x:row r="2282" ht="20" customHeight="1">
      <x:c r="A2282" s="1" t="str">
        <x:v>22197</x:v>
      </x:c>
      <x:c r="B2282" s="9" t="d">
        <x:v>2011-02-25T00:00:00.000Z</x:v>
      </x:c>
      <x:c r="C2282" s="13" t="n">
        <x:v>101</x:v>
      </x:c>
    </x:row>
    <x:row r="2283" ht="20" customHeight="1">
      <x:c r="A2283" s="1" t="str">
        <x:v>22197</x:v>
      </x:c>
      <x:c r="B2283" s="9" t="d">
        <x:v>2011-02-26T00:00:00.000Z</x:v>
      </x:c>
      <x:c r="C2283" s="13" t="n">
        <x:v>0</x:v>
      </x:c>
    </x:row>
    <x:row r="2284" ht="20" customHeight="1">
      <x:c r="A2284" s="1" t="str">
        <x:v>22197</x:v>
      </x:c>
      <x:c r="B2284" s="9" t="d">
        <x:v>2011-02-27T00:00:00.000Z</x:v>
      </x:c>
      <x:c r="C2284" s="13" t="n">
        <x:v>0</x:v>
      </x:c>
    </x:row>
    <x:row r="2285" ht="20" customHeight="1">
      <x:c r="A2285" s="1" t="str">
        <x:v>22197</x:v>
      </x:c>
      <x:c r="B2285" s="9" t="d">
        <x:v>2011-02-28T00:00:00.000Z</x:v>
      </x:c>
      <x:c r="C2285" s="13" t="n">
        <x:v>29</x:v>
      </x:c>
    </x:row>
    <x:row r="2286" ht="20" customHeight="1">
      <x:c r="A2286" s="1" t="str">
        <x:v>22197</x:v>
      </x:c>
      <x:c r="B2286" s="9" t="d">
        <x:v>2011-03-01T00:00:00.000Z</x:v>
      </x:c>
      <x:c r="C2286" s="13" t="n">
        <x:v>17</x:v>
      </x:c>
    </x:row>
    <x:row r="2287" ht="20" customHeight="1">
      <x:c r="A2287" s="1" t="str">
        <x:v>22197</x:v>
      </x:c>
      <x:c r="B2287" s="9" t="d">
        <x:v>2011-03-02T00:00:00.000Z</x:v>
      </x:c>
      <x:c r="C2287" s="13" t="n">
        <x:v>112</x:v>
      </x:c>
    </x:row>
    <x:row r="2288" ht="20" customHeight="1">
      <x:c r="A2288" s="1" t="str">
        <x:v>22197</x:v>
      </x:c>
      <x:c r="B2288" s="9" t="d">
        <x:v>2011-03-03T00:00:00.000Z</x:v>
      </x:c>
      <x:c r="C2288" s="13" t="n">
        <x:v>134</x:v>
      </x:c>
    </x:row>
    <x:row r="2289" ht="20" customHeight="1">
      <x:c r="A2289" s="1" t="str">
        <x:v>22197</x:v>
      </x:c>
      <x:c r="B2289" s="9" t="d">
        <x:v>2011-03-04T00:00:00.000Z</x:v>
      </x:c>
      <x:c r="C2289" s="13" t="n">
        <x:v>78</x:v>
      </x:c>
    </x:row>
    <x:row r="2290" ht="20" customHeight="1">
      <x:c r="A2290" s="1" t="str">
        <x:v>22197</x:v>
      </x:c>
      <x:c r="B2290" s="9" t="d">
        <x:v>2011-03-05T00:00:00.000Z</x:v>
      </x:c>
      <x:c r="C2290" s="13" t="n">
        <x:v>0</x:v>
      </x:c>
    </x:row>
    <x:row r="2291" ht="20" customHeight="1">
      <x:c r="A2291" s="1" t="str">
        <x:v>22197</x:v>
      </x:c>
      <x:c r="B2291" s="9" t="d">
        <x:v>2011-03-06T00:00:00.000Z</x:v>
      </x:c>
      <x:c r="C2291" s="13" t="n">
        <x:v>0</x:v>
      </x:c>
    </x:row>
    <x:row r="2292" ht="20" customHeight="1">
      <x:c r="A2292" s="1" t="str">
        <x:v>22197</x:v>
      </x:c>
      <x:c r="B2292" s="9" t="d">
        <x:v>2011-03-07T00:00:00.000Z</x:v>
      </x:c>
      <x:c r="C2292" s="13" t="n">
        <x:v>67</x:v>
      </x:c>
    </x:row>
    <x:row r="2293" ht="20" customHeight="1">
      <x:c r="A2293" s="1" t="str">
        <x:v>22197</x:v>
      </x:c>
      <x:c r="B2293" s="9" t="d">
        <x:v>2011-03-08T00:00:00.000Z</x:v>
      </x:c>
      <x:c r="C2293" s="13" t="n">
        <x:v>13</x:v>
      </x:c>
    </x:row>
    <x:row r="2294" ht="20" customHeight="1">
      <x:c r="A2294" s="1" t="str">
        <x:v>22197</x:v>
      </x:c>
      <x:c r="B2294" s="9" t="d">
        <x:v>2011-03-09T00:00:00.000Z</x:v>
      </x:c>
      <x:c r="C2294" s="13" t="n">
        <x:v>143</x:v>
      </x:c>
    </x:row>
    <x:row r="2295" ht="20" customHeight="1">
      <x:c r="A2295" s="1" t="str">
        <x:v>22197</x:v>
      </x:c>
      <x:c r="B2295" s="9" t="d">
        <x:v>2011-03-10T00:00:00.000Z</x:v>
      </x:c>
      <x:c r="C2295" s="13" t="n">
        <x:v>14</x:v>
      </x:c>
    </x:row>
    <x:row r="2296" ht="20" customHeight="1">
      <x:c r="A2296" s="1" t="str">
        <x:v>22197</x:v>
      </x:c>
      <x:c r="B2296" s="9" t="d">
        <x:v>2011-03-11T00:00:00.000Z</x:v>
      </x:c>
      <x:c r="C2296" s="13" t="n">
        <x:v>542</x:v>
      </x:c>
    </x:row>
    <x:row r="2297" ht="20" customHeight="1">
      <x:c r="A2297" s="1" t="str">
        <x:v>22197</x:v>
      </x:c>
      <x:c r="B2297" s="9" t="d">
        <x:v>2011-03-12T00:00:00.000Z</x:v>
      </x:c>
      <x:c r="C2297" s="13" t="n">
        <x:v>0</x:v>
      </x:c>
    </x:row>
    <x:row r="2298" ht="20" customHeight="1">
      <x:c r="A2298" s="1" t="str">
        <x:v>22197</x:v>
      </x:c>
      <x:c r="B2298" s="9" t="d">
        <x:v>2011-03-13T00:00:00.000Z</x:v>
      </x:c>
      <x:c r="C2298" s="13" t="n">
        <x:v>0</x:v>
      </x:c>
    </x:row>
    <x:row r="2299" ht="20" customHeight="1">
      <x:c r="A2299" s="1" t="str">
        <x:v>22197</x:v>
      </x:c>
      <x:c r="B2299" s="9" t="d">
        <x:v>2011-03-14T00:00:00.000Z</x:v>
      </x:c>
      <x:c r="C2299" s="13" t="n">
        <x:v>240</x:v>
      </x:c>
    </x:row>
    <x:row r="2300" ht="20" customHeight="1">
      <x:c r="A2300" s="1" t="str">
        <x:v>22197</x:v>
      </x:c>
      <x:c r="B2300" s="9" t="d">
        <x:v>2011-03-15T00:00:00.000Z</x:v>
      </x:c>
      <x:c r="C2300" s="13" t="n">
        <x:v>65</x:v>
      </x:c>
    </x:row>
    <x:row r="2301" ht="20" customHeight="1">
      <x:c r="A2301" s="1" t="str">
        <x:v>22197</x:v>
      </x:c>
      <x:c r="B2301" s="9" t="d">
        <x:v>2011-03-16T00:00:00.000Z</x:v>
      </x:c>
      <x:c r="C2301" s="13" t="n">
        <x:v>100</x:v>
      </x:c>
    </x:row>
    <x:row r="2302" ht="20" customHeight="1">
      <x:c r="A2302" s="1" t="str">
        <x:v>22197</x:v>
      </x:c>
      <x:c r="B2302" s="9" t="d">
        <x:v>2011-03-17T00:00:00.000Z</x:v>
      </x:c>
      <x:c r="C2302" s="13" t="n">
        <x:v>64</x:v>
      </x:c>
    </x:row>
    <x:row r="2303" ht="20" customHeight="1">
      <x:c r="A2303" s="1" t="str">
        <x:v>22197</x:v>
      </x:c>
      <x:c r="B2303" s="9" t="d">
        <x:v>2011-03-18T00:00:00.000Z</x:v>
      </x:c>
      <x:c r="C2303" s="13" t="n">
        <x:v>87</x:v>
      </x:c>
    </x:row>
    <x:row r="2304" ht="20" customHeight="1">
      <x:c r="A2304" s="1" t="str">
        <x:v>22197</x:v>
      </x:c>
      <x:c r="B2304" s="9" t="d">
        <x:v>2011-03-19T00:00:00.000Z</x:v>
      </x:c>
      <x:c r="C2304" s="13" t="n">
        <x:v>0</x:v>
      </x:c>
    </x:row>
    <x:row r="2305" ht="20" customHeight="1">
      <x:c r="A2305" s="1" t="str">
        <x:v>22197</x:v>
      </x:c>
      <x:c r="B2305" s="9" t="d">
        <x:v>2011-03-20T00:00:00.000Z</x:v>
      </x:c>
      <x:c r="C2305" s="13" t="n">
        <x:v>27</x:v>
      </x:c>
    </x:row>
    <x:row r="2306" ht="20" customHeight="1">
      <x:c r="A2306" s="1" t="str">
        <x:v>22197</x:v>
      </x:c>
      <x:c r="B2306" s="9" t="d">
        <x:v>2011-03-21T00:00:00.000Z</x:v>
      </x:c>
      <x:c r="C2306" s="13" t="n">
        <x:v>49</x:v>
      </x:c>
    </x:row>
    <x:row r="2307" ht="20" customHeight="1">
      <x:c r="A2307" s="1" t="str">
        <x:v>22197</x:v>
      </x:c>
      <x:c r="B2307" s="9" t="d">
        <x:v>2011-03-22T00:00:00.000Z</x:v>
      </x:c>
      <x:c r="C2307" s="13" t="n">
        <x:v>37</x:v>
      </x:c>
    </x:row>
    <x:row r="2308" ht="20" customHeight="1">
      <x:c r="A2308" s="1" t="str">
        <x:v>22197</x:v>
      </x:c>
      <x:c r="B2308" s="9" t="d">
        <x:v>2011-03-23T00:00:00.000Z</x:v>
      </x:c>
      <x:c r="C2308" s="13" t="n">
        <x:v>19</x:v>
      </x:c>
    </x:row>
    <x:row r="2309" ht="20" customHeight="1">
      <x:c r="A2309" s="1" t="str">
        <x:v>22197</x:v>
      </x:c>
      <x:c r="B2309" s="9" t="d">
        <x:v>2011-03-24T00:00:00.000Z</x:v>
      </x:c>
      <x:c r="C2309" s="13" t="n">
        <x:v>34</x:v>
      </x:c>
    </x:row>
    <x:row r="2310" ht="20" customHeight="1">
      <x:c r="A2310" s="1" t="str">
        <x:v>22197</x:v>
      </x:c>
      <x:c r="B2310" s="9" t="d">
        <x:v>2011-03-25T00:00:00.000Z</x:v>
      </x:c>
      <x:c r="C2310" s="13" t="n">
        <x:v>77</x:v>
      </x:c>
    </x:row>
    <x:row r="2311" ht="20" customHeight="1">
      <x:c r="A2311" s="1" t="str">
        <x:v>22197</x:v>
      </x:c>
      <x:c r="B2311" s="9" t="d">
        <x:v>2011-03-26T00:00:00.000Z</x:v>
      </x:c>
      <x:c r="C2311" s="13" t="n">
        <x:v>0</x:v>
      </x:c>
    </x:row>
    <x:row r="2312" ht="20" customHeight="1">
      <x:c r="A2312" s="1" t="str">
        <x:v>22197</x:v>
      </x:c>
      <x:c r="B2312" s="9" t="d">
        <x:v>2011-03-27T00:00:00.000Z</x:v>
      </x:c>
      <x:c r="C2312" s="13" t="n">
        <x:v>21</x:v>
      </x:c>
    </x:row>
    <x:row r="2313" ht="20" customHeight="1">
      <x:c r="A2313" s="1" t="str">
        <x:v>22197</x:v>
      </x:c>
      <x:c r="B2313" s="9" t="d">
        <x:v>2011-03-28T00:00:00.000Z</x:v>
      </x:c>
      <x:c r="C2313" s="13" t="n">
        <x:v>38</x:v>
      </x:c>
    </x:row>
    <x:row r="2314" ht="20" customHeight="1">
      <x:c r="A2314" s="1" t="str">
        <x:v>22197</x:v>
      </x:c>
      <x:c r="B2314" s="9" t="d">
        <x:v>2011-03-29T00:00:00.000Z</x:v>
      </x:c>
      <x:c r="C2314" s="13" t="n">
        <x:v>663</x:v>
      </x:c>
    </x:row>
    <x:row r="2315" ht="20" customHeight="1">
      <x:c r="A2315" s="1" t="str">
        <x:v>22197</x:v>
      </x:c>
      <x:c r="B2315" s="9" t="d">
        <x:v>2011-03-30T00:00:00.000Z</x:v>
      </x:c>
      <x:c r="C2315" s="13" t="n">
        <x:v>28</x:v>
      </x:c>
    </x:row>
    <x:row r="2316" ht="20" customHeight="1">
      <x:c r="A2316" s="1" t="str">
        <x:v>22197</x:v>
      </x:c>
      <x:c r="B2316" s="9" t="d">
        <x:v>2011-03-31T00:00:00.000Z</x:v>
      </x:c>
      <x:c r="C2316" s="13" t="n">
        <x:v>134</x:v>
      </x:c>
    </x:row>
    <x:row r="2317" ht="20" customHeight="1">
      <x:c r="A2317" s="1" t="str">
        <x:v>22197</x:v>
      </x:c>
      <x:c r="B2317" s="9" t="d">
        <x:v>2011-04-01T00:00:00.000Z</x:v>
      </x:c>
      <x:c r="C2317" s="13" t="n">
        <x:v>136</x:v>
      </x:c>
    </x:row>
    <x:row r="2318" ht="20" customHeight="1">
      <x:c r="A2318" s="1" t="str">
        <x:v>22197</x:v>
      </x:c>
      <x:c r="B2318" s="9" t="d">
        <x:v>2011-04-02T00:00:00.000Z</x:v>
      </x:c>
      <x:c r="C2318" s="13" t="n">
        <x:v>0</x:v>
      </x:c>
    </x:row>
    <x:row r="2319" ht="20" customHeight="1">
      <x:c r="A2319" s="1" t="str">
        <x:v>22197</x:v>
      </x:c>
      <x:c r="B2319" s="9" t="d">
        <x:v>2011-04-03T00:00:00.000Z</x:v>
      </x:c>
      <x:c r="C2319" s="13" t="n">
        <x:v>43</x:v>
      </x:c>
    </x:row>
    <x:row r="2320" ht="20" customHeight="1">
      <x:c r="A2320" s="1" t="str">
        <x:v>22197</x:v>
      </x:c>
      <x:c r="B2320" s="9" t="d">
        <x:v>2011-04-04T00:00:00.000Z</x:v>
      </x:c>
      <x:c r="C2320" s="13" t="n">
        <x:v>112</x:v>
      </x:c>
    </x:row>
    <x:row r="2321" ht="20" customHeight="1">
      <x:c r="A2321" s="1" t="str">
        <x:v>22197</x:v>
      </x:c>
      <x:c r="B2321" s="9" t="d">
        <x:v>2011-04-05T00:00:00.000Z</x:v>
      </x:c>
      <x:c r="C2321" s="13" t="n">
        <x:v>124</x:v>
      </x:c>
    </x:row>
    <x:row r="2322" ht="20" customHeight="1">
      <x:c r="A2322" s="1" t="str">
        <x:v>22197</x:v>
      </x:c>
      <x:c r="B2322" s="9" t="d">
        <x:v>2011-04-06T00:00:00.000Z</x:v>
      </x:c>
      <x:c r="C2322" s="13" t="n">
        <x:v>56</x:v>
      </x:c>
    </x:row>
    <x:row r="2323" ht="20" customHeight="1">
      <x:c r="A2323" s="1" t="str">
        <x:v>22197</x:v>
      </x:c>
      <x:c r="B2323" s="9" t="d">
        <x:v>2011-04-07T00:00:00.000Z</x:v>
      </x:c>
      <x:c r="C2323" s="13" t="n">
        <x:v>232</x:v>
      </x:c>
    </x:row>
    <x:row r="2324" ht="20" customHeight="1">
      <x:c r="A2324" s="1" t="str">
        <x:v>22197</x:v>
      </x:c>
      <x:c r="B2324" s="9" t="d">
        <x:v>2011-04-08T00:00:00.000Z</x:v>
      </x:c>
      <x:c r="C2324" s="13" t="n">
        <x:v>16</x:v>
      </x:c>
    </x:row>
    <x:row r="2325" ht="20" customHeight="1">
      <x:c r="A2325" s="1" t="str">
        <x:v>22197</x:v>
      </x:c>
      <x:c r="B2325" s="9" t="d">
        <x:v>2011-04-09T00:00:00.000Z</x:v>
      </x:c>
      <x:c r="C2325" s="13" t="n">
        <x:v>0</x:v>
      </x:c>
    </x:row>
    <x:row r="2326" ht="20" customHeight="1">
      <x:c r="A2326" s="1" t="str">
        <x:v>22197</x:v>
      </x:c>
      <x:c r="B2326" s="9" t="d">
        <x:v>2011-04-10T00:00:00.000Z</x:v>
      </x:c>
      <x:c r="C2326" s="13" t="n">
        <x:v>24</x:v>
      </x:c>
    </x:row>
    <x:row r="2327" ht="20" customHeight="1">
      <x:c r="A2327" s="1" t="str">
        <x:v>22197</x:v>
      </x:c>
      <x:c r="B2327" s="9" t="d">
        <x:v>2011-04-11T00:00:00.000Z</x:v>
      </x:c>
      <x:c r="C2327" s="13" t="n">
        <x:v>48</x:v>
      </x:c>
    </x:row>
    <x:row r="2328" ht="20" customHeight="1">
      <x:c r="A2328" s="1" t="str">
        <x:v>22197</x:v>
      </x:c>
      <x:c r="B2328" s="9" t="d">
        <x:v>2011-04-12T00:00:00.000Z</x:v>
      </x:c>
      <x:c r="C2328" s="13" t="n">
        <x:v>54</x:v>
      </x:c>
    </x:row>
    <x:row r="2329" ht="20" customHeight="1">
      <x:c r="A2329" s="1" t="str">
        <x:v>22197</x:v>
      </x:c>
      <x:c r="B2329" s="9" t="d">
        <x:v>2011-04-13T00:00:00.000Z</x:v>
      </x:c>
      <x:c r="C2329" s="13" t="n">
        <x:v>25</x:v>
      </x:c>
    </x:row>
    <x:row r="2330" ht="20" customHeight="1">
      <x:c r="A2330" s="1" t="str">
        <x:v>22197</x:v>
      </x:c>
      <x:c r="B2330" s="9" t="d">
        <x:v>2011-04-14T00:00:00.000Z</x:v>
      </x:c>
      <x:c r="C2330" s="13" t="n">
        <x:v>640</x:v>
      </x:c>
    </x:row>
    <x:row r="2331" ht="20" customHeight="1">
      <x:c r="A2331" s="1" t="str">
        <x:v>22197</x:v>
      </x:c>
      <x:c r="B2331" s="9" t="d">
        <x:v>2011-04-15T00:00:00.000Z</x:v>
      </x:c>
      <x:c r="C2331" s="13" t="n">
        <x:v>14</x:v>
      </x:c>
    </x:row>
    <x:row r="2332" ht="20" customHeight="1">
      <x:c r="A2332" s="1" t="str">
        <x:v>22197</x:v>
      </x:c>
      <x:c r="B2332" s="9" t="d">
        <x:v>2011-04-16T00:00:00.000Z</x:v>
      </x:c>
      <x:c r="C2332" s="13" t="n">
        <x:v>0</x:v>
      </x:c>
    </x:row>
    <x:row r="2333" ht="20" customHeight="1">
      <x:c r="A2333" s="1" t="str">
        <x:v>22197</x:v>
      </x:c>
      <x:c r="B2333" s="9" t="d">
        <x:v>2011-04-17T00:00:00.000Z</x:v>
      </x:c>
      <x:c r="C2333" s="13" t="n">
        <x:v>3</x:v>
      </x:c>
    </x:row>
    <x:row r="2334" ht="20" customHeight="1">
      <x:c r="A2334" s="1" t="str">
        <x:v>22197</x:v>
      </x:c>
      <x:c r="B2334" s="9" t="d">
        <x:v>2011-04-18T00:00:00.000Z</x:v>
      </x:c>
      <x:c r="C2334" s="13" t="n">
        <x:v>46</x:v>
      </x:c>
    </x:row>
    <x:row r="2335" ht="20" customHeight="1">
      <x:c r="A2335" s="1" t="str">
        <x:v>22197</x:v>
      </x:c>
      <x:c r="B2335" s="9" t="d">
        <x:v>2011-04-19T00:00:00.000Z</x:v>
      </x:c>
      <x:c r="C2335" s="13" t="n">
        <x:v>6</x:v>
      </x:c>
    </x:row>
    <x:row r="2336" ht="20" customHeight="1">
      <x:c r="A2336" s="1" t="str">
        <x:v>22197</x:v>
      </x:c>
      <x:c r="B2336" s="9" t="d">
        <x:v>2011-04-20T00:00:00.000Z</x:v>
      </x:c>
      <x:c r="C2336" s="13" t="n">
        <x:v>48</x:v>
      </x:c>
    </x:row>
    <x:row r="2337" ht="20" customHeight="1">
      <x:c r="A2337" s="1" t="str">
        <x:v>22197</x:v>
      </x:c>
      <x:c r="B2337" s="9" t="d">
        <x:v>2011-04-21T00:00:00.000Z</x:v>
      </x:c>
      <x:c r="C2337" s="13" t="n">
        <x:v>132</x:v>
      </x:c>
    </x:row>
    <x:row r="2338" ht="20" customHeight="1">
      <x:c r="A2338" s="1" t="str">
        <x:v>22197</x:v>
      </x:c>
      <x:c r="B2338" s="9" t="d">
        <x:v>2011-04-22T00:00:00.000Z</x:v>
      </x:c>
      <x:c r="C2338" s="13" t="n">
        <x:v>0</x:v>
      </x:c>
    </x:row>
    <x:row r="2339" ht="20" customHeight="1">
      <x:c r="A2339" s="1" t="str">
        <x:v>22197</x:v>
      </x:c>
      <x:c r="B2339" s="9" t="d">
        <x:v>2011-04-23T00:00:00.000Z</x:v>
      </x:c>
      <x:c r="C2339" s="13" t="n">
        <x:v>0</x:v>
      </x:c>
    </x:row>
    <x:row r="2340" ht="20" customHeight="1">
      <x:c r="A2340" s="1" t="str">
        <x:v>22197</x:v>
      </x:c>
      <x:c r="B2340" s="9" t="d">
        <x:v>2011-04-24T00:00:00.000Z</x:v>
      </x:c>
      <x:c r="C2340" s="13" t="n">
        <x:v>0</x:v>
      </x:c>
    </x:row>
    <x:row r="2341" ht="20" customHeight="1">
      <x:c r="A2341" s="1" t="str">
        <x:v>22197</x:v>
      </x:c>
      <x:c r="B2341" s="9" t="d">
        <x:v>2011-04-25T00:00:00.000Z</x:v>
      </x:c>
      <x:c r="C2341" s="13" t="n">
        <x:v>0</x:v>
      </x:c>
    </x:row>
    <x:row r="2342" ht="20" customHeight="1">
      <x:c r="A2342" s="1" t="str">
        <x:v>22197</x:v>
      </x:c>
      <x:c r="B2342" s="9" t="d">
        <x:v>2011-04-26T00:00:00.000Z</x:v>
      </x:c>
      <x:c r="C2342" s="13" t="n">
        <x:v>50</x:v>
      </x:c>
    </x:row>
    <x:row r="2343" ht="20" customHeight="1">
      <x:c r="A2343" s="1" t="str">
        <x:v>22197</x:v>
      </x:c>
      <x:c r="B2343" s="9" t="d">
        <x:v>2011-04-27T00:00:00.000Z</x:v>
      </x:c>
      <x:c r="C2343" s="13" t="n">
        <x:v>60</x:v>
      </x:c>
    </x:row>
    <x:row r="2344" ht="20" customHeight="1">
      <x:c r="A2344" s="1" t="str">
        <x:v>22197</x:v>
      </x:c>
      <x:c r="B2344" s="9" t="d">
        <x:v>2011-04-28T00:00:00.000Z</x:v>
      </x:c>
      <x:c r="C2344" s="13" t="n">
        <x:v>0</x:v>
      </x:c>
    </x:row>
    <x:row r="2345" ht="20" customHeight="1">
      <x:c r="A2345" s="1" t="str">
        <x:v>22197</x:v>
      </x:c>
      <x:c r="B2345" s="9" t="d">
        <x:v>2011-04-29T00:00:00.000Z</x:v>
      </x:c>
      <x:c r="C2345" s="13" t="n">
        <x:v>0</x:v>
      </x:c>
    </x:row>
    <x:row r="2346" ht="20" customHeight="1">
      <x:c r="A2346" s="1" t="str">
        <x:v>22197</x:v>
      </x:c>
      <x:c r="B2346" s="9" t="d">
        <x:v>2011-04-30T00:00:00.000Z</x:v>
      </x:c>
      <x:c r="C2346" s="13" t="n">
        <x:v>0</x:v>
      </x:c>
    </x:row>
    <x:row r="2347" ht="20" customHeight="1">
      <x:c r="A2347" s="1" t="str">
        <x:v>22197</x:v>
      </x:c>
      <x:c r="B2347" s="9" t="d">
        <x:v>2011-05-01T00:00:00.000Z</x:v>
      </x:c>
      <x:c r="C2347" s="13" t="n">
        <x:v>200</x:v>
      </x:c>
    </x:row>
    <x:row r="2348" ht="20" customHeight="1">
      <x:c r="A2348" s="1" t="str">
        <x:v>22197</x:v>
      </x:c>
      <x:c r="B2348" s="9" t="d">
        <x:v>2011-05-02T00:00:00.000Z</x:v>
      </x:c>
      <x:c r="C2348" s="13" t="n">
        <x:v>0</x:v>
      </x:c>
    </x:row>
    <x:row r="2349" ht="20" customHeight="1">
      <x:c r="A2349" s="1" t="str">
        <x:v>22197</x:v>
      </x:c>
      <x:c r="B2349" s="9" t="d">
        <x:v>2011-05-03T00:00:00.000Z</x:v>
      </x:c>
      <x:c r="C2349" s="13" t="n">
        <x:v>39</x:v>
      </x:c>
    </x:row>
    <x:row r="2350" ht="20" customHeight="1">
      <x:c r="A2350" s="1" t="str">
        <x:v>22197</x:v>
      </x:c>
      <x:c r="B2350" s="9" t="d">
        <x:v>2011-05-04T00:00:00.000Z</x:v>
      </x:c>
      <x:c r="C2350" s="13" t="n">
        <x:v>221</x:v>
      </x:c>
    </x:row>
    <x:row r="2351" ht="20" customHeight="1">
      <x:c r="A2351" s="1" t="str">
        <x:v>22197</x:v>
      </x:c>
      <x:c r="B2351" s="9" t="d">
        <x:v>2011-05-05T00:00:00.000Z</x:v>
      </x:c>
      <x:c r="C2351" s="13" t="n">
        <x:v>19</x:v>
      </x:c>
    </x:row>
    <x:row r="2352" ht="20" customHeight="1">
      <x:c r="A2352" s="1" t="str">
        <x:v>22197</x:v>
      </x:c>
      <x:c r="B2352" s="9" t="d">
        <x:v>2011-05-06T00:00:00.000Z</x:v>
      </x:c>
      <x:c r="C2352" s="13" t="n">
        <x:v>30</x:v>
      </x:c>
    </x:row>
    <x:row r="2353" ht="20" customHeight="1">
      <x:c r="A2353" s="1" t="str">
        <x:v>22197</x:v>
      </x:c>
      <x:c r="B2353" s="9" t="d">
        <x:v>2011-05-07T00:00:00.000Z</x:v>
      </x:c>
      <x:c r="C2353" s="13" t="n">
        <x:v>0</x:v>
      </x:c>
    </x:row>
    <x:row r="2354" ht="20" customHeight="1">
      <x:c r="A2354" s="1" t="str">
        <x:v>22197</x:v>
      </x:c>
      <x:c r="B2354" s="9" t="d">
        <x:v>2011-05-08T00:00:00.000Z</x:v>
      </x:c>
      <x:c r="C2354" s="13" t="n">
        <x:v>63</x:v>
      </x:c>
    </x:row>
    <x:row r="2355" ht="20" customHeight="1">
      <x:c r="A2355" s="1" t="str">
        <x:v>22197</x:v>
      </x:c>
      <x:c r="B2355" s="9" t="d">
        <x:v>2011-05-09T00:00:00.000Z</x:v>
      </x:c>
      <x:c r="C2355" s="13" t="n">
        <x:v>64</x:v>
      </x:c>
    </x:row>
    <x:row r="2356" ht="20" customHeight="1">
      <x:c r="A2356" s="1" t="str">
        <x:v>22197</x:v>
      </x:c>
      <x:c r="B2356" s="9" t="d">
        <x:v>2011-05-10T00:00:00.000Z</x:v>
      </x:c>
      <x:c r="C2356" s="13" t="n">
        <x:v>50</x:v>
      </x:c>
    </x:row>
    <x:row r="2357" ht="20" customHeight="1">
      <x:c r="A2357" s="1" t="str">
        <x:v>22197</x:v>
      </x:c>
      <x:c r="B2357" s="9" t="d">
        <x:v>2011-05-11T00:00:00.000Z</x:v>
      </x:c>
      <x:c r="C2357" s="13" t="n">
        <x:v>84</x:v>
      </x:c>
    </x:row>
    <x:row r="2358" ht="20" customHeight="1">
      <x:c r="A2358" s="1" t="str">
        <x:v>22197</x:v>
      </x:c>
      <x:c r="B2358" s="9" t="d">
        <x:v>2011-05-12T00:00:00.000Z</x:v>
      </x:c>
      <x:c r="C2358" s="13" t="n">
        <x:v>51</x:v>
      </x:c>
    </x:row>
    <x:row r="2359" ht="20" customHeight="1">
      <x:c r="A2359" s="1" t="str">
        <x:v>22197</x:v>
      </x:c>
      <x:c r="B2359" s="9" t="d">
        <x:v>2011-05-13T00:00:00.000Z</x:v>
      </x:c>
      <x:c r="C2359" s="13" t="n">
        <x:v>115</x:v>
      </x:c>
    </x:row>
    <x:row r="2360" ht="20" customHeight="1">
      <x:c r="A2360" s="1" t="str">
        <x:v>22197</x:v>
      </x:c>
      <x:c r="B2360" s="9" t="d">
        <x:v>2011-05-14T00:00:00.000Z</x:v>
      </x:c>
      <x:c r="C2360" s="13" t="n">
        <x:v>0</x:v>
      </x:c>
    </x:row>
    <x:row r="2361" ht="20" customHeight="1">
      <x:c r="A2361" s="1" t="str">
        <x:v>22197</x:v>
      </x:c>
      <x:c r="B2361" s="9" t="d">
        <x:v>2011-05-15T00:00:00.000Z</x:v>
      </x:c>
      <x:c r="C2361" s="13" t="n">
        <x:v>11</x:v>
      </x:c>
    </x:row>
    <x:row r="2362" ht="20" customHeight="1">
      <x:c r="A2362" s="1" t="str">
        <x:v>22197</x:v>
      </x:c>
      <x:c r="B2362" s="9" t="d">
        <x:v>2011-05-16T00:00:00.000Z</x:v>
      </x:c>
      <x:c r="C2362" s="13" t="n">
        <x:v>61</x:v>
      </x:c>
    </x:row>
    <x:row r="2363" ht="20" customHeight="1">
      <x:c r="A2363" s="1" t="str">
        <x:v>22197</x:v>
      </x:c>
      <x:c r="B2363" s="9" t="d">
        <x:v>2011-05-17T00:00:00.000Z</x:v>
      </x:c>
      <x:c r="C2363" s="13" t="n">
        <x:v>556</x:v>
      </x:c>
    </x:row>
    <x:row r="2364" ht="20" customHeight="1">
      <x:c r="A2364" s="1" t="str">
        <x:v>22197</x:v>
      </x:c>
      <x:c r="B2364" s="9" t="d">
        <x:v>2011-05-18T00:00:00.000Z</x:v>
      </x:c>
      <x:c r="C2364" s="13" t="n">
        <x:v>91</x:v>
      </x:c>
    </x:row>
    <x:row r="2365" ht="20" customHeight="1">
      <x:c r="A2365" s="1" t="str">
        <x:v>22197</x:v>
      </x:c>
      <x:c r="B2365" s="9" t="d">
        <x:v>2011-05-19T00:00:00.000Z</x:v>
      </x:c>
      <x:c r="C2365" s="13" t="n">
        <x:v>140</x:v>
      </x:c>
    </x:row>
    <x:row r="2366" ht="20" customHeight="1">
      <x:c r="A2366" s="1" t="str">
        <x:v>22197</x:v>
      </x:c>
      <x:c r="B2366" s="9" t="d">
        <x:v>2011-05-20T00:00:00.000Z</x:v>
      </x:c>
      <x:c r="C2366" s="13" t="n">
        <x:v>420</x:v>
      </x:c>
    </x:row>
    <x:row r="2367" ht="20" customHeight="1">
      <x:c r="A2367" s="1" t="str">
        <x:v>22197</x:v>
      </x:c>
      <x:c r="B2367" s="9" t="d">
        <x:v>2011-05-21T00:00:00.000Z</x:v>
      </x:c>
      <x:c r="C2367" s="13" t="n">
        <x:v>0</x:v>
      </x:c>
    </x:row>
    <x:row r="2368" ht="20" customHeight="1">
      <x:c r="A2368" s="1" t="str">
        <x:v>22197</x:v>
      </x:c>
      <x:c r="B2368" s="9" t="d">
        <x:v>2011-05-22T00:00:00.000Z</x:v>
      </x:c>
      <x:c r="C2368" s="13" t="n">
        <x:v>30</x:v>
      </x:c>
    </x:row>
    <x:row r="2369" ht="20" customHeight="1">
      <x:c r="A2369" s="1" t="str">
        <x:v>22197</x:v>
      </x:c>
      <x:c r="B2369" s="9" t="d">
        <x:v>2011-05-23T00:00:00.000Z</x:v>
      </x:c>
      <x:c r="C2369" s="13" t="n">
        <x:v>44</x:v>
      </x:c>
    </x:row>
    <x:row r="2370" ht="20" customHeight="1">
      <x:c r="A2370" s="1" t="str">
        <x:v>22197</x:v>
      </x:c>
      <x:c r="B2370" s="9" t="d">
        <x:v>2011-05-24T00:00:00.000Z</x:v>
      </x:c>
      <x:c r="C2370" s="13" t="n">
        <x:v>63</x:v>
      </x:c>
    </x:row>
    <x:row r="2371" ht="20" customHeight="1">
      <x:c r="A2371" s="1" t="str">
        <x:v>22197</x:v>
      </x:c>
      <x:c r="B2371" s="9" t="d">
        <x:v>2011-05-25T00:00:00.000Z</x:v>
      </x:c>
      <x:c r="C2371" s="13" t="n">
        <x:v>73</x:v>
      </x:c>
    </x:row>
    <x:row r="2372" ht="20" customHeight="1">
      <x:c r="A2372" s="1" t="str">
        <x:v>22197</x:v>
      </x:c>
      <x:c r="B2372" s="9" t="d">
        <x:v>2011-05-26T00:00:00.000Z</x:v>
      </x:c>
      <x:c r="C2372" s="13" t="n">
        <x:v>38</x:v>
      </x:c>
    </x:row>
    <x:row r="2373" ht="20" customHeight="1">
      <x:c r="A2373" s="1" t="str">
        <x:v>22197</x:v>
      </x:c>
      <x:c r="B2373" s="9" t="d">
        <x:v>2011-05-27T00:00:00.000Z</x:v>
      </x:c>
      <x:c r="C2373" s="13" t="n">
        <x:v>4314</x:v>
      </x:c>
    </x:row>
    <x:row r="2374" ht="20" customHeight="1">
      <x:c r="A2374" s="1" t="str">
        <x:v>22197</x:v>
      </x:c>
      <x:c r="B2374" s="9" t="d">
        <x:v>2011-05-28T00:00:00.000Z</x:v>
      </x:c>
      <x:c r="C2374" s="13" t="n">
        <x:v>0</x:v>
      </x:c>
    </x:row>
    <x:row r="2375" ht="20" customHeight="1">
      <x:c r="A2375" s="1" t="str">
        <x:v>22197</x:v>
      </x:c>
      <x:c r="B2375" s="9" t="d">
        <x:v>2011-05-29T00:00:00.000Z</x:v>
      </x:c>
      <x:c r="C2375" s="13" t="n">
        <x:v>30</x:v>
      </x:c>
    </x:row>
    <x:row r="2376" ht="20" customHeight="1">
      <x:c r="A2376" s="1" t="str">
        <x:v>22197</x:v>
      </x:c>
      <x:c r="B2376" s="9" t="d">
        <x:v>2011-05-30T00:00:00.000Z</x:v>
      </x:c>
      <x:c r="C2376" s="13" t="n">
        <x:v>0</x:v>
      </x:c>
    </x:row>
    <x:row r="2377" ht="20" customHeight="1">
      <x:c r="A2377" s="1" t="str">
        <x:v>22197</x:v>
      </x:c>
      <x:c r="B2377" s="9" t="d">
        <x:v>2011-05-31T00:00:00.000Z</x:v>
      </x:c>
      <x:c r="C2377" s="13" t="n">
        <x:v>34</x:v>
      </x:c>
    </x:row>
    <x:row r="2378" ht="20" customHeight="1">
      <x:c r="A2378" s="1" t="str">
        <x:v>22197</x:v>
      </x:c>
      <x:c r="B2378" s="9" t="d">
        <x:v>2011-06-01T00:00:00.000Z</x:v>
      </x:c>
      <x:c r="C2378" s="13" t="n">
        <x:v>6</x:v>
      </x:c>
    </x:row>
    <x:row r="2379" ht="20" customHeight="1">
      <x:c r="A2379" s="1" t="str">
        <x:v>22197</x:v>
      </x:c>
      <x:c r="B2379" s="9" t="d">
        <x:v>2011-06-02T00:00:00.000Z</x:v>
      </x:c>
      <x:c r="C2379" s="13" t="n">
        <x:v>44</x:v>
      </x:c>
    </x:row>
    <x:row r="2380" ht="20" customHeight="1">
      <x:c r="A2380" s="1" t="str">
        <x:v>22197</x:v>
      </x:c>
      <x:c r="B2380" s="9" t="d">
        <x:v>2011-06-03T00:00:00.000Z</x:v>
      </x:c>
      <x:c r="C2380" s="13" t="n">
        <x:v>368</x:v>
      </x:c>
    </x:row>
    <x:row r="2381" ht="20" customHeight="1">
      <x:c r="A2381" s="1" t="str">
        <x:v>22197</x:v>
      </x:c>
      <x:c r="B2381" s="9" t="d">
        <x:v>2011-06-04T00:00:00.000Z</x:v>
      </x:c>
      <x:c r="C2381" s="13" t="n">
        <x:v>0</x:v>
      </x:c>
    </x:row>
    <x:row r="2382" ht="20" customHeight="1">
      <x:c r="A2382" s="1" t="str">
        <x:v>22197</x:v>
      </x:c>
      <x:c r="B2382" s="9" t="d">
        <x:v>2011-06-05T00:00:00.000Z</x:v>
      </x:c>
      <x:c r="C2382" s="13" t="n">
        <x:v>81</x:v>
      </x:c>
    </x:row>
    <x:row r="2383" ht="20" customHeight="1">
      <x:c r="A2383" s="1" t="str">
        <x:v>22197</x:v>
      </x:c>
      <x:c r="B2383" s="9" t="d">
        <x:v>2011-06-06T00:00:00.000Z</x:v>
      </x:c>
      <x:c r="C2383" s="13" t="n">
        <x:v>17</x:v>
      </x:c>
    </x:row>
    <x:row r="2384" ht="20" customHeight="1">
      <x:c r="A2384" s="1" t="str">
        <x:v>22197</x:v>
      </x:c>
      <x:c r="B2384" s="9" t="d">
        <x:v>2011-06-07T00:00:00.000Z</x:v>
      </x:c>
      <x:c r="C2384" s="13" t="n">
        <x:v>19</x:v>
      </x:c>
    </x:row>
    <x:row r="2385" ht="20" customHeight="1">
      <x:c r="A2385" s="1" t="str">
        <x:v>22197</x:v>
      </x:c>
      <x:c r="B2385" s="9" t="d">
        <x:v>2011-06-08T00:00:00.000Z</x:v>
      </x:c>
      <x:c r="C2385" s="13" t="n">
        <x:v>51</x:v>
      </x:c>
    </x:row>
    <x:row r="2386" ht="20" customHeight="1">
      <x:c r="A2386" s="1" t="str">
        <x:v>22197</x:v>
      </x:c>
      <x:c r="B2386" s="9" t="d">
        <x:v>2011-06-09T00:00:00.000Z</x:v>
      </x:c>
      <x:c r="C2386" s="13" t="n">
        <x:v>161</x:v>
      </x:c>
    </x:row>
    <x:row r="2387" ht="20" customHeight="1">
      <x:c r="A2387" s="1" t="str">
        <x:v>22197</x:v>
      </x:c>
      <x:c r="B2387" s="9" t="d">
        <x:v>2011-06-10T00:00:00.000Z</x:v>
      </x:c>
      <x:c r="C2387" s="13" t="n">
        <x:v>105</x:v>
      </x:c>
    </x:row>
    <x:row r="2388" ht="20" customHeight="1">
      <x:c r="A2388" s="1" t="str">
        <x:v>22197</x:v>
      </x:c>
      <x:c r="B2388" s="9" t="d">
        <x:v>2011-06-11T00:00:00.000Z</x:v>
      </x:c>
      <x:c r="C2388" s="13" t="n">
        <x:v>0</x:v>
      </x:c>
    </x:row>
    <x:row r="2389" ht="20" customHeight="1">
      <x:c r="A2389" s="1" t="str">
        <x:v>22197</x:v>
      </x:c>
      <x:c r="B2389" s="9" t="d">
        <x:v>2011-06-12T00:00:00.000Z</x:v>
      </x:c>
      <x:c r="C2389" s="13" t="n">
        <x:v>57</x:v>
      </x:c>
    </x:row>
    <x:row r="2390" ht="20" customHeight="1">
      <x:c r="A2390" s="1" t="str">
        <x:v>22197</x:v>
      </x:c>
      <x:c r="B2390" s="9" t="d">
        <x:v>2011-06-13T00:00:00.000Z</x:v>
      </x:c>
      <x:c r="C2390" s="13" t="n">
        <x:v>33</x:v>
      </x:c>
    </x:row>
    <x:row r="2391" ht="20" customHeight="1">
      <x:c r="A2391" s="1" t="str">
        <x:v>22197</x:v>
      </x:c>
      <x:c r="B2391" s="9" t="d">
        <x:v>2011-06-14T00:00:00.000Z</x:v>
      </x:c>
      <x:c r="C2391" s="13" t="n">
        <x:v>127</x:v>
      </x:c>
    </x:row>
    <x:row r="2392" ht="20" customHeight="1">
      <x:c r="A2392" s="1" t="str">
        <x:v>22197</x:v>
      </x:c>
      <x:c r="B2392" s="9" t="d">
        <x:v>2011-06-15T00:00:00.000Z</x:v>
      </x:c>
      <x:c r="C2392" s="13" t="n">
        <x:v>128</x:v>
      </x:c>
    </x:row>
    <x:row r="2393" ht="20" customHeight="1">
      <x:c r="A2393" s="1" t="str">
        <x:v>22197</x:v>
      </x:c>
      <x:c r="B2393" s="9" t="d">
        <x:v>2011-06-16T00:00:00.000Z</x:v>
      </x:c>
      <x:c r="C2393" s="13" t="n">
        <x:v>13</x:v>
      </x:c>
    </x:row>
    <x:row r="2394" ht="20" customHeight="1">
      <x:c r="A2394" s="1" t="str">
        <x:v>22197</x:v>
      </x:c>
      <x:c r="B2394" s="9" t="d">
        <x:v>2011-06-17T00:00:00.000Z</x:v>
      </x:c>
      <x:c r="C2394" s="13" t="n">
        <x:v>82</x:v>
      </x:c>
    </x:row>
    <x:row r="2395" ht="20" customHeight="1">
      <x:c r="A2395" s="1" t="str">
        <x:v>22197</x:v>
      </x:c>
      <x:c r="B2395" s="9" t="d">
        <x:v>2011-06-18T00:00:00.000Z</x:v>
      </x:c>
      <x:c r="C2395" s="13" t="n">
        <x:v>0</x:v>
      </x:c>
    </x:row>
    <x:row r="2396" ht="20" customHeight="1">
      <x:c r="A2396" s="1" t="str">
        <x:v>22197</x:v>
      </x:c>
      <x:c r="B2396" s="9" t="d">
        <x:v>2011-06-19T00:00:00.000Z</x:v>
      </x:c>
      <x:c r="C2396" s="13" t="n">
        <x:v>54</x:v>
      </x:c>
    </x:row>
    <x:row r="2397" ht="20" customHeight="1">
      <x:c r="A2397" s="1" t="str">
        <x:v>22197</x:v>
      </x:c>
      <x:c r="B2397" s="9" t="d">
        <x:v>2011-06-20T00:00:00.000Z</x:v>
      </x:c>
      <x:c r="C2397" s="13" t="n">
        <x:v>59</x:v>
      </x:c>
    </x:row>
    <x:row r="2398" ht="20" customHeight="1">
      <x:c r="A2398" s="1" t="str">
        <x:v>22197</x:v>
      </x:c>
      <x:c r="B2398" s="9" t="d">
        <x:v>2011-06-21T00:00:00.000Z</x:v>
      </x:c>
      <x:c r="C2398" s="13" t="n">
        <x:v>49</x:v>
      </x:c>
    </x:row>
    <x:row r="2399" ht="20" customHeight="1">
      <x:c r="A2399" s="1" t="str">
        <x:v>22197</x:v>
      </x:c>
      <x:c r="B2399" s="9" t="d">
        <x:v>2011-06-22T00:00:00.000Z</x:v>
      </x:c>
      <x:c r="C2399" s="13" t="n">
        <x:v>1</x:v>
      </x:c>
    </x:row>
    <x:row r="2400" ht="20" customHeight="1">
      <x:c r="A2400" s="1" t="str">
        <x:v>22197</x:v>
      </x:c>
      <x:c r="B2400" s="9" t="d">
        <x:v>2011-06-23T00:00:00.000Z</x:v>
      </x:c>
      <x:c r="C2400" s="13" t="n">
        <x:v>110</x:v>
      </x:c>
    </x:row>
    <x:row r="2401" ht="20" customHeight="1">
      <x:c r="A2401" s="1" t="str">
        <x:v>22197</x:v>
      </x:c>
      <x:c r="B2401" s="9" t="d">
        <x:v>2011-06-24T00:00:00.000Z</x:v>
      </x:c>
      <x:c r="C2401" s="13" t="n">
        <x:v>126</x:v>
      </x:c>
    </x:row>
    <x:row r="2402" ht="20" customHeight="1">
      <x:c r="A2402" s="1" t="str">
        <x:v>22197</x:v>
      </x:c>
      <x:c r="B2402" s="9" t="d">
        <x:v>2011-06-25T00:00:00.000Z</x:v>
      </x:c>
      <x:c r="C2402" s="13" t="n">
        <x:v>0</x:v>
      </x:c>
    </x:row>
    <x:row r="2403" ht="20" customHeight="1">
      <x:c r="A2403" s="1" t="str">
        <x:v>22197</x:v>
      </x:c>
      <x:c r="B2403" s="9" t="d">
        <x:v>2011-06-26T00:00:00.000Z</x:v>
      </x:c>
      <x:c r="C2403" s="13" t="n">
        <x:v>0</x:v>
      </x:c>
    </x:row>
    <x:row r="2404" ht="20" customHeight="1">
      <x:c r="A2404" s="1" t="str">
        <x:v>22197</x:v>
      </x:c>
      <x:c r="B2404" s="9" t="d">
        <x:v>2011-06-27T00:00:00.000Z</x:v>
      </x:c>
      <x:c r="C2404" s="13" t="n">
        <x:v>60</x:v>
      </x:c>
    </x:row>
    <x:row r="2405" ht="20" customHeight="1">
      <x:c r="A2405" s="1" t="str">
        <x:v>22197</x:v>
      </x:c>
      <x:c r="B2405" s="9" t="d">
        <x:v>2011-06-28T00:00:00.000Z</x:v>
      </x:c>
      <x:c r="C2405" s="13" t="n">
        <x:v>56</x:v>
      </x:c>
    </x:row>
    <x:row r="2406" ht="20" customHeight="1">
      <x:c r="A2406" s="1" t="str">
        <x:v>22197</x:v>
      </x:c>
      <x:c r="B2406" s="9" t="d">
        <x:v>2011-06-29T00:00:00.000Z</x:v>
      </x:c>
      <x:c r="C2406" s="13" t="n">
        <x:v>24</x:v>
      </x:c>
    </x:row>
    <x:row r="2407" ht="20" customHeight="1">
      <x:c r="A2407" s="1" t="str">
        <x:v>22197</x:v>
      </x:c>
      <x:c r="B2407" s="9" t="d">
        <x:v>2011-06-30T00:00:00.000Z</x:v>
      </x:c>
      <x:c r="C2407" s="13" t="n">
        <x:v>264</x:v>
      </x:c>
    </x:row>
    <x:row r="2408" ht="20" customHeight="1">
      <x:c r="A2408" s="1" t="str">
        <x:v>22197</x:v>
      </x:c>
      <x:c r="B2408" s="9" t="d">
        <x:v>2011-07-01T00:00:00.000Z</x:v>
      </x:c>
      <x:c r="C2408" s="13" t="n">
        <x:v>26</x:v>
      </x:c>
    </x:row>
    <x:row r="2409" ht="20" customHeight="1">
      <x:c r="A2409" s="1" t="str">
        <x:v>22197</x:v>
      </x:c>
      <x:c r="B2409" s="9" t="d">
        <x:v>2011-07-02T00:00:00.000Z</x:v>
      </x:c>
      <x:c r="C2409" s="13" t="n">
        <x:v>0</x:v>
      </x:c>
    </x:row>
    <x:row r="2410" ht="20" customHeight="1">
      <x:c r="A2410" s="1" t="str">
        <x:v>22197</x:v>
      </x:c>
      <x:c r="B2410" s="9" t="d">
        <x:v>2011-07-03T00:00:00.000Z</x:v>
      </x:c>
      <x:c r="C2410" s="13" t="n">
        <x:v>0</x:v>
      </x:c>
    </x:row>
    <x:row r="2411" ht="20" customHeight="1">
      <x:c r="A2411" s="1" t="str">
        <x:v>22197</x:v>
      </x:c>
      <x:c r="B2411" s="9" t="d">
        <x:v>2011-07-04T00:00:00.000Z</x:v>
      </x:c>
      <x:c r="C2411" s="13" t="n">
        <x:v>57</x:v>
      </x:c>
    </x:row>
    <x:row r="2412" ht="20" customHeight="1">
      <x:c r="A2412" s="1" t="str">
        <x:v>22197</x:v>
      </x:c>
      <x:c r="B2412" s="9" t="d">
        <x:v>2011-07-05T00:00:00.000Z</x:v>
      </x:c>
      <x:c r="C2412" s="13" t="n">
        <x:v>227</x:v>
      </x:c>
    </x:row>
    <x:row r="2413" ht="20" customHeight="1">
      <x:c r="A2413" s="1" t="str">
        <x:v>22197</x:v>
      </x:c>
      <x:c r="B2413" s="9" t="d">
        <x:v>2011-07-06T00:00:00.000Z</x:v>
      </x:c>
      <x:c r="C2413" s="13" t="n">
        <x:v>16</x:v>
      </x:c>
    </x:row>
    <x:row r="2414" ht="20" customHeight="1">
      <x:c r="A2414" s="1" t="str">
        <x:v>22197</x:v>
      </x:c>
      <x:c r="B2414" s="9" t="d">
        <x:v>2011-07-07T00:00:00.000Z</x:v>
      </x:c>
      <x:c r="C2414" s="13" t="n">
        <x:v>48</x:v>
      </x:c>
    </x:row>
    <x:row r="2415" ht="20" customHeight="1">
      <x:c r="A2415" s="1" t="str">
        <x:v>22197</x:v>
      </x:c>
      <x:c r="B2415" s="9" t="d">
        <x:v>2011-07-08T00:00:00.000Z</x:v>
      </x:c>
      <x:c r="C2415" s="13" t="n">
        <x:v>259</x:v>
      </x:c>
    </x:row>
    <x:row r="2416" ht="20" customHeight="1">
      <x:c r="A2416" s="1" t="str">
        <x:v>22197</x:v>
      </x:c>
      <x:c r="B2416" s="9" t="d">
        <x:v>2011-07-09T00:00:00.000Z</x:v>
      </x:c>
      <x:c r="C2416" s="13" t="n">
        <x:v>0</x:v>
      </x:c>
    </x:row>
    <x:row r="2417" ht="20" customHeight="1">
      <x:c r="A2417" s="1" t="str">
        <x:v>22197</x:v>
      </x:c>
      <x:c r="B2417" s="9" t="d">
        <x:v>2011-07-10T00:00:00.000Z</x:v>
      </x:c>
      <x:c r="C2417" s="13" t="n">
        <x:v>29</x:v>
      </x:c>
    </x:row>
    <x:row r="2418" ht="20" customHeight="1">
      <x:c r="A2418" s="1" t="str">
        <x:v>22197</x:v>
      </x:c>
      <x:c r="B2418" s="9" t="d">
        <x:v>2011-07-11T00:00:00.000Z</x:v>
      </x:c>
      <x:c r="C2418" s="13" t="n">
        <x:v>14</x:v>
      </x:c>
    </x:row>
    <x:row r="2419" ht="20" customHeight="1">
      <x:c r="A2419" s="1" t="str">
        <x:v>22197</x:v>
      </x:c>
      <x:c r="B2419" s="9" t="d">
        <x:v>2011-07-12T00:00:00.000Z</x:v>
      </x:c>
      <x:c r="C2419" s="13" t="n">
        <x:v>20</x:v>
      </x:c>
    </x:row>
    <x:row r="2420" ht="20" customHeight="1">
      <x:c r="A2420" s="1" t="str">
        <x:v>22197</x:v>
      </x:c>
      <x:c r="B2420" s="9" t="d">
        <x:v>2011-07-13T00:00:00.000Z</x:v>
      </x:c>
      <x:c r="C2420" s="13" t="n">
        <x:v>35</x:v>
      </x:c>
    </x:row>
    <x:row r="2421" ht="20" customHeight="1">
      <x:c r="A2421" s="1" t="str">
        <x:v>22197</x:v>
      </x:c>
      <x:c r="B2421" s="9" t="d">
        <x:v>2011-07-14T00:00:00.000Z</x:v>
      </x:c>
      <x:c r="C2421" s="13" t="n">
        <x:v>70</x:v>
      </x:c>
    </x:row>
    <x:row r="2422" ht="20" customHeight="1">
      <x:c r="A2422" s="1" t="str">
        <x:v>22197</x:v>
      </x:c>
      <x:c r="B2422" s="9" t="d">
        <x:v>2011-07-15T00:00:00.000Z</x:v>
      </x:c>
      <x:c r="C2422" s="13" t="n">
        <x:v>4</x:v>
      </x:c>
    </x:row>
    <x:row r="2423" ht="20" customHeight="1">
      <x:c r="A2423" s="1" t="str">
        <x:v>22197</x:v>
      </x:c>
      <x:c r="B2423" s="9" t="d">
        <x:v>2011-07-16T00:00:00.000Z</x:v>
      </x:c>
      <x:c r="C2423" s="13" t="n">
        <x:v>0</x:v>
      </x:c>
    </x:row>
    <x:row r="2424" ht="20" customHeight="1">
      <x:c r="A2424" s="1" t="str">
        <x:v>22197</x:v>
      </x:c>
      <x:c r="B2424" s="9" t="d">
        <x:v>2011-07-17T00:00:00.000Z</x:v>
      </x:c>
      <x:c r="C2424" s="13" t="n">
        <x:v>14</x:v>
      </x:c>
    </x:row>
    <x:row r="2425" ht="20" customHeight="1">
      <x:c r="A2425" s="1" t="str">
        <x:v>22197</x:v>
      </x:c>
      <x:c r="B2425" s="9" t="d">
        <x:v>2011-07-18T00:00:00.000Z</x:v>
      </x:c>
      <x:c r="C2425" s="13" t="n">
        <x:v>48</x:v>
      </x:c>
    </x:row>
    <x:row r="2426" ht="20" customHeight="1">
      <x:c r="A2426" s="1" t="str">
        <x:v>22197</x:v>
      </x:c>
      <x:c r="B2426" s="9" t="d">
        <x:v>2011-07-19T00:00:00.000Z</x:v>
      </x:c>
      <x:c r="C2426" s="13" t="n">
        <x:v>97</x:v>
      </x:c>
    </x:row>
    <x:row r="2427" ht="20" customHeight="1">
      <x:c r="A2427" s="1" t="str">
        <x:v>22197</x:v>
      </x:c>
      <x:c r="B2427" s="9" t="d">
        <x:v>2011-07-20T00:00:00.000Z</x:v>
      </x:c>
      <x:c r="C2427" s="13" t="n">
        <x:v>74</x:v>
      </x:c>
    </x:row>
    <x:row r="2428" ht="20" customHeight="1">
      <x:c r="A2428" s="1" t="str">
        <x:v>22197</x:v>
      </x:c>
      <x:c r="B2428" s="9" t="d">
        <x:v>2011-07-21T00:00:00.000Z</x:v>
      </x:c>
      <x:c r="C2428" s="13" t="n">
        <x:v>168</x:v>
      </x:c>
    </x:row>
    <x:row r="2429" ht="20" customHeight="1">
      <x:c r="A2429" s="1" t="str">
        <x:v>22197</x:v>
      </x:c>
      <x:c r="B2429" s="9" t="d">
        <x:v>2011-07-22T00:00:00.000Z</x:v>
      </x:c>
      <x:c r="C2429" s="13" t="n">
        <x:v>100</x:v>
      </x:c>
    </x:row>
    <x:row r="2430" ht="20" customHeight="1">
      <x:c r="A2430" s="1" t="str">
        <x:v>22197</x:v>
      </x:c>
      <x:c r="B2430" s="9" t="d">
        <x:v>2011-07-23T00:00:00.000Z</x:v>
      </x:c>
      <x:c r="C2430" s="13" t="n">
        <x:v>0</x:v>
      </x:c>
    </x:row>
    <x:row r="2431" ht="20" customHeight="1">
      <x:c r="A2431" s="1" t="str">
        <x:v>22197</x:v>
      </x:c>
      <x:c r="B2431" s="9" t="d">
        <x:v>2011-07-24T00:00:00.000Z</x:v>
      </x:c>
      <x:c r="C2431" s="13" t="n">
        <x:v>134</x:v>
      </x:c>
    </x:row>
    <x:row r="2432" ht="20" customHeight="1">
      <x:c r="A2432" s="1" t="str">
        <x:v>22197</x:v>
      </x:c>
      <x:c r="B2432" s="9" t="d">
        <x:v>2011-07-25T00:00:00.000Z</x:v>
      </x:c>
      <x:c r="C2432" s="13" t="n">
        <x:v>31</x:v>
      </x:c>
    </x:row>
    <x:row r="2433" ht="20" customHeight="1">
      <x:c r="A2433" s="1" t="str">
        <x:v>22197</x:v>
      </x:c>
      <x:c r="B2433" s="9" t="d">
        <x:v>2011-07-26T00:00:00.000Z</x:v>
      </x:c>
      <x:c r="C2433" s="13" t="n">
        <x:v>25</x:v>
      </x:c>
    </x:row>
    <x:row r="2434" ht="20" customHeight="1">
      <x:c r="A2434" s="1" t="str">
        <x:v>22197</x:v>
      </x:c>
      <x:c r="B2434" s="9" t="d">
        <x:v>2011-07-27T00:00:00.000Z</x:v>
      </x:c>
      <x:c r="C2434" s="13" t="n">
        <x:v>72</x:v>
      </x:c>
    </x:row>
    <x:row r="2435" ht="20" customHeight="1">
      <x:c r="A2435" s="1" t="str">
        <x:v>22197</x:v>
      </x:c>
      <x:c r="B2435" s="9" t="d">
        <x:v>2011-07-28T00:00:00.000Z</x:v>
      </x:c>
      <x:c r="C2435" s="13" t="n">
        <x:v>18</x:v>
      </x:c>
    </x:row>
    <x:row r="2436" ht="20" customHeight="1">
      <x:c r="A2436" s="1" t="str">
        <x:v>22197</x:v>
      </x:c>
      <x:c r="B2436" s="9" t="d">
        <x:v>2011-07-29T00:00:00.000Z</x:v>
      </x:c>
      <x:c r="C2436" s="13" t="n">
        <x:v>86</x:v>
      </x:c>
    </x:row>
    <x:row r="2437" ht="20" customHeight="1">
      <x:c r="A2437" s="1" t="str">
        <x:v>22197</x:v>
      </x:c>
      <x:c r="B2437" s="9" t="d">
        <x:v>2011-07-30T00:00:00.000Z</x:v>
      </x:c>
      <x:c r="C2437" s="13" t="n">
        <x:v>0</x:v>
      </x:c>
    </x:row>
    <x:row r="2438" ht="20" customHeight="1">
      <x:c r="A2438" s="1" t="str">
        <x:v>22197</x:v>
      </x:c>
      <x:c r="B2438" s="9" t="d">
        <x:v>2011-07-31T00:00:00.000Z</x:v>
      </x:c>
      <x:c r="C2438" s="13" t="n">
        <x:v>204</x:v>
      </x:c>
    </x:row>
    <x:row r="2439" ht="20" customHeight="1">
      <x:c r="A2439" s="1" t="str">
        <x:v>22197</x:v>
      </x:c>
      <x:c r="B2439" s="9" t="d">
        <x:v>2011-08-01T00:00:00.000Z</x:v>
      </x:c>
      <x:c r="C2439" s="13" t="n">
        <x:v>21</x:v>
      </x:c>
    </x:row>
    <x:row r="2440" ht="20" customHeight="1">
      <x:c r="A2440" s="1" t="str">
        <x:v>22197</x:v>
      </x:c>
      <x:c r="B2440" s="9" t="d">
        <x:v>2011-08-02T00:00:00.000Z</x:v>
      </x:c>
      <x:c r="C2440" s="13" t="n">
        <x:v>45</x:v>
      </x:c>
    </x:row>
    <x:row r="2441" ht="20" customHeight="1">
      <x:c r="A2441" s="1" t="str">
        <x:v>22197</x:v>
      </x:c>
      <x:c r="B2441" s="9" t="d">
        <x:v>2011-08-03T00:00:00.000Z</x:v>
      </x:c>
      <x:c r="C2441" s="13" t="n">
        <x:v>15</x:v>
      </x:c>
    </x:row>
    <x:row r="2442" ht="20" customHeight="1">
      <x:c r="A2442" s="1" t="str">
        <x:v>22197</x:v>
      </x:c>
      <x:c r="B2442" s="9" t="d">
        <x:v>2011-08-04T00:00:00.000Z</x:v>
      </x:c>
      <x:c r="C2442" s="13" t="n">
        <x:v>2036</x:v>
      </x:c>
    </x:row>
    <x:row r="2443" ht="20" customHeight="1">
      <x:c r="A2443" s="1" t="str">
        <x:v>22197</x:v>
      </x:c>
      <x:c r="B2443" s="9" t="d">
        <x:v>2011-08-05T00:00:00.000Z</x:v>
      </x:c>
      <x:c r="C2443" s="13" t="n">
        <x:v>61</x:v>
      </x:c>
    </x:row>
    <x:row r="2444" ht="20" customHeight="1">
      <x:c r="A2444" s="1" t="str">
        <x:v>22197</x:v>
      </x:c>
      <x:c r="B2444" s="9" t="d">
        <x:v>2011-08-06T00:00:00.000Z</x:v>
      </x:c>
      <x:c r="C2444" s="13" t="n">
        <x:v>0</x:v>
      </x:c>
    </x:row>
    <x:row r="2445" ht="20" customHeight="1">
      <x:c r="A2445" s="1" t="str">
        <x:v>22197</x:v>
      </x:c>
      <x:c r="B2445" s="9" t="d">
        <x:v>2011-08-07T00:00:00.000Z</x:v>
      </x:c>
      <x:c r="C2445" s="13" t="n">
        <x:v>0</x:v>
      </x:c>
    </x:row>
    <x:row r="2446" ht="20" customHeight="1">
      <x:c r="A2446" s="1" t="str">
        <x:v>22197</x:v>
      </x:c>
      <x:c r="B2446" s="9" t="d">
        <x:v>2011-08-08T00:00:00.000Z</x:v>
      </x:c>
      <x:c r="C2446" s="13" t="n">
        <x:v>257</x:v>
      </x:c>
    </x:row>
    <x:row r="2447" ht="20" customHeight="1">
      <x:c r="A2447" s="1" t="str">
        <x:v>22197</x:v>
      </x:c>
      <x:c r="B2447" s="9" t="d">
        <x:v>2011-08-09T00:00:00.000Z</x:v>
      </x:c>
      <x:c r="C2447" s="13" t="n">
        <x:v>3</x:v>
      </x:c>
    </x:row>
    <x:row r="2448" ht="20" customHeight="1">
      <x:c r="A2448" s="1" t="str">
        <x:v>22197</x:v>
      </x:c>
      <x:c r="B2448" s="9" t="d">
        <x:v>2011-08-10T00:00:00.000Z</x:v>
      </x:c>
      <x:c r="C2448" s="13" t="n">
        <x:v>600</x:v>
      </x:c>
    </x:row>
    <x:row r="2449" ht="20" customHeight="1">
      <x:c r="A2449" s="1" t="str">
        <x:v>22197</x:v>
      </x:c>
      <x:c r="B2449" s="9" t="d">
        <x:v>2011-08-11T00:00:00.000Z</x:v>
      </x:c>
      <x:c r="C2449" s="13" t="n">
        <x:v>691</x:v>
      </x:c>
    </x:row>
    <x:row r="2450" ht="20" customHeight="1">
      <x:c r="A2450" s="1" t="str">
        <x:v>22197</x:v>
      </x:c>
      <x:c r="B2450" s="9" t="d">
        <x:v>2011-08-12T00:00:00.000Z</x:v>
      </x:c>
      <x:c r="C2450" s="13" t="n">
        <x:v>160</x:v>
      </x:c>
    </x:row>
    <x:row r="2451" ht="20" customHeight="1">
      <x:c r="A2451" s="1" t="str">
        <x:v>22197</x:v>
      </x:c>
      <x:c r="B2451" s="9" t="d">
        <x:v>2011-08-13T00:00:00.000Z</x:v>
      </x:c>
      <x:c r="C2451" s="13" t="n">
        <x:v>0</x:v>
      </x:c>
    </x:row>
    <x:row r="2452" ht="20" customHeight="1">
      <x:c r="A2452" s="1" t="str">
        <x:v>22197</x:v>
      </x:c>
      <x:c r="B2452" s="9" t="d">
        <x:v>2011-08-14T00:00:00.000Z</x:v>
      </x:c>
      <x:c r="C2452" s="13" t="n">
        <x:v>24</x:v>
      </x:c>
    </x:row>
    <x:row r="2453" ht="20" customHeight="1">
      <x:c r="A2453" s="1" t="str">
        <x:v>22197</x:v>
      </x:c>
      <x:c r="B2453" s="9" t="d">
        <x:v>2011-08-15T00:00:00.000Z</x:v>
      </x:c>
      <x:c r="C2453" s="13" t="n">
        <x:v>100</x:v>
      </x:c>
    </x:row>
    <x:row r="2454" ht="20" customHeight="1">
      <x:c r="A2454" s="1" t="str">
        <x:v>22197</x:v>
      </x:c>
      <x:c r="B2454" s="9" t="d">
        <x:v>2011-08-16T00:00:00.000Z</x:v>
      </x:c>
      <x:c r="C2454" s="13" t="n">
        <x:v>33</x:v>
      </x:c>
    </x:row>
    <x:row r="2455" ht="20" customHeight="1">
      <x:c r="A2455" s="1" t="str">
        <x:v>22197</x:v>
      </x:c>
      <x:c r="B2455" s="9" t="d">
        <x:v>2011-08-17T00:00:00.000Z</x:v>
      </x:c>
      <x:c r="C2455" s="13" t="n">
        <x:v>194</x:v>
      </x:c>
    </x:row>
    <x:row r="2456" ht="20" customHeight="1">
      <x:c r="A2456" s="1" t="str">
        <x:v>22197</x:v>
      </x:c>
      <x:c r="B2456" s="9" t="d">
        <x:v>2011-08-18T00:00:00.000Z</x:v>
      </x:c>
      <x:c r="C2456" s="13" t="n">
        <x:v>38</x:v>
      </x:c>
    </x:row>
    <x:row r="2457" ht="20" customHeight="1">
      <x:c r="A2457" s="1" t="str">
        <x:v>22197</x:v>
      </x:c>
      <x:c r="B2457" s="9" t="d">
        <x:v>2011-08-19T00:00:00.000Z</x:v>
      </x:c>
      <x:c r="C2457" s="13" t="n">
        <x:v>98</x:v>
      </x:c>
    </x:row>
    <x:row r="2458" ht="20" customHeight="1">
      <x:c r="A2458" s="1" t="str">
        <x:v>22197</x:v>
      </x:c>
      <x:c r="B2458" s="9" t="d">
        <x:v>2011-08-20T00:00:00.000Z</x:v>
      </x:c>
      <x:c r="C2458" s="13" t="n">
        <x:v>0</x:v>
      </x:c>
    </x:row>
    <x:row r="2459" ht="20" customHeight="1">
      <x:c r="A2459" s="1" t="str">
        <x:v>22197</x:v>
      </x:c>
      <x:c r="B2459" s="9" t="d">
        <x:v>2011-08-21T00:00:00.000Z</x:v>
      </x:c>
      <x:c r="C2459" s="13" t="n">
        <x:v>55</x:v>
      </x:c>
    </x:row>
    <x:row r="2460" ht="20" customHeight="1">
      <x:c r="A2460" s="1" t="str">
        <x:v>22197</x:v>
      </x:c>
      <x:c r="B2460" s="9" t="d">
        <x:v>2011-08-22T00:00:00.000Z</x:v>
      </x:c>
      <x:c r="C2460" s="13" t="n">
        <x:v>36</x:v>
      </x:c>
    </x:row>
    <x:row r="2461" ht="20" customHeight="1">
      <x:c r="A2461" s="1" t="str">
        <x:v>22197</x:v>
      </x:c>
      <x:c r="B2461" s="9" t="d">
        <x:v>2011-08-23T00:00:00.000Z</x:v>
      </x:c>
      <x:c r="C2461" s="13" t="n">
        <x:v>49</x:v>
      </x:c>
    </x:row>
    <x:row r="2462" ht="20" customHeight="1">
      <x:c r="A2462" s="1" t="str">
        <x:v>22197</x:v>
      </x:c>
      <x:c r="B2462" s="9" t="d">
        <x:v>2011-08-24T00:00:00.000Z</x:v>
      </x:c>
      <x:c r="C2462" s="13" t="n">
        <x:v>76</x:v>
      </x:c>
    </x:row>
    <x:row r="2463" ht="20" customHeight="1">
      <x:c r="A2463" s="1" t="str">
        <x:v>22197</x:v>
      </x:c>
      <x:c r="B2463" s="9" t="d">
        <x:v>2011-08-25T00:00:00.000Z</x:v>
      </x:c>
      <x:c r="C2463" s="13" t="n">
        <x:v>34</x:v>
      </x:c>
    </x:row>
    <x:row r="2464" ht="20" customHeight="1">
      <x:c r="A2464" s="1" t="str">
        <x:v>22197</x:v>
      </x:c>
      <x:c r="B2464" s="9" t="d">
        <x:v>2011-08-26T00:00:00.000Z</x:v>
      </x:c>
      <x:c r="C2464" s="13" t="n">
        <x:v>613</x:v>
      </x:c>
    </x:row>
    <x:row r="2465" ht="20" customHeight="1">
      <x:c r="A2465" s="1" t="str">
        <x:v>22197</x:v>
      </x:c>
      <x:c r="B2465" s="9" t="d">
        <x:v>2011-08-27T00:00:00.000Z</x:v>
      </x:c>
      <x:c r="C2465" s="13" t="n">
        <x:v>0</x:v>
      </x:c>
    </x:row>
    <x:row r="2466" ht="20" customHeight="1">
      <x:c r="A2466" s="1" t="str">
        <x:v>22197</x:v>
      </x:c>
      <x:c r="B2466" s="9" t="d">
        <x:v>2011-08-28T00:00:00.000Z</x:v>
      </x:c>
      <x:c r="C2466" s="13" t="n">
        <x:v>18</x:v>
      </x:c>
    </x:row>
    <x:row r="2467" ht="20" customHeight="1">
      <x:c r="A2467" s="1" t="str">
        <x:v>22197</x:v>
      </x:c>
      <x:c r="B2467" s="9" t="d">
        <x:v>2011-08-29T00:00:00.000Z</x:v>
      </x:c>
      <x:c r="C2467" s="13" t="n">
        <x:v>0</x:v>
      </x:c>
    </x:row>
    <x:row r="2468" ht="20" customHeight="1">
      <x:c r="A2468" s="1" t="str">
        <x:v>22197</x:v>
      </x:c>
      <x:c r="B2468" s="9" t="d">
        <x:v>2011-08-30T00:00:00.000Z</x:v>
      </x:c>
      <x:c r="C2468" s="13" t="n">
        <x:v>40</x:v>
      </x:c>
    </x:row>
    <x:row r="2469" ht="20" customHeight="1">
      <x:c r="A2469" s="1" t="str">
        <x:v>22197</x:v>
      </x:c>
      <x:c r="B2469" s="9" t="d">
        <x:v>2011-08-31T00:00:00.000Z</x:v>
      </x:c>
      <x:c r="C2469" s="13" t="n">
        <x:v>124</x:v>
      </x:c>
    </x:row>
    <x:row r="2470" ht="20" customHeight="1">
      <x:c r="A2470" s="1" t="str">
        <x:v>22197</x:v>
      </x:c>
      <x:c r="B2470" s="9" t="d">
        <x:v>2011-09-01T00:00:00.000Z</x:v>
      </x:c>
      <x:c r="C2470" s="13" t="n">
        <x:v>101</x:v>
      </x:c>
    </x:row>
    <x:row r="2471" ht="20" customHeight="1">
      <x:c r="A2471" s="1" t="str">
        <x:v>22197</x:v>
      </x:c>
      <x:c r="B2471" s="9" t="d">
        <x:v>2011-09-02T00:00:00.000Z</x:v>
      </x:c>
      <x:c r="C2471" s="13" t="n">
        <x:v>667</x:v>
      </x:c>
    </x:row>
    <x:row r="2472" ht="20" customHeight="1">
      <x:c r="A2472" s="1" t="str">
        <x:v>22197</x:v>
      </x:c>
      <x:c r="B2472" s="9" t="d">
        <x:v>2011-09-03T00:00:00.000Z</x:v>
      </x:c>
      <x:c r="C2472" s="13" t="n">
        <x:v>0</x:v>
      </x:c>
    </x:row>
    <x:row r="2473" ht="20" customHeight="1">
      <x:c r="A2473" s="1" t="str">
        <x:v>22197</x:v>
      </x:c>
      <x:c r="B2473" s="9" t="d">
        <x:v>2011-09-04T00:00:00.000Z</x:v>
      </x:c>
      <x:c r="C2473" s="13" t="n">
        <x:v>24</x:v>
      </x:c>
    </x:row>
    <x:row r="2474" ht="20" customHeight="1">
      <x:c r="A2474" s="1" t="str">
        <x:v>22197</x:v>
      </x:c>
      <x:c r="B2474" s="9" t="d">
        <x:v>2011-09-05T00:00:00.000Z</x:v>
      </x:c>
      <x:c r="C2474" s="13" t="n">
        <x:v>105</x:v>
      </x:c>
    </x:row>
    <x:row r="2475" ht="20" customHeight="1">
      <x:c r="A2475" s="1" t="str">
        <x:v>22197</x:v>
      </x:c>
      <x:c r="B2475" s="9" t="d">
        <x:v>2011-09-06T00:00:00.000Z</x:v>
      </x:c>
      <x:c r="C2475" s="13" t="n">
        <x:v>27</x:v>
      </x:c>
    </x:row>
    <x:row r="2476" ht="20" customHeight="1">
      <x:c r="A2476" s="1" t="str">
        <x:v>22197</x:v>
      </x:c>
      <x:c r="B2476" s="9" t="d">
        <x:v>2011-09-07T00:00:00.000Z</x:v>
      </x:c>
      <x:c r="C2476" s="13" t="n">
        <x:v>79</x:v>
      </x:c>
    </x:row>
    <x:row r="2477" ht="20" customHeight="1">
      <x:c r="A2477" s="1" t="str">
        <x:v>22197</x:v>
      </x:c>
      <x:c r="B2477" s="9" t="d">
        <x:v>2011-09-08T00:00:00.000Z</x:v>
      </x:c>
      <x:c r="C2477" s="13" t="n">
        <x:v>67</x:v>
      </x:c>
    </x:row>
    <x:row r="2478" ht="20" customHeight="1">
      <x:c r="A2478" s="1" t="str">
        <x:v>22197</x:v>
      </x:c>
      <x:c r="B2478" s="9" t="d">
        <x:v>2011-09-09T00:00:00.000Z</x:v>
      </x:c>
      <x:c r="C2478" s="13" t="n">
        <x:v>136</x:v>
      </x:c>
    </x:row>
    <x:row r="2479" ht="20" customHeight="1">
      <x:c r="A2479" s="1" t="str">
        <x:v>22197</x:v>
      </x:c>
      <x:c r="B2479" s="9" t="d">
        <x:v>2011-09-10T00:00:00.000Z</x:v>
      </x:c>
      <x:c r="C2479" s="13" t="n">
        <x:v>0</x:v>
      </x:c>
    </x:row>
    <x:row r="2480" ht="20" customHeight="1">
      <x:c r="A2480" s="1" t="str">
        <x:v>22197</x:v>
      </x:c>
      <x:c r="B2480" s="9" t="d">
        <x:v>2011-09-11T00:00:00.000Z</x:v>
      </x:c>
      <x:c r="C2480" s="13" t="n">
        <x:v>102</x:v>
      </x:c>
    </x:row>
    <x:row r="2481" ht="20" customHeight="1">
      <x:c r="A2481" s="1" t="str">
        <x:v>22197</x:v>
      </x:c>
      <x:c r="B2481" s="9" t="d">
        <x:v>2011-09-12T00:00:00.000Z</x:v>
      </x:c>
      <x:c r="C2481" s="13" t="n">
        <x:v>209</x:v>
      </x:c>
    </x:row>
    <x:row r="2482" ht="20" customHeight="1">
      <x:c r="A2482" s="1" t="str">
        <x:v>22197</x:v>
      </x:c>
      <x:c r="B2482" s="9" t="d">
        <x:v>2011-09-13T00:00:00.000Z</x:v>
      </x:c>
      <x:c r="C2482" s="13" t="n">
        <x:v>50</x:v>
      </x:c>
    </x:row>
    <x:row r="2483" ht="20" customHeight="1">
      <x:c r="A2483" s="1" t="str">
        <x:v>22197</x:v>
      </x:c>
      <x:c r="B2483" s="9" t="d">
        <x:v>2011-09-14T00:00:00.000Z</x:v>
      </x:c>
      <x:c r="C2483" s="13" t="n">
        <x:v>102</x:v>
      </x:c>
    </x:row>
    <x:row r="2484" ht="20" customHeight="1">
      <x:c r="A2484" s="1" t="str">
        <x:v>22197</x:v>
      </x:c>
      <x:c r="B2484" s="9" t="d">
        <x:v>2011-09-15T00:00:00.000Z</x:v>
      </x:c>
      <x:c r="C2484" s="13" t="n">
        <x:v>35</x:v>
      </x:c>
    </x:row>
    <x:row r="2485" ht="20" customHeight="1">
      <x:c r="A2485" s="1" t="str">
        <x:v>22197</x:v>
      </x:c>
      <x:c r="B2485" s="9" t="d">
        <x:v>2011-09-16T00:00:00.000Z</x:v>
      </x:c>
      <x:c r="C2485" s="13" t="n">
        <x:v>134</x:v>
      </x:c>
    </x:row>
    <x:row r="2486" ht="20" customHeight="1">
      <x:c r="A2486" s="1" t="str">
        <x:v>22197</x:v>
      </x:c>
      <x:c r="B2486" s="9" t="d">
        <x:v>2011-09-17T00:00:00.000Z</x:v>
      </x:c>
      <x:c r="C2486" s="13" t="n">
        <x:v>0</x:v>
      </x:c>
    </x:row>
    <x:row r="2487" ht="20" customHeight="1">
      <x:c r="A2487" s="1" t="str">
        <x:v>22197</x:v>
      </x:c>
      <x:c r="B2487" s="9" t="d">
        <x:v>2011-09-18T00:00:00.000Z</x:v>
      </x:c>
      <x:c r="C2487" s="13" t="n">
        <x:v>40</x:v>
      </x:c>
    </x:row>
    <x:row r="2488" ht="20" customHeight="1">
      <x:c r="A2488" s="1" t="str">
        <x:v>22197</x:v>
      </x:c>
      <x:c r="B2488" s="9" t="d">
        <x:v>2011-09-19T00:00:00.000Z</x:v>
      </x:c>
      <x:c r="C2488" s="13" t="n">
        <x:v>222</x:v>
      </x:c>
    </x:row>
    <x:row r="2489" ht="20" customHeight="1">
      <x:c r="A2489" s="1" t="str">
        <x:v>22197</x:v>
      </x:c>
      <x:c r="B2489" s="9" t="d">
        <x:v>2011-09-20T00:00:00.000Z</x:v>
      </x:c>
      <x:c r="C2489" s="13" t="n">
        <x:v>181</x:v>
      </x:c>
    </x:row>
    <x:row r="2490" ht="20" customHeight="1">
      <x:c r="A2490" s="1" t="str">
        <x:v>22197</x:v>
      </x:c>
      <x:c r="B2490" s="9" t="d">
        <x:v>2011-09-21T00:00:00.000Z</x:v>
      </x:c>
      <x:c r="C2490" s="13" t="n">
        <x:v>143</x:v>
      </x:c>
    </x:row>
    <x:row r="2491" ht="20" customHeight="1">
      <x:c r="A2491" s="1" t="str">
        <x:v>22197</x:v>
      </x:c>
      <x:c r="B2491" s="9" t="d">
        <x:v>2011-09-22T00:00:00.000Z</x:v>
      </x:c>
      <x:c r="C2491" s="13" t="n">
        <x:v>25</x:v>
      </x:c>
    </x:row>
    <x:row r="2492" ht="20" customHeight="1">
      <x:c r="A2492" s="1" t="str">
        <x:v>22197</x:v>
      </x:c>
      <x:c r="B2492" s="9" t="d">
        <x:v>2011-09-23T00:00:00.000Z</x:v>
      </x:c>
      <x:c r="C2492" s="13" t="n">
        <x:v>99</x:v>
      </x:c>
    </x:row>
    <x:row r="2493" ht="20" customHeight="1">
      <x:c r="A2493" s="1" t="str">
        <x:v>22197</x:v>
      </x:c>
      <x:c r="B2493" s="9" t="d">
        <x:v>2011-09-24T00:00:00.000Z</x:v>
      </x:c>
      <x:c r="C2493" s="13" t="n">
        <x:v>0</x:v>
      </x:c>
    </x:row>
    <x:row r="2494" ht="20" customHeight="1">
      <x:c r="A2494" s="1" t="str">
        <x:v>22197</x:v>
      </x:c>
      <x:c r="B2494" s="9" t="d">
        <x:v>2011-09-25T00:00:00.000Z</x:v>
      </x:c>
      <x:c r="C2494" s="13" t="n">
        <x:v>12</x:v>
      </x:c>
    </x:row>
    <x:row r="2495" ht="20" customHeight="1">
      <x:c r="A2495" s="1" t="str">
        <x:v>22197</x:v>
      </x:c>
      <x:c r="B2495" s="9" t="d">
        <x:v>2011-09-26T00:00:00.000Z</x:v>
      </x:c>
      <x:c r="C2495" s="13" t="n">
        <x:v>27</x:v>
      </x:c>
    </x:row>
    <x:row r="2496" ht="20" customHeight="1">
      <x:c r="A2496" s="1" t="str">
        <x:v>22197</x:v>
      </x:c>
      <x:c r="B2496" s="9" t="d">
        <x:v>2011-09-27T00:00:00.000Z</x:v>
      </x:c>
      <x:c r="C2496" s="13" t="n">
        <x:v>85</x:v>
      </x:c>
    </x:row>
    <x:row r="2497" ht="20" customHeight="1">
      <x:c r="A2497" s="1" t="str">
        <x:v>22197</x:v>
      </x:c>
      <x:c r="B2497" s="9" t="d">
        <x:v>2011-09-28T00:00:00.000Z</x:v>
      </x:c>
      <x:c r="C2497" s="13" t="n">
        <x:v>143</x:v>
      </x:c>
    </x:row>
    <x:row r="2498" ht="20" customHeight="1">
      <x:c r="A2498" s="1" t="str">
        <x:v>22197</x:v>
      </x:c>
      <x:c r="B2498" s="9" t="d">
        <x:v>2011-09-29T00:00:00.000Z</x:v>
      </x:c>
      <x:c r="C2498" s="13" t="n">
        <x:v>296</x:v>
      </x:c>
    </x:row>
    <x:row r="2499" ht="20" customHeight="1">
      <x:c r="A2499" s="1" t="str">
        <x:v>22197</x:v>
      </x:c>
      <x:c r="B2499" s="9" t="d">
        <x:v>2011-09-30T00:00:00.000Z</x:v>
      </x:c>
      <x:c r="C2499" s="13" t="n">
        <x:v>1085</x:v>
      </x:c>
    </x:row>
    <x:row r="2500" ht="20" customHeight="1">
      <x:c r="A2500" s="1" t="str">
        <x:v>22197</x:v>
      </x:c>
      <x:c r="B2500" s="9" t="d">
        <x:v>2011-10-01T00:00:00.000Z</x:v>
      </x:c>
      <x:c r="C2500" s="13" t="n">
        <x:v>0</x:v>
      </x:c>
    </x:row>
    <x:row r="2501" ht="20" customHeight="1">
      <x:c r="A2501" s="1" t="str">
        <x:v>22197</x:v>
      </x:c>
      <x:c r="B2501" s="9" t="d">
        <x:v>2011-10-02T00:00:00.000Z</x:v>
      </x:c>
      <x:c r="C2501" s="13" t="n">
        <x:v>39</x:v>
      </x:c>
    </x:row>
    <x:row r="2502" ht="20" customHeight="1">
      <x:c r="A2502" s="1" t="str">
        <x:v>22197</x:v>
      </x:c>
      <x:c r="B2502" s="9" t="d">
        <x:v>2011-10-03T00:00:00.000Z</x:v>
      </x:c>
      <x:c r="C2502" s="13" t="n">
        <x:v>76</x:v>
      </x:c>
    </x:row>
    <x:row r="2503" ht="20" customHeight="1">
      <x:c r="A2503" s="1" t="str">
        <x:v>22197</x:v>
      </x:c>
      <x:c r="B2503" s="9" t="d">
        <x:v>2011-10-04T00:00:00.000Z</x:v>
      </x:c>
      <x:c r="C2503" s="13" t="n">
        <x:v>147</x:v>
      </x:c>
    </x:row>
    <x:row r="2504" ht="20" customHeight="1">
      <x:c r="A2504" s="1" t="str">
        <x:v>22197</x:v>
      </x:c>
      <x:c r="B2504" s="9" t="d">
        <x:v>2011-10-05T00:00:00.000Z</x:v>
      </x:c>
      <x:c r="C2504" s="13" t="n">
        <x:v>50</x:v>
      </x:c>
    </x:row>
    <x:row r="2505" ht="20" customHeight="1">
      <x:c r="A2505" s="1" t="str">
        <x:v>22197</x:v>
      </x:c>
      <x:c r="B2505" s="9" t="d">
        <x:v>2011-10-06T00:00:00.000Z</x:v>
      </x:c>
      <x:c r="C2505" s="13" t="n">
        <x:v>389</x:v>
      </x:c>
    </x:row>
    <x:row r="2506" ht="20" customHeight="1">
      <x:c r="A2506" s="1" t="str">
        <x:v>22197</x:v>
      </x:c>
      <x:c r="B2506" s="9" t="d">
        <x:v>2011-10-07T00:00:00.000Z</x:v>
      </x:c>
      <x:c r="C2506" s="13" t="n">
        <x:v>47</x:v>
      </x:c>
    </x:row>
    <x:row r="2507" ht="20" customHeight="1">
      <x:c r="A2507" s="1" t="str">
        <x:v>22197</x:v>
      </x:c>
      <x:c r="B2507" s="9" t="d">
        <x:v>2011-10-08T00:00:00.000Z</x:v>
      </x:c>
      <x:c r="C2507" s="13" t="n">
        <x:v>0</x:v>
      </x:c>
    </x:row>
    <x:row r="2508" ht="20" customHeight="1">
      <x:c r="A2508" s="1" t="str">
        <x:v>22197</x:v>
      </x:c>
      <x:c r="B2508" s="9" t="d">
        <x:v>2011-10-09T00:00:00.000Z</x:v>
      </x:c>
      <x:c r="C2508" s="13" t="n">
        <x:v>126</x:v>
      </x:c>
    </x:row>
    <x:row r="2509" ht="20" customHeight="1">
      <x:c r="A2509" s="1" t="str">
        <x:v>22197</x:v>
      </x:c>
      <x:c r="B2509" s="9" t="d">
        <x:v>2011-10-10T00:00:00.000Z</x:v>
      </x:c>
      <x:c r="C2509" s="13" t="n">
        <x:v>159</x:v>
      </x:c>
    </x:row>
    <x:row r="2510" ht="20" customHeight="1">
      <x:c r="A2510" s="1" t="str">
        <x:v>22197</x:v>
      </x:c>
      <x:c r="B2510" s="9" t="d">
        <x:v>2011-10-11T00:00:00.000Z</x:v>
      </x:c>
      <x:c r="C2510" s="13" t="n">
        <x:v>124</x:v>
      </x:c>
    </x:row>
    <x:row r="2511" ht="20" customHeight="1">
      <x:c r="A2511" s="1" t="str">
        <x:v>22197</x:v>
      </x:c>
      <x:c r="B2511" s="9" t="d">
        <x:v>2011-10-12T00:00:00.000Z</x:v>
      </x:c>
      <x:c r="C2511" s="13" t="n">
        <x:v>210</x:v>
      </x:c>
    </x:row>
    <x:row r="2512" ht="20" customHeight="1">
      <x:c r="A2512" s="1" t="str">
        <x:v>22197</x:v>
      </x:c>
      <x:c r="B2512" s="9" t="d">
        <x:v>2011-10-13T00:00:00.000Z</x:v>
      </x:c>
      <x:c r="C2512" s="13" t="n">
        <x:v>133</x:v>
      </x:c>
    </x:row>
    <x:row r="2513" ht="20" customHeight="1">
      <x:c r="A2513" s="1" t="str">
        <x:v>22197</x:v>
      </x:c>
      <x:c r="B2513" s="9" t="d">
        <x:v>2011-10-14T00:00:00.000Z</x:v>
      </x:c>
      <x:c r="C2513" s="13" t="n">
        <x:v>252</x:v>
      </x:c>
    </x:row>
    <x:row r="2514" ht="20" customHeight="1">
      <x:c r="A2514" s="1" t="str">
        <x:v>22197</x:v>
      </x:c>
      <x:c r="B2514" s="9" t="d">
        <x:v>2011-10-15T00:00:00.000Z</x:v>
      </x:c>
      <x:c r="C2514" s="13" t="n">
        <x:v>0</x:v>
      </x:c>
    </x:row>
    <x:row r="2515" ht="20" customHeight="1">
      <x:c r="A2515" s="1" t="str">
        <x:v>22197</x:v>
      </x:c>
      <x:c r="B2515" s="9" t="d">
        <x:v>2011-10-16T00:00:00.000Z</x:v>
      </x:c>
      <x:c r="C2515" s="13" t="n">
        <x:v>6</x:v>
      </x:c>
    </x:row>
    <x:row r="2516" ht="20" customHeight="1">
      <x:c r="A2516" s="1" t="str">
        <x:v>22197</x:v>
      </x:c>
      <x:c r="B2516" s="9" t="d">
        <x:v>2011-10-17T00:00:00.000Z</x:v>
      </x:c>
      <x:c r="C2516" s="13" t="n">
        <x:v>534</x:v>
      </x:c>
    </x:row>
    <x:row r="2517" ht="20" customHeight="1">
      <x:c r="A2517" s="1" t="str">
        <x:v>22197</x:v>
      </x:c>
      <x:c r="B2517" s="9" t="d">
        <x:v>2011-10-18T00:00:00.000Z</x:v>
      </x:c>
      <x:c r="C2517" s="13" t="n">
        <x:v>294</x:v>
      </x:c>
    </x:row>
    <x:row r="2518" ht="20" customHeight="1">
      <x:c r="A2518" s="1" t="str">
        <x:v>22197</x:v>
      </x:c>
      <x:c r="B2518" s="9" t="d">
        <x:v>2011-10-19T00:00:00.000Z</x:v>
      </x:c>
      <x:c r="C2518" s="13" t="n">
        <x:v>247</x:v>
      </x:c>
    </x:row>
    <x:row r="2519" ht="20" customHeight="1">
      <x:c r="A2519" s="1" t="str">
        <x:v>22197</x:v>
      </x:c>
      <x:c r="B2519" s="9" t="d">
        <x:v>2011-10-20T00:00:00.000Z</x:v>
      </x:c>
      <x:c r="C2519" s="13" t="n">
        <x:v>15</x:v>
      </x:c>
    </x:row>
    <x:row r="2520" ht="20" customHeight="1">
      <x:c r="A2520" s="1" t="str">
        <x:v>22197</x:v>
      </x:c>
      <x:c r="B2520" s="9" t="d">
        <x:v>2011-10-21T00:00:00.000Z</x:v>
      </x:c>
      <x:c r="C2520" s="13" t="n">
        <x:v>62</x:v>
      </x:c>
    </x:row>
    <x:row r="2521" ht="20" customHeight="1">
      <x:c r="A2521" s="1" t="str">
        <x:v>22197</x:v>
      </x:c>
      <x:c r="B2521" s="9" t="d">
        <x:v>2011-10-22T00:00:00.000Z</x:v>
      </x:c>
      <x:c r="C2521" s="13" t="n">
        <x:v>0</x:v>
      </x:c>
    </x:row>
    <x:row r="2522" ht="20" customHeight="1">
      <x:c r="A2522" s="1" t="str">
        <x:v>22197</x:v>
      </x:c>
      <x:c r="B2522" s="9" t="d">
        <x:v>2011-10-23T00:00:00.000Z</x:v>
      </x:c>
      <x:c r="C2522" s="13" t="n">
        <x:v>12</x:v>
      </x:c>
    </x:row>
    <x:row r="2523" ht="20" customHeight="1">
      <x:c r="A2523" s="1" t="str">
        <x:v>22197</x:v>
      </x:c>
      <x:c r="B2523" s="9" t="d">
        <x:v>2011-10-24T00:00:00.000Z</x:v>
      </x:c>
      <x:c r="C2523" s="13" t="n">
        <x:v>232</x:v>
      </x:c>
    </x:row>
    <x:row r="2524" ht="20" customHeight="1">
      <x:c r="A2524" s="1" t="str">
        <x:v>22197</x:v>
      </x:c>
      <x:c r="B2524" s="9" t="d">
        <x:v>2011-10-25T00:00:00.000Z</x:v>
      </x:c>
      <x:c r="C2524" s="13" t="n">
        <x:v>251</x:v>
      </x:c>
    </x:row>
    <x:row r="2525" ht="20" customHeight="1">
      <x:c r="A2525" s="1" t="str">
        <x:v>22197</x:v>
      </x:c>
      <x:c r="B2525" s="9" t="d">
        <x:v>2011-10-26T00:00:00.000Z</x:v>
      </x:c>
      <x:c r="C2525" s="13" t="n">
        <x:v>43</x:v>
      </x:c>
    </x:row>
    <x:row r="2526" ht="20" customHeight="1">
      <x:c r="A2526" s="1" t="str">
        <x:v>22197</x:v>
      </x:c>
      <x:c r="B2526" s="9" t="d">
        <x:v>2011-10-27T00:00:00.000Z</x:v>
      </x:c>
      <x:c r="C2526" s="13" t="n">
        <x:v>47</x:v>
      </x:c>
    </x:row>
    <x:row r="2527" ht="20" customHeight="1">
      <x:c r="A2527" s="1" t="str">
        <x:v>22197</x:v>
      </x:c>
      <x:c r="B2527" s="9" t="d">
        <x:v>2011-10-28T00:00:00.000Z</x:v>
      </x:c>
      <x:c r="C2527" s="13" t="n">
        <x:v>2065</x:v>
      </x:c>
    </x:row>
    <x:row r="2528" ht="20" customHeight="1">
      <x:c r="A2528" s="1" t="str">
        <x:v>22197</x:v>
      </x:c>
      <x:c r="B2528" s="9" t="d">
        <x:v>2011-10-29T00:00:00.000Z</x:v>
      </x:c>
      <x:c r="C2528" s="13" t="n">
        <x:v>0</x:v>
      </x:c>
    </x:row>
    <x:row r="2529" ht="20" customHeight="1">
      <x:c r="A2529" s="1" t="str">
        <x:v>22197</x:v>
      </x:c>
      <x:c r="B2529" s="9" t="d">
        <x:v>2011-10-30T00:00:00.000Z</x:v>
      </x:c>
      <x:c r="C2529" s="13" t="n">
        <x:v>133</x:v>
      </x:c>
    </x:row>
    <x:row r="2530" ht="20" customHeight="1">
      <x:c r="A2530" s="1" t="str">
        <x:v>22197</x:v>
      </x:c>
      <x:c r="B2530" s="9" t="d">
        <x:v>2011-10-31T00:00:00.000Z</x:v>
      </x:c>
      <x:c r="C2530" s="13" t="n">
        <x:v>210</x:v>
      </x:c>
    </x:row>
    <x:row r="2531" ht="20" customHeight="1">
      <x:c r="A2531" s="1" t="str">
        <x:v>22197</x:v>
      </x:c>
      <x:c r="B2531" s="9" t="d">
        <x:v>2011-11-01T00:00:00.000Z</x:v>
      </x:c>
      <x:c r="C2531" s="13" t="n">
        <x:v>286</x:v>
      </x:c>
    </x:row>
    <x:row r="2532" ht="20" customHeight="1">
      <x:c r="A2532" s="1" t="str">
        <x:v>22197</x:v>
      </x:c>
      <x:c r="B2532" s="9" t="d">
        <x:v>2011-11-02T00:00:00.000Z</x:v>
      </x:c>
      <x:c r="C2532" s="13" t="n">
        <x:v>172</x:v>
      </x:c>
    </x:row>
    <x:row r="2533" ht="20" customHeight="1">
      <x:c r="A2533" s="1" t="str">
        <x:v>22197</x:v>
      </x:c>
      <x:c r="B2533" s="9" t="d">
        <x:v>2011-11-03T00:00:00.000Z</x:v>
      </x:c>
      <x:c r="C2533" s="13" t="n">
        <x:v>20</x:v>
      </x:c>
    </x:row>
    <x:row r="2534" ht="20" customHeight="1">
      <x:c r="A2534" s="1" t="str">
        <x:v>22197</x:v>
      </x:c>
      <x:c r="B2534" s="9" t="d">
        <x:v>2011-11-04T00:00:00.000Z</x:v>
      </x:c>
      <x:c r="C2534" s="13" t="n">
        <x:v>174</x:v>
      </x:c>
    </x:row>
    <x:row r="2535" ht="20" customHeight="1">
      <x:c r="A2535" s="1" t="str">
        <x:v>22197</x:v>
      </x:c>
      <x:c r="B2535" s="9" t="d">
        <x:v>2011-11-05T00:00:00.000Z</x:v>
      </x:c>
      <x:c r="C2535" s="13" t="n">
        <x:v>0</x:v>
      </x:c>
    </x:row>
    <x:row r="2536" ht="20" customHeight="1">
      <x:c r="A2536" s="1" t="str">
        <x:v>22197</x:v>
      </x:c>
      <x:c r="B2536" s="9" t="d">
        <x:v>2011-11-06T00:00:00.000Z</x:v>
      </x:c>
      <x:c r="C2536" s="13" t="n">
        <x:v>293</x:v>
      </x:c>
    </x:row>
    <x:row r="2537" ht="20" customHeight="1">
      <x:c r="A2537" s="1" t="str">
        <x:v>22197</x:v>
      </x:c>
      <x:c r="B2537" s="9" t="d">
        <x:v>2011-11-07T00:00:00.000Z</x:v>
      </x:c>
      <x:c r="C2537" s="13" t="n">
        <x:v>2012</x:v>
      </x:c>
    </x:row>
    <x:row r="2538" ht="20" customHeight="1">
      <x:c r="A2538" s="1" t="str">
        <x:v>22197</x:v>
      </x:c>
      <x:c r="B2538" s="9" t="d">
        <x:v>2011-11-08T00:00:00.000Z</x:v>
      </x:c>
      <x:c r="C2538" s="13" t="n">
        <x:v>172</x:v>
      </x:c>
    </x:row>
    <x:row r="2539" ht="20" customHeight="1">
      <x:c r="A2539" s="1" t="str">
        <x:v>22197</x:v>
      </x:c>
      <x:c r="B2539" s="9" t="d">
        <x:v>2011-11-09T00:00:00.000Z</x:v>
      </x:c>
      <x:c r="C2539" s="13" t="n">
        <x:v>1079</x:v>
      </x:c>
    </x:row>
    <x:row r="2540" ht="20" customHeight="1">
      <x:c r="A2540" s="1" t="str">
        <x:v>22197</x:v>
      </x:c>
      <x:c r="B2540" s="9" t="d">
        <x:v>2011-11-10T00:00:00.000Z</x:v>
      </x:c>
      <x:c r="C2540" s="13" t="n">
        <x:v>339</x:v>
      </x:c>
    </x:row>
    <x:row r="2541" ht="20" customHeight="1">
      <x:c r="A2541" s="1" t="str">
        <x:v>22197</x:v>
      </x:c>
      <x:c r="B2541" s="9" t="d">
        <x:v>2011-11-11T00:00:00.000Z</x:v>
      </x:c>
      <x:c r="C2541" s="13" t="n">
        <x:v>184</x:v>
      </x:c>
    </x:row>
    <x:row r="2542" ht="20" customHeight="1">
      <x:c r="A2542" s="1" t="str">
        <x:v>22197</x:v>
      </x:c>
      <x:c r="B2542" s="9" t="d">
        <x:v>2011-11-12T00:00:00.000Z</x:v>
      </x:c>
      <x:c r="C2542" s="13" t="n">
        <x:v>0</x:v>
      </x:c>
    </x:row>
    <x:row r="2543" ht="20" customHeight="1">
      <x:c r="A2543" s="1" t="str">
        <x:v>22197</x:v>
      </x:c>
      <x:c r="B2543" s="9" t="d">
        <x:v>2011-11-13T00:00:00.000Z</x:v>
      </x:c>
      <x:c r="C2543" s="13" t="n">
        <x:v>114</x:v>
      </x:c>
    </x:row>
    <x:row r="2544" ht="20" customHeight="1">
      <x:c r="A2544" s="1" t="str">
        <x:v>22197</x:v>
      </x:c>
      <x:c r="B2544" s="9" t="d">
        <x:v>2011-11-14T00:00:00.000Z</x:v>
      </x:c>
      <x:c r="C2544" s="13" t="n">
        <x:v>1767</x:v>
      </x:c>
    </x:row>
    <x:row r="2545" ht="20" customHeight="1">
      <x:c r="A2545" s="1" t="str">
        <x:v>22197</x:v>
      </x:c>
      <x:c r="B2545" s="9" t="d">
        <x:v>2011-11-15T00:00:00.000Z</x:v>
      </x:c>
      <x:c r="C2545" s="13" t="n">
        <x:v>221</x:v>
      </x:c>
    </x:row>
    <x:row r="2546" ht="20" customHeight="1">
      <x:c r="A2546" s="1" t="str">
        <x:v>22197</x:v>
      </x:c>
      <x:c r="B2546" s="9" t="d">
        <x:v>2011-11-16T00:00:00.000Z</x:v>
      </x:c>
      <x:c r="C2546" s="13" t="n">
        <x:v>352</x:v>
      </x:c>
    </x:row>
    <x:row r="2547" ht="20" customHeight="1">
      <x:c r="A2547" s="1" t="str">
        <x:v>22197</x:v>
      </x:c>
      <x:c r="B2547" s="9" t="d">
        <x:v>2011-11-17T00:00:00.000Z</x:v>
      </x:c>
      <x:c r="C2547" s="13" t="n">
        <x:v>135</x:v>
      </x:c>
    </x:row>
    <x:row r="2548" ht="20" customHeight="1">
      <x:c r="A2548" s="1" t="str">
        <x:v>22197</x:v>
      </x:c>
      <x:c r="B2548" s="9" t="d">
        <x:v>2011-11-18T00:00:00.000Z</x:v>
      </x:c>
      <x:c r="C2548" s="13" t="n">
        <x:v>449</x:v>
      </x:c>
    </x:row>
    <x:row r="2549" ht="20" customHeight="1">
      <x:c r="A2549" s="1" t="str">
        <x:v>22197</x:v>
      </x:c>
      <x:c r="B2549" s="9" t="d">
        <x:v>2011-11-19T00:00:00.000Z</x:v>
      </x:c>
      <x:c r="C2549" s="13" t="n">
        <x:v>0</x:v>
      </x:c>
    </x:row>
    <x:row r="2550" ht="20" customHeight="1">
      <x:c r="A2550" s="1" t="str">
        <x:v>22197</x:v>
      </x:c>
      <x:c r="B2550" s="9" t="d">
        <x:v>2011-11-20T00:00:00.000Z</x:v>
      </x:c>
      <x:c r="C2550" s="13" t="n">
        <x:v>218</x:v>
      </x:c>
    </x:row>
    <x:row r="2551" ht="20" customHeight="1">
      <x:c r="A2551" s="1" t="str">
        <x:v>22197</x:v>
      </x:c>
      <x:c r="B2551" s="9" t="d">
        <x:v>2011-11-21T00:00:00.000Z</x:v>
      </x:c>
      <x:c r="C2551" s="13" t="n">
        <x:v>349</x:v>
      </x:c>
    </x:row>
    <x:row r="2552" ht="20" customHeight="1">
      <x:c r="A2552" s="1" t="str">
        <x:v>22197</x:v>
      </x:c>
      <x:c r="B2552" s="9" t="d">
        <x:v>2011-11-22T00:00:00.000Z</x:v>
      </x:c>
      <x:c r="C2552" s="13" t="n">
        <x:v>1162</x:v>
      </x:c>
    </x:row>
    <x:row r="2553" ht="20" customHeight="1">
      <x:c r="A2553" s="1" t="str">
        <x:v>22197</x:v>
      </x:c>
      <x:c r="B2553" s="9" t="d">
        <x:v>2011-11-23T00:00:00.000Z</x:v>
      </x:c>
      <x:c r="C2553" s="13" t="n">
        <x:v>497</x:v>
      </x:c>
    </x:row>
    <x:row r="2554" ht="20" customHeight="1">
      <x:c r="A2554" s="1" t="str">
        <x:v>22197</x:v>
      </x:c>
      <x:c r="B2554" s="9" t="d">
        <x:v>2011-11-24T00:00:00.000Z</x:v>
      </x:c>
      <x:c r="C2554" s="13" t="n">
        <x:v>558</x:v>
      </x:c>
    </x:row>
    <x:row r="2555" ht="20" customHeight="1">
      <x:c r="A2555" s="1" t="str">
        <x:v>22197</x:v>
      </x:c>
      <x:c r="B2555" s="9" t="d">
        <x:v>2011-11-25T00:00:00.000Z</x:v>
      </x:c>
      <x:c r="C2555" s="13" t="n">
        <x:v>342</x:v>
      </x:c>
    </x:row>
    <x:row r="2556" ht="20" customHeight="1">
      <x:c r="A2556" s="1" t="str">
        <x:v>22197</x:v>
      </x:c>
      <x:c r="B2556" s="9" t="d">
        <x:v>2011-11-26T00:00:00.000Z</x:v>
      </x:c>
      <x:c r="C2556" s="13" t="n">
        <x:v>0</x:v>
      </x:c>
    </x:row>
    <x:row r="2557" ht="20" customHeight="1">
      <x:c r="A2557" s="1" t="str">
        <x:v>22197</x:v>
      </x:c>
      <x:c r="B2557" s="9" t="d">
        <x:v>2011-11-27T00:00:00.000Z</x:v>
      </x:c>
      <x:c r="C2557" s="13" t="n">
        <x:v>47</x:v>
      </x:c>
    </x:row>
    <x:row r="2558" ht="20" customHeight="1">
      <x:c r="A2558" s="1" t="str">
        <x:v>22197</x:v>
      </x:c>
      <x:c r="B2558" s="9" t="d">
        <x:v>2011-11-28T00:00:00.000Z</x:v>
      </x:c>
      <x:c r="C2558" s="13" t="n">
        <x:v>244</x:v>
      </x:c>
    </x:row>
    <x:row r="2559" ht="20" customHeight="1">
      <x:c r="A2559" s="1" t="str">
        <x:v>22197</x:v>
      </x:c>
      <x:c r="B2559" s="9" t="d">
        <x:v>2011-11-29T00:00:00.000Z</x:v>
      </x:c>
      <x:c r="C2559" s="13" t="n">
        <x:v>796</x:v>
      </x:c>
    </x:row>
    <x:row r="2560" ht="20" customHeight="1">
      <x:c r="A2560" s="1" t="str">
        <x:v>22197</x:v>
      </x:c>
      <x:c r="B2560" s="9" t="d">
        <x:v>2011-11-30T00:00:00.000Z</x:v>
      </x:c>
      <x:c r="C2560" s="13" t="n">
        <x:v>470</x:v>
      </x:c>
    </x:row>
    <x:row r="2561" ht="20" customHeight="1">
      <x:c r="A2561" s="1" t="str">
        <x:v>22423</x:v>
      </x:c>
      <x:c r="B2561" s="9" t="d">
        <x:v>2010-12-01T00:00:00.000Z</x:v>
      </x:c>
      <x:c r="C2561" s="13" t="n">
        <x:v>115</x:v>
      </x:c>
    </x:row>
    <x:row r="2562" ht="20" customHeight="1">
      <x:c r="A2562" s="1" t="str">
        <x:v>22423</x:v>
      </x:c>
      <x:c r="B2562" s="9" t="d">
        <x:v>2010-12-02T00:00:00.000Z</x:v>
      </x:c>
      <x:c r="C2562" s="13" t="n">
        <x:v>184</x:v>
      </x:c>
    </x:row>
    <x:row r="2563" ht="20" customHeight="1">
      <x:c r="A2563" s="1" t="str">
        <x:v>22423</x:v>
      </x:c>
      <x:c r="B2563" s="9" t="d">
        <x:v>2010-12-03T00:00:00.000Z</x:v>
      </x:c>
      <x:c r="C2563" s="13" t="n">
        <x:v>231</x:v>
      </x:c>
    </x:row>
    <x:row r="2564" ht="20" customHeight="1">
      <x:c r="A2564" s="1" t="str">
        <x:v>22423</x:v>
      </x:c>
      <x:c r="B2564" s="9" t="d">
        <x:v>2010-12-04T00:00:00.000Z</x:v>
      </x:c>
      <x:c r="C2564" s="13" t="n">
        <x:v>0</x:v>
      </x:c>
    </x:row>
    <x:row r="2565" ht="20" customHeight="1">
      <x:c r="A2565" s="1" t="str">
        <x:v>22423</x:v>
      </x:c>
      <x:c r="B2565" s="9" t="d">
        <x:v>2010-12-05T00:00:00.000Z</x:v>
      </x:c>
      <x:c r="C2565" s="13" t="n">
        <x:v>92</x:v>
      </x:c>
    </x:row>
    <x:row r="2566" ht="20" customHeight="1">
      <x:c r="A2566" s="1" t="str">
        <x:v>22423</x:v>
      </x:c>
      <x:c r="B2566" s="9" t="d">
        <x:v>2010-12-06T00:00:00.000Z</x:v>
      </x:c>
      <x:c r="C2566" s="13" t="n">
        <x:v>156</x:v>
      </x:c>
    </x:row>
    <x:row r="2567" ht="20" customHeight="1">
      <x:c r="A2567" s="1" t="str">
        <x:v>22423</x:v>
      </x:c>
      <x:c r="B2567" s="9" t="d">
        <x:v>2010-12-07T00:00:00.000Z</x:v>
      </x:c>
      <x:c r="C2567" s="13" t="n">
        <x:v>129</x:v>
      </x:c>
    </x:row>
    <x:row r="2568" ht="20" customHeight="1">
      <x:c r="A2568" s="1" t="str">
        <x:v>22423</x:v>
      </x:c>
      <x:c r="B2568" s="9" t="d">
        <x:v>2010-12-08T00:00:00.000Z</x:v>
      </x:c>
      <x:c r="C2568" s="13" t="n">
        <x:v>64</x:v>
      </x:c>
    </x:row>
    <x:row r="2569" ht="20" customHeight="1">
      <x:c r="A2569" s="1" t="str">
        <x:v>22423</x:v>
      </x:c>
      <x:c r="B2569" s="9" t="d">
        <x:v>2010-12-09T00:00:00.000Z</x:v>
      </x:c>
      <x:c r="C2569" s="13" t="n">
        <x:v>87</x:v>
      </x:c>
    </x:row>
    <x:row r="2570" ht="20" customHeight="1">
      <x:c r="A2570" s="1" t="str">
        <x:v>22423</x:v>
      </x:c>
      <x:c r="B2570" s="9" t="d">
        <x:v>2010-12-10T00:00:00.000Z</x:v>
      </x:c>
      <x:c r="C2570" s="13" t="n">
        <x:v>362</x:v>
      </x:c>
    </x:row>
    <x:row r="2571" ht="20" customHeight="1">
      <x:c r="A2571" s="1" t="str">
        <x:v>22423</x:v>
      </x:c>
      <x:c r="B2571" s="9" t="d">
        <x:v>2010-12-11T00:00:00.000Z</x:v>
      </x:c>
      <x:c r="C2571" s="13" t="n">
        <x:v>0</x:v>
      </x:c>
    </x:row>
    <x:row r="2572" ht="20" customHeight="1">
      <x:c r="A2572" s="1" t="str">
        <x:v>22423</x:v>
      </x:c>
      <x:c r="B2572" s="9" t="d">
        <x:v>2010-12-12T00:00:00.000Z</x:v>
      </x:c>
      <x:c r="C2572" s="13" t="n">
        <x:v>53</x:v>
      </x:c>
    </x:row>
    <x:row r="2573" ht="20" customHeight="1">
      <x:c r="A2573" s="1" t="str">
        <x:v>22423</x:v>
      </x:c>
      <x:c r="B2573" s="9" t="d">
        <x:v>2010-12-13T00:00:00.000Z</x:v>
      </x:c>
      <x:c r="C2573" s="13" t="n">
        <x:v>35</x:v>
      </x:c>
    </x:row>
    <x:row r="2574" ht="20" customHeight="1">
      <x:c r="A2574" s="1" t="str">
        <x:v>22423</x:v>
      </x:c>
      <x:c r="B2574" s="9" t="d">
        <x:v>2010-12-14T00:00:00.000Z</x:v>
      </x:c>
      <x:c r="C2574" s="13" t="n">
        <x:v>74</x:v>
      </x:c>
    </x:row>
    <x:row r="2575" ht="20" customHeight="1">
      <x:c r="A2575" s="1" t="str">
        <x:v>22423</x:v>
      </x:c>
      <x:c r="B2575" s="9" t="d">
        <x:v>2010-12-15T00:00:00.000Z</x:v>
      </x:c>
      <x:c r="C2575" s="13" t="n">
        <x:v>150</x:v>
      </x:c>
    </x:row>
    <x:row r="2576" ht="20" customHeight="1">
      <x:c r="A2576" s="1" t="str">
        <x:v>22423</x:v>
      </x:c>
      <x:c r="B2576" s="9" t="d">
        <x:v>2010-12-16T00:00:00.000Z</x:v>
      </x:c>
      <x:c r="C2576" s="13" t="n">
        <x:v>47</x:v>
      </x:c>
    </x:row>
    <x:row r="2577" ht="20" customHeight="1">
      <x:c r="A2577" s="1" t="str">
        <x:v>22423</x:v>
      </x:c>
      <x:c r="B2577" s="9" t="d">
        <x:v>2010-12-17T00:00:00.000Z</x:v>
      </x:c>
      <x:c r="C2577" s="13" t="n">
        <x:v>104</x:v>
      </x:c>
    </x:row>
    <x:row r="2578" ht="20" customHeight="1">
      <x:c r="A2578" s="1" t="str">
        <x:v>22423</x:v>
      </x:c>
      <x:c r="B2578" s="9" t="d">
        <x:v>2010-12-18T00:00:00.000Z</x:v>
      </x:c>
      <x:c r="C2578" s="13" t="n">
        <x:v>0</x:v>
      </x:c>
    </x:row>
    <x:row r="2579" ht="20" customHeight="1">
      <x:c r="A2579" s="1" t="str">
        <x:v>22423</x:v>
      </x:c>
      <x:c r="B2579" s="9" t="d">
        <x:v>2010-12-19T00:00:00.000Z</x:v>
      </x:c>
      <x:c r="C2579" s="13" t="n">
        <x:v>16</x:v>
      </x:c>
    </x:row>
    <x:row r="2580" ht="20" customHeight="1">
      <x:c r="A2580" s="1" t="str">
        <x:v>22423</x:v>
      </x:c>
      <x:c r="B2580" s="9" t="d">
        <x:v>2010-12-20T00:00:00.000Z</x:v>
      </x:c>
      <x:c r="C2580" s="13" t="n">
        <x:v>84</x:v>
      </x:c>
    </x:row>
    <x:row r="2581" ht="20" customHeight="1">
      <x:c r="A2581" s="1" t="str">
        <x:v>22423</x:v>
      </x:c>
      <x:c r="B2581" s="9" t="d">
        <x:v>2010-12-21T00:00:00.000Z</x:v>
      </x:c>
      <x:c r="C2581" s="13" t="n">
        <x:v>83</x:v>
      </x:c>
    </x:row>
    <x:row r="2582" ht="20" customHeight="1">
      <x:c r="A2582" s="1" t="str">
        <x:v>22423</x:v>
      </x:c>
      <x:c r="B2582" s="9" t="d">
        <x:v>2010-12-22T00:00:00.000Z</x:v>
      </x:c>
      <x:c r="C2582" s="13" t="n">
        <x:v>1</x:v>
      </x:c>
    </x:row>
    <x:row r="2583" ht="20" customHeight="1">
      <x:c r="A2583" s="1" t="str">
        <x:v>22423</x:v>
      </x:c>
      <x:c r="B2583" s="9" t="d">
        <x:v>2010-12-23T00:00:00.000Z</x:v>
      </x:c>
      <x:c r="C2583" s="13" t="n">
        <x:v>10</x:v>
      </x:c>
    </x:row>
    <x:row r="2584" ht="20" customHeight="1">
      <x:c r="A2584" s="1" t="str">
        <x:v>22423</x:v>
      </x:c>
      <x:c r="B2584" s="9" t="d">
        <x:v>2010-12-24T00:00:00.000Z</x:v>
      </x:c>
      <x:c r="C2584" s="13" t="n">
        <x:v>0</x:v>
      </x:c>
    </x:row>
    <x:row r="2585" ht="20" customHeight="1">
      <x:c r="A2585" s="1" t="str">
        <x:v>22423</x:v>
      </x:c>
      <x:c r="B2585" s="9" t="d">
        <x:v>2010-12-25T00:00:00.000Z</x:v>
      </x:c>
      <x:c r="C2585" s="13" t="n">
        <x:v>0</x:v>
      </x:c>
    </x:row>
    <x:row r="2586" ht="20" customHeight="1">
      <x:c r="A2586" s="1" t="str">
        <x:v>22423</x:v>
      </x:c>
      <x:c r="B2586" s="9" t="d">
        <x:v>2010-12-26T00:00:00.000Z</x:v>
      </x:c>
      <x:c r="C2586" s="13" t="n">
        <x:v>0</x:v>
      </x:c>
    </x:row>
    <x:row r="2587" ht="20" customHeight="1">
      <x:c r="A2587" s="1" t="str">
        <x:v>22423</x:v>
      </x:c>
      <x:c r="B2587" s="9" t="d">
        <x:v>2010-12-27T00:00:00.000Z</x:v>
      </x:c>
      <x:c r="C2587" s="13" t="n">
        <x:v>0</x:v>
      </x:c>
    </x:row>
    <x:row r="2588" ht="20" customHeight="1">
      <x:c r="A2588" s="1" t="str">
        <x:v>22423</x:v>
      </x:c>
      <x:c r="B2588" s="9" t="d">
        <x:v>2010-12-28T00:00:00.000Z</x:v>
      </x:c>
      <x:c r="C2588" s="13" t="n">
        <x:v>0</x:v>
      </x:c>
    </x:row>
    <x:row r="2589" ht="20" customHeight="1">
      <x:c r="A2589" s="1" t="str">
        <x:v>22423</x:v>
      </x:c>
      <x:c r="B2589" s="9" t="d">
        <x:v>2010-12-29T00:00:00.000Z</x:v>
      </x:c>
      <x:c r="C2589" s="13" t="n">
        <x:v>0</x:v>
      </x:c>
    </x:row>
    <x:row r="2590" ht="20" customHeight="1">
      <x:c r="A2590" s="1" t="str">
        <x:v>22423</x:v>
      </x:c>
      <x:c r="B2590" s="9" t="d">
        <x:v>2010-12-30T00:00:00.000Z</x:v>
      </x:c>
      <x:c r="C2590" s="13" t="n">
        <x:v>0</x:v>
      </x:c>
    </x:row>
    <x:row r="2591" ht="20" customHeight="1">
      <x:c r="A2591" s="1" t="str">
        <x:v>22423</x:v>
      </x:c>
      <x:c r="B2591" s="9" t="d">
        <x:v>2010-12-31T00:00:00.000Z</x:v>
      </x:c>
      <x:c r="C2591" s="13" t="n">
        <x:v>0</x:v>
      </x:c>
    </x:row>
    <x:row r="2592" ht="20" customHeight="1">
      <x:c r="A2592" s="1" t="str">
        <x:v>22423</x:v>
      </x:c>
      <x:c r="B2592" s="9" t="d">
        <x:v>2011-01-01T00:00:00.000Z</x:v>
      </x:c>
      <x:c r="C2592" s="13" t="n">
        <x:v>0</x:v>
      </x:c>
    </x:row>
    <x:row r="2593" ht="20" customHeight="1">
      <x:c r="A2593" s="1" t="str">
        <x:v>22423</x:v>
      </x:c>
      <x:c r="B2593" s="9" t="d">
        <x:v>2011-01-02T00:00:00.000Z</x:v>
      </x:c>
      <x:c r="C2593" s="13" t="n">
        <x:v>0</x:v>
      </x:c>
    </x:row>
    <x:row r="2594" ht="20" customHeight="1">
      <x:c r="A2594" s="1" t="str">
        <x:v>22423</x:v>
      </x:c>
      <x:c r="B2594" s="9" t="d">
        <x:v>2011-01-03T00:00:00.000Z</x:v>
      </x:c>
      <x:c r="C2594" s="13" t="n">
        <x:v>0</x:v>
      </x:c>
    </x:row>
    <x:row r="2595" ht="20" customHeight="1">
      <x:c r="A2595" s="1" t="str">
        <x:v>22423</x:v>
      </x:c>
      <x:c r="B2595" s="9" t="d">
        <x:v>2011-01-04T00:00:00.000Z</x:v>
      </x:c>
      <x:c r="C2595" s="13" t="n">
        <x:v>26</x:v>
      </x:c>
    </x:row>
    <x:row r="2596" ht="20" customHeight="1">
      <x:c r="A2596" s="1" t="str">
        <x:v>22423</x:v>
      </x:c>
      <x:c r="B2596" s="9" t="d">
        <x:v>2011-01-05T00:00:00.000Z</x:v>
      </x:c>
      <x:c r="C2596" s="13" t="n">
        <x:v>21</x:v>
      </x:c>
    </x:row>
    <x:row r="2597" ht="20" customHeight="1">
      <x:c r="A2597" s="1" t="str">
        <x:v>22423</x:v>
      </x:c>
      <x:c r="B2597" s="9" t="d">
        <x:v>2011-01-06T00:00:00.000Z</x:v>
      </x:c>
      <x:c r="C2597" s="13" t="n">
        <x:v>85</x:v>
      </x:c>
    </x:row>
    <x:row r="2598" ht="20" customHeight="1">
      <x:c r="A2598" s="1" t="str">
        <x:v>22423</x:v>
      </x:c>
      <x:c r="B2598" s="9" t="d">
        <x:v>2011-01-07T00:00:00.000Z</x:v>
      </x:c>
      <x:c r="C2598" s="13" t="n">
        <x:v>87</x:v>
      </x:c>
    </x:row>
    <x:row r="2599" ht="20" customHeight="1">
      <x:c r="A2599" s="1" t="str">
        <x:v>22423</x:v>
      </x:c>
      <x:c r="B2599" s="9" t="d">
        <x:v>2011-01-08T00:00:00.000Z</x:v>
      </x:c>
      <x:c r="C2599" s="13" t="n">
        <x:v>0</x:v>
      </x:c>
    </x:row>
    <x:row r="2600" ht="20" customHeight="1">
      <x:c r="A2600" s="1" t="str">
        <x:v>22423</x:v>
      </x:c>
      <x:c r="B2600" s="9" t="d">
        <x:v>2011-01-09T00:00:00.000Z</x:v>
      </x:c>
      <x:c r="C2600" s="13" t="n">
        <x:v>32</x:v>
      </x:c>
    </x:row>
    <x:row r="2601" ht="20" customHeight="1">
      <x:c r="A2601" s="1" t="str">
        <x:v>22423</x:v>
      </x:c>
      <x:c r="B2601" s="9" t="d">
        <x:v>2011-01-10T00:00:00.000Z</x:v>
      </x:c>
      <x:c r="C2601" s="13" t="n">
        <x:v>53</x:v>
      </x:c>
    </x:row>
    <x:row r="2602" ht="20" customHeight="1">
      <x:c r="A2602" s="1" t="str">
        <x:v>22423</x:v>
      </x:c>
      <x:c r="B2602" s="9" t="d">
        <x:v>2011-01-11T00:00:00.000Z</x:v>
      </x:c>
      <x:c r="C2602" s="13" t="n">
        <x:v>57</x:v>
      </x:c>
    </x:row>
    <x:row r="2603" ht="20" customHeight="1">
      <x:c r="A2603" s="1" t="str">
        <x:v>22423</x:v>
      </x:c>
      <x:c r="B2603" s="9" t="d">
        <x:v>2011-01-12T00:00:00.000Z</x:v>
      </x:c>
      <x:c r="C2603" s="13" t="n">
        <x:v>33</x:v>
      </x:c>
    </x:row>
    <x:row r="2604" ht="20" customHeight="1">
      <x:c r="A2604" s="1" t="str">
        <x:v>22423</x:v>
      </x:c>
      <x:c r="B2604" s="9" t="d">
        <x:v>2011-01-13T00:00:00.000Z</x:v>
      </x:c>
      <x:c r="C2604" s="13" t="n">
        <x:v>68</x:v>
      </x:c>
    </x:row>
    <x:row r="2605" ht="20" customHeight="1">
      <x:c r="A2605" s="1" t="str">
        <x:v>22423</x:v>
      </x:c>
      <x:c r="B2605" s="9" t="d">
        <x:v>2011-01-14T00:00:00.000Z</x:v>
      </x:c>
      <x:c r="C2605" s="13" t="n">
        <x:v>187</x:v>
      </x:c>
    </x:row>
    <x:row r="2606" ht="20" customHeight="1">
      <x:c r="A2606" s="1" t="str">
        <x:v>22423</x:v>
      </x:c>
      <x:c r="B2606" s="9" t="d">
        <x:v>2011-01-15T00:00:00.000Z</x:v>
      </x:c>
      <x:c r="C2606" s="13" t="n">
        <x:v>0</x:v>
      </x:c>
    </x:row>
    <x:row r="2607" ht="20" customHeight="1">
      <x:c r="A2607" s="1" t="str">
        <x:v>22423</x:v>
      </x:c>
      <x:c r="B2607" s="9" t="d">
        <x:v>2011-01-16T00:00:00.000Z</x:v>
      </x:c>
      <x:c r="C2607" s="13" t="n">
        <x:v>9</x:v>
      </x:c>
    </x:row>
    <x:row r="2608" ht="20" customHeight="1">
      <x:c r="A2608" s="1" t="str">
        <x:v>22423</x:v>
      </x:c>
      <x:c r="B2608" s="9" t="d">
        <x:v>2011-01-17T00:00:00.000Z</x:v>
      </x:c>
      <x:c r="C2608" s="13" t="n">
        <x:v>26</x:v>
      </x:c>
    </x:row>
    <x:row r="2609" ht="20" customHeight="1">
      <x:c r="A2609" s="1" t="str">
        <x:v>22423</x:v>
      </x:c>
      <x:c r="B2609" s="9" t="d">
        <x:v>2011-01-18T00:00:00.000Z</x:v>
      </x:c>
      <x:c r="C2609" s="13" t="n">
        <x:v>27</x:v>
      </x:c>
    </x:row>
    <x:row r="2610" ht="20" customHeight="1">
      <x:c r="A2610" s="1" t="str">
        <x:v>22423</x:v>
      </x:c>
      <x:c r="B2610" s="9" t="d">
        <x:v>2011-01-19T00:00:00.000Z</x:v>
      </x:c>
      <x:c r="C2610" s="13" t="n">
        <x:v>1</x:v>
      </x:c>
    </x:row>
    <x:row r="2611" ht="20" customHeight="1">
      <x:c r="A2611" s="1" t="str">
        <x:v>22423</x:v>
      </x:c>
      <x:c r="B2611" s="9" t="d">
        <x:v>2011-01-20T00:00:00.000Z</x:v>
      </x:c>
      <x:c r="C2611" s="13" t="n">
        <x:v>15</x:v>
      </x:c>
    </x:row>
    <x:row r="2612" ht="20" customHeight="1">
      <x:c r="A2612" s="1" t="str">
        <x:v>22423</x:v>
      </x:c>
      <x:c r="B2612" s="9" t="d">
        <x:v>2011-01-21T00:00:00.000Z</x:v>
      </x:c>
      <x:c r="C2612" s="13" t="n">
        <x:v>35</x:v>
      </x:c>
    </x:row>
    <x:row r="2613" ht="20" customHeight="1">
      <x:c r="A2613" s="1" t="str">
        <x:v>22423</x:v>
      </x:c>
      <x:c r="B2613" s="9" t="d">
        <x:v>2011-01-22T00:00:00.000Z</x:v>
      </x:c>
      <x:c r="C2613" s="13" t="n">
        <x:v>0</x:v>
      </x:c>
    </x:row>
    <x:row r="2614" ht="20" customHeight="1">
      <x:c r="A2614" s="1" t="str">
        <x:v>22423</x:v>
      </x:c>
      <x:c r="B2614" s="9" t="d">
        <x:v>2011-01-23T00:00:00.000Z</x:v>
      </x:c>
      <x:c r="C2614" s="13" t="n">
        <x:v>35</x:v>
      </x:c>
    </x:row>
    <x:row r="2615" ht="20" customHeight="1">
      <x:c r="A2615" s="1" t="str">
        <x:v>22423</x:v>
      </x:c>
      <x:c r="B2615" s="9" t="d">
        <x:v>2011-01-24T00:00:00.000Z</x:v>
      </x:c>
      <x:c r="C2615" s="13" t="n">
        <x:v>57</x:v>
      </x:c>
    </x:row>
    <x:row r="2616" ht="20" customHeight="1">
      <x:c r="A2616" s="1" t="str">
        <x:v>22423</x:v>
      </x:c>
      <x:c r="B2616" s="9" t="d">
        <x:v>2011-01-25T00:00:00.000Z</x:v>
      </x:c>
      <x:c r="C2616" s="13" t="n">
        <x:v>81</x:v>
      </x:c>
    </x:row>
    <x:row r="2617" ht="20" customHeight="1">
      <x:c r="A2617" s="1" t="str">
        <x:v>22423</x:v>
      </x:c>
      <x:c r="B2617" s="9" t="d">
        <x:v>2011-01-26T00:00:00.000Z</x:v>
      </x:c>
      <x:c r="C2617" s="13" t="n">
        <x:v>18</x:v>
      </x:c>
    </x:row>
    <x:row r="2618" ht="20" customHeight="1">
      <x:c r="A2618" s="1" t="str">
        <x:v>22423</x:v>
      </x:c>
      <x:c r="B2618" s="9" t="d">
        <x:v>2011-01-27T00:00:00.000Z</x:v>
      </x:c>
      <x:c r="C2618" s="13" t="n">
        <x:v>57</x:v>
      </x:c>
    </x:row>
    <x:row r="2619" ht="20" customHeight="1">
      <x:c r="A2619" s="1" t="str">
        <x:v>22423</x:v>
      </x:c>
      <x:c r="B2619" s="9" t="d">
        <x:v>2011-01-28T00:00:00.000Z</x:v>
      </x:c>
      <x:c r="C2619" s="13" t="n">
        <x:v>15</x:v>
      </x:c>
    </x:row>
    <x:row r="2620" ht="20" customHeight="1">
      <x:c r="A2620" s="1" t="str">
        <x:v>22423</x:v>
      </x:c>
      <x:c r="B2620" s="9" t="d">
        <x:v>2011-01-29T00:00:00.000Z</x:v>
      </x:c>
      <x:c r="C2620" s="13" t="n">
        <x:v>0</x:v>
      </x:c>
    </x:row>
    <x:row r="2621" ht="20" customHeight="1">
      <x:c r="A2621" s="1" t="str">
        <x:v>22423</x:v>
      </x:c>
      <x:c r="B2621" s="9" t="d">
        <x:v>2011-01-30T00:00:00.000Z</x:v>
      </x:c>
      <x:c r="C2621" s="13" t="n">
        <x:v>3</x:v>
      </x:c>
    </x:row>
    <x:row r="2622" ht="20" customHeight="1">
      <x:c r="A2622" s="1" t="str">
        <x:v>22423</x:v>
      </x:c>
      <x:c r="B2622" s="9" t="d">
        <x:v>2011-01-31T00:00:00.000Z</x:v>
      </x:c>
      <x:c r="C2622" s="13" t="n">
        <x:v>8</x:v>
      </x:c>
    </x:row>
    <x:row r="2623" ht="20" customHeight="1">
      <x:c r="A2623" s="1" t="str">
        <x:v>22423</x:v>
      </x:c>
      <x:c r="B2623" s="9" t="d">
        <x:v>2011-02-01T00:00:00.000Z</x:v>
      </x:c>
      <x:c r="C2623" s="13" t="n">
        <x:v>17</x:v>
      </x:c>
    </x:row>
    <x:row r="2624" ht="20" customHeight="1">
      <x:c r="A2624" s="1" t="str">
        <x:v>22423</x:v>
      </x:c>
      <x:c r="B2624" s="9" t="d">
        <x:v>2011-02-02T00:00:00.000Z</x:v>
      </x:c>
      <x:c r="C2624" s="13" t="n">
        <x:v>32</x:v>
      </x:c>
    </x:row>
    <x:row r="2625" ht="20" customHeight="1">
      <x:c r="A2625" s="1" t="str">
        <x:v>22423</x:v>
      </x:c>
      <x:c r="B2625" s="9" t="d">
        <x:v>2011-02-03T00:00:00.000Z</x:v>
      </x:c>
      <x:c r="C2625" s="13" t="n">
        <x:v>65</x:v>
      </x:c>
    </x:row>
    <x:row r="2626" ht="20" customHeight="1">
      <x:c r="A2626" s="1" t="str">
        <x:v>22423</x:v>
      </x:c>
      <x:c r="B2626" s="9" t="d">
        <x:v>2011-02-04T00:00:00.000Z</x:v>
      </x:c>
      <x:c r="C2626" s="13" t="n">
        <x:v>25</x:v>
      </x:c>
    </x:row>
    <x:row r="2627" ht="20" customHeight="1">
      <x:c r="A2627" s="1" t="str">
        <x:v>22423</x:v>
      </x:c>
      <x:c r="B2627" s="9" t="d">
        <x:v>2011-02-05T00:00:00.000Z</x:v>
      </x:c>
      <x:c r="C2627" s="13" t="n">
        <x:v>0</x:v>
      </x:c>
    </x:row>
    <x:row r="2628" ht="20" customHeight="1">
      <x:c r="A2628" s="1" t="str">
        <x:v>22423</x:v>
      </x:c>
      <x:c r="B2628" s="9" t="d">
        <x:v>2011-02-06T00:00:00.000Z</x:v>
      </x:c>
      <x:c r="C2628" s="13" t="n">
        <x:v>3</x:v>
      </x:c>
    </x:row>
    <x:row r="2629" ht="20" customHeight="1">
      <x:c r="A2629" s="1" t="str">
        <x:v>22423</x:v>
      </x:c>
      <x:c r="B2629" s="9" t="d">
        <x:v>2011-02-07T00:00:00.000Z</x:v>
      </x:c>
      <x:c r="C2629" s="13" t="n">
        <x:v>11</x:v>
      </x:c>
    </x:row>
    <x:row r="2630" ht="20" customHeight="1">
      <x:c r="A2630" s="1" t="str">
        <x:v>22423</x:v>
      </x:c>
      <x:c r="B2630" s="9" t="d">
        <x:v>2011-02-08T00:00:00.000Z</x:v>
      </x:c>
      <x:c r="C2630" s="13" t="n">
        <x:v>16</x:v>
      </x:c>
    </x:row>
    <x:row r="2631" ht="20" customHeight="1">
      <x:c r="A2631" s="1" t="str">
        <x:v>22423</x:v>
      </x:c>
      <x:c r="B2631" s="9" t="d">
        <x:v>2011-02-09T00:00:00.000Z</x:v>
      </x:c>
      <x:c r="C2631" s="13" t="n">
        <x:v>5</x:v>
      </x:c>
    </x:row>
    <x:row r="2632" ht="20" customHeight="1">
      <x:c r="A2632" s="1" t="str">
        <x:v>22423</x:v>
      </x:c>
      <x:c r="B2632" s="9" t="d">
        <x:v>2011-02-10T00:00:00.000Z</x:v>
      </x:c>
      <x:c r="C2632" s="13" t="n">
        <x:v>34</x:v>
      </x:c>
    </x:row>
    <x:row r="2633" ht="20" customHeight="1">
      <x:c r="A2633" s="1" t="str">
        <x:v>22423</x:v>
      </x:c>
      <x:c r="B2633" s="9" t="d">
        <x:v>2011-02-11T00:00:00.000Z</x:v>
      </x:c>
      <x:c r="C2633" s="13" t="n">
        <x:v>54</x:v>
      </x:c>
    </x:row>
    <x:row r="2634" ht="20" customHeight="1">
      <x:c r="A2634" s="1" t="str">
        <x:v>22423</x:v>
      </x:c>
      <x:c r="B2634" s="9" t="d">
        <x:v>2011-02-12T00:00:00.000Z</x:v>
      </x:c>
      <x:c r="C2634" s="13" t="n">
        <x:v>0</x:v>
      </x:c>
    </x:row>
    <x:row r="2635" ht="20" customHeight="1">
      <x:c r="A2635" s="1" t="str">
        <x:v>22423</x:v>
      </x:c>
      <x:c r="B2635" s="9" t="d">
        <x:v>2011-02-13T00:00:00.000Z</x:v>
      </x:c>
      <x:c r="C2635" s="13" t="n">
        <x:v>19</x:v>
      </x:c>
    </x:row>
    <x:row r="2636" ht="20" customHeight="1">
      <x:c r="A2636" s="1" t="str">
        <x:v>22423</x:v>
      </x:c>
      <x:c r="B2636" s="9" t="d">
        <x:v>2011-02-14T00:00:00.000Z</x:v>
      </x:c>
      <x:c r="C2636" s="13" t="n">
        <x:v>90</x:v>
      </x:c>
    </x:row>
    <x:row r="2637" ht="20" customHeight="1">
      <x:c r="A2637" s="1" t="str">
        <x:v>22423</x:v>
      </x:c>
      <x:c r="B2637" s="9" t="d">
        <x:v>2011-02-15T00:00:00.000Z</x:v>
      </x:c>
      <x:c r="C2637" s="13" t="n">
        <x:v>150</x:v>
      </x:c>
    </x:row>
    <x:row r="2638" ht="20" customHeight="1">
      <x:c r="A2638" s="1" t="str">
        <x:v>22423</x:v>
      </x:c>
      <x:c r="B2638" s="9" t="d">
        <x:v>2011-02-16T00:00:00.000Z</x:v>
      </x:c>
      <x:c r="C2638" s="13" t="n">
        <x:v>43</x:v>
      </x:c>
    </x:row>
    <x:row r="2639" ht="20" customHeight="1">
      <x:c r="A2639" s="1" t="str">
        <x:v>22423</x:v>
      </x:c>
      <x:c r="B2639" s="9" t="d">
        <x:v>2011-02-17T00:00:00.000Z</x:v>
      </x:c>
      <x:c r="C2639" s="13" t="n">
        <x:v>52</x:v>
      </x:c>
    </x:row>
    <x:row r="2640" ht="20" customHeight="1">
      <x:c r="A2640" s="1" t="str">
        <x:v>22423</x:v>
      </x:c>
      <x:c r="B2640" s="9" t="d">
        <x:v>2011-02-18T00:00:00.000Z</x:v>
      </x:c>
      <x:c r="C2640" s="13" t="n">
        <x:v>12</x:v>
      </x:c>
    </x:row>
    <x:row r="2641" ht="20" customHeight="1">
      <x:c r="A2641" s="1" t="str">
        <x:v>22423</x:v>
      </x:c>
      <x:c r="B2641" s="9" t="d">
        <x:v>2011-02-19T00:00:00.000Z</x:v>
      </x:c>
      <x:c r="C2641" s="13" t="n">
        <x:v>0</x:v>
      </x:c>
    </x:row>
    <x:row r="2642" ht="20" customHeight="1">
      <x:c r="A2642" s="1" t="str">
        <x:v>22423</x:v>
      </x:c>
      <x:c r="B2642" s="9" t="d">
        <x:v>2011-02-20T00:00:00.000Z</x:v>
      </x:c>
      <x:c r="C2642" s="13" t="n">
        <x:v>53</x:v>
      </x:c>
    </x:row>
    <x:row r="2643" ht="20" customHeight="1">
      <x:c r="A2643" s="1" t="str">
        <x:v>22423</x:v>
      </x:c>
      <x:c r="B2643" s="9" t="d">
        <x:v>2011-02-21T00:00:00.000Z</x:v>
      </x:c>
      <x:c r="C2643" s="13" t="n">
        <x:v>74</x:v>
      </x:c>
    </x:row>
    <x:row r="2644" ht="20" customHeight="1">
      <x:c r="A2644" s="1" t="str">
        <x:v>22423</x:v>
      </x:c>
      <x:c r="B2644" s="9" t="d">
        <x:v>2011-02-22T00:00:00.000Z</x:v>
      </x:c>
      <x:c r="C2644" s="13" t="n">
        <x:v>26</x:v>
      </x:c>
    </x:row>
    <x:row r="2645" ht="20" customHeight="1">
      <x:c r="A2645" s="1" t="str">
        <x:v>22423</x:v>
      </x:c>
      <x:c r="B2645" s="9" t="d">
        <x:v>2011-02-23T00:00:00.000Z</x:v>
      </x:c>
      <x:c r="C2645" s="13" t="n">
        <x:v>34</x:v>
      </x:c>
    </x:row>
    <x:row r="2646" ht="20" customHeight="1">
      <x:c r="A2646" s="1" t="str">
        <x:v>22423</x:v>
      </x:c>
      <x:c r="B2646" s="9" t="d">
        <x:v>2011-02-24T00:00:00.000Z</x:v>
      </x:c>
      <x:c r="C2646" s="13" t="n">
        <x:v>40</x:v>
      </x:c>
    </x:row>
    <x:row r="2647" ht="20" customHeight="1">
      <x:c r="A2647" s="1" t="str">
        <x:v>22423</x:v>
      </x:c>
      <x:c r="B2647" s="9" t="d">
        <x:v>2011-02-25T00:00:00.000Z</x:v>
      </x:c>
      <x:c r="C2647" s="13" t="n">
        <x:v>26</x:v>
      </x:c>
    </x:row>
    <x:row r="2648" ht="20" customHeight="1">
      <x:c r="A2648" s="1" t="str">
        <x:v>22423</x:v>
      </x:c>
      <x:c r="B2648" s="9" t="d">
        <x:v>2011-02-26T00:00:00.000Z</x:v>
      </x:c>
      <x:c r="C2648" s="13" t="n">
        <x:v>0</x:v>
      </x:c>
    </x:row>
    <x:row r="2649" ht="20" customHeight="1">
      <x:c r="A2649" s="1" t="str">
        <x:v>22423</x:v>
      </x:c>
      <x:c r="B2649" s="9" t="d">
        <x:v>2011-02-27T00:00:00.000Z</x:v>
      </x:c>
      <x:c r="C2649" s="13" t="n">
        <x:v>4</x:v>
      </x:c>
    </x:row>
    <x:row r="2650" ht="20" customHeight="1">
      <x:c r="A2650" s="1" t="str">
        <x:v>22423</x:v>
      </x:c>
      <x:c r="B2650" s="9" t="d">
        <x:v>2011-02-28T00:00:00.000Z</x:v>
      </x:c>
      <x:c r="C2650" s="13" t="n">
        <x:v>16</x:v>
      </x:c>
    </x:row>
    <x:row r="2651" ht="20" customHeight="1">
      <x:c r="A2651" s="1" t="str">
        <x:v>22423</x:v>
      </x:c>
      <x:c r="B2651" s="9" t="d">
        <x:v>2011-03-01T00:00:00.000Z</x:v>
      </x:c>
      <x:c r="C2651" s="13" t="n">
        <x:v>10</x:v>
      </x:c>
    </x:row>
    <x:row r="2652" ht="20" customHeight="1">
      <x:c r="A2652" s="1" t="str">
        <x:v>22423</x:v>
      </x:c>
      <x:c r="B2652" s="9" t="d">
        <x:v>2011-03-02T00:00:00.000Z</x:v>
      </x:c>
      <x:c r="C2652" s="13" t="n">
        <x:v>221</x:v>
      </x:c>
    </x:row>
    <x:row r="2653" ht="20" customHeight="1">
      <x:c r="A2653" s="1" t="str">
        <x:v>22423</x:v>
      </x:c>
      <x:c r="B2653" s="9" t="d">
        <x:v>2011-03-03T00:00:00.000Z</x:v>
      </x:c>
      <x:c r="C2653" s="13" t="n">
        <x:v>72</x:v>
      </x:c>
    </x:row>
    <x:row r="2654" ht="20" customHeight="1">
      <x:c r="A2654" s="1" t="str">
        <x:v>22423</x:v>
      </x:c>
      <x:c r="B2654" s="9" t="d">
        <x:v>2011-03-04T00:00:00.000Z</x:v>
      </x:c>
      <x:c r="C2654" s="13" t="n">
        <x:v>11</x:v>
      </x:c>
    </x:row>
    <x:row r="2655" ht="20" customHeight="1">
      <x:c r="A2655" s="1" t="str">
        <x:v>22423</x:v>
      </x:c>
      <x:c r="B2655" s="9" t="d">
        <x:v>2011-03-05T00:00:00.000Z</x:v>
      </x:c>
      <x:c r="C2655" s="13" t="n">
        <x:v>0</x:v>
      </x:c>
    </x:row>
    <x:row r="2656" ht="20" customHeight="1">
      <x:c r="A2656" s="1" t="str">
        <x:v>22423</x:v>
      </x:c>
      <x:c r="B2656" s="9" t="d">
        <x:v>2011-03-06T00:00:00.000Z</x:v>
      </x:c>
      <x:c r="C2656" s="13" t="n">
        <x:v>19</x:v>
      </x:c>
    </x:row>
    <x:row r="2657" ht="20" customHeight="1">
      <x:c r="A2657" s="1" t="str">
        <x:v>22423</x:v>
      </x:c>
      <x:c r="B2657" s="9" t="d">
        <x:v>2011-03-07T00:00:00.000Z</x:v>
      </x:c>
      <x:c r="C2657" s="13" t="n">
        <x:v>36</x:v>
      </x:c>
    </x:row>
    <x:row r="2658" ht="20" customHeight="1">
      <x:c r="A2658" s="1" t="str">
        <x:v>22423</x:v>
      </x:c>
      <x:c r="B2658" s="9" t="d">
        <x:v>2011-03-08T00:00:00.000Z</x:v>
      </x:c>
      <x:c r="C2658" s="13" t="n">
        <x:v>40</x:v>
      </x:c>
    </x:row>
    <x:row r="2659" ht="20" customHeight="1">
      <x:c r="A2659" s="1" t="str">
        <x:v>22423</x:v>
      </x:c>
      <x:c r="B2659" s="9" t="d">
        <x:v>2011-03-09T00:00:00.000Z</x:v>
      </x:c>
      <x:c r="C2659" s="13" t="n">
        <x:v>51</x:v>
      </x:c>
    </x:row>
    <x:row r="2660" ht="20" customHeight="1">
      <x:c r="A2660" s="1" t="str">
        <x:v>22423</x:v>
      </x:c>
      <x:c r="B2660" s="9" t="d">
        <x:v>2011-03-10T00:00:00.000Z</x:v>
      </x:c>
      <x:c r="C2660" s="13" t="n">
        <x:v>14</x:v>
      </x:c>
    </x:row>
    <x:row r="2661" ht="20" customHeight="1">
      <x:c r="A2661" s="1" t="str">
        <x:v>22423</x:v>
      </x:c>
      <x:c r="B2661" s="9" t="d">
        <x:v>2011-03-11T00:00:00.000Z</x:v>
      </x:c>
      <x:c r="C2661" s="13" t="n">
        <x:v>49</x:v>
      </x:c>
    </x:row>
    <x:row r="2662" ht="20" customHeight="1">
      <x:c r="A2662" s="1" t="str">
        <x:v>22423</x:v>
      </x:c>
      <x:c r="B2662" s="9" t="d">
        <x:v>2011-03-12T00:00:00.000Z</x:v>
      </x:c>
      <x:c r="C2662" s="13" t="n">
        <x:v>0</x:v>
      </x:c>
    </x:row>
    <x:row r="2663" ht="20" customHeight="1">
      <x:c r="A2663" s="1" t="str">
        <x:v>22423</x:v>
      </x:c>
      <x:c r="B2663" s="9" t="d">
        <x:v>2011-03-13T00:00:00.000Z</x:v>
      </x:c>
      <x:c r="C2663" s="13" t="n">
        <x:v>0</x:v>
      </x:c>
    </x:row>
    <x:row r="2664" ht="20" customHeight="1">
      <x:c r="A2664" s="1" t="str">
        <x:v>22423</x:v>
      </x:c>
      <x:c r="B2664" s="9" t="d">
        <x:v>2011-03-14T00:00:00.000Z</x:v>
      </x:c>
      <x:c r="C2664" s="13" t="n">
        <x:v>38</x:v>
      </x:c>
    </x:row>
    <x:row r="2665" ht="20" customHeight="1">
      <x:c r="A2665" s="1" t="str">
        <x:v>22423</x:v>
      </x:c>
      <x:c r="B2665" s="9" t="d">
        <x:v>2011-03-15T00:00:00.000Z</x:v>
      </x:c>
      <x:c r="C2665" s="13" t="n">
        <x:v>22</x:v>
      </x:c>
    </x:row>
    <x:row r="2666" ht="20" customHeight="1">
      <x:c r="A2666" s="1" t="str">
        <x:v>22423</x:v>
      </x:c>
      <x:c r="B2666" s="9" t="d">
        <x:v>2011-03-16T00:00:00.000Z</x:v>
      </x:c>
      <x:c r="C2666" s="13" t="n">
        <x:v>59</x:v>
      </x:c>
    </x:row>
    <x:row r="2667" ht="20" customHeight="1">
      <x:c r="A2667" s="1" t="str">
        <x:v>22423</x:v>
      </x:c>
      <x:c r="B2667" s="9" t="d">
        <x:v>2011-03-17T00:00:00.000Z</x:v>
      </x:c>
      <x:c r="C2667" s="13" t="n">
        <x:v>63</x:v>
      </x:c>
    </x:row>
    <x:row r="2668" ht="20" customHeight="1">
      <x:c r="A2668" s="1" t="str">
        <x:v>22423</x:v>
      </x:c>
      <x:c r="B2668" s="9" t="d">
        <x:v>2011-03-18T00:00:00.000Z</x:v>
      </x:c>
      <x:c r="C2668" s="13" t="n">
        <x:v>76</x:v>
      </x:c>
    </x:row>
    <x:row r="2669" ht="20" customHeight="1">
      <x:c r="A2669" s="1" t="str">
        <x:v>22423</x:v>
      </x:c>
      <x:c r="B2669" s="9" t="d">
        <x:v>2011-03-19T00:00:00.000Z</x:v>
      </x:c>
      <x:c r="C2669" s="13" t="n">
        <x:v>0</x:v>
      </x:c>
    </x:row>
    <x:row r="2670" ht="20" customHeight="1">
      <x:c r="A2670" s="1" t="str">
        <x:v>22423</x:v>
      </x:c>
      <x:c r="B2670" s="9" t="d">
        <x:v>2011-03-20T00:00:00.000Z</x:v>
      </x:c>
      <x:c r="C2670" s="13" t="n">
        <x:v>49</x:v>
      </x:c>
    </x:row>
    <x:row r="2671" ht="20" customHeight="1">
      <x:c r="A2671" s="1" t="str">
        <x:v>22423</x:v>
      </x:c>
      <x:c r="B2671" s="9" t="d">
        <x:v>2011-03-21T00:00:00.000Z</x:v>
      </x:c>
      <x:c r="C2671" s="13" t="n">
        <x:v>43</x:v>
      </x:c>
    </x:row>
    <x:row r="2672" ht="20" customHeight="1">
      <x:c r="A2672" s="1" t="str">
        <x:v>22423</x:v>
      </x:c>
      <x:c r="B2672" s="9" t="d">
        <x:v>2011-03-22T00:00:00.000Z</x:v>
      </x:c>
      <x:c r="C2672" s="13" t="n">
        <x:v>59</x:v>
      </x:c>
    </x:row>
    <x:row r="2673" ht="20" customHeight="1">
      <x:c r="A2673" s="1" t="str">
        <x:v>22423</x:v>
      </x:c>
      <x:c r="B2673" s="9" t="d">
        <x:v>2011-03-23T00:00:00.000Z</x:v>
      </x:c>
      <x:c r="C2673" s="13" t="n">
        <x:v>83</x:v>
      </x:c>
    </x:row>
    <x:row r="2674" ht="20" customHeight="1">
      <x:c r="A2674" s="1" t="str">
        <x:v>22423</x:v>
      </x:c>
      <x:c r="B2674" s="9" t="d">
        <x:v>2011-03-24T00:00:00.000Z</x:v>
      </x:c>
      <x:c r="C2674" s="13" t="n">
        <x:v>28</x:v>
      </x:c>
    </x:row>
    <x:row r="2675" ht="20" customHeight="1">
      <x:c r="A2675" s="1" t="str">
        <x:v>22423</x:v>
      </x:c>
      <x:c r="B2675" s="9" t="d">
        <x:v>2011-03-25T00:00:00.000Z</x:v>
      </x:c>
      <x:c r="C2675" s="13" t="n">
        <x:v>57</x:v>
      </x:c>
    </x:row>
    <x:row r="2676" ht="20" customHeight="1">
      <x:c r="A2676" s="1" t="str">
        <x:v>22423</x:v>
      </x:c>
      <x:c r="B2676" s="9" t="d">
        <x:v>2011-03-26T00:00:00.000Z</x:v>
      </x:c>
      <x:c r="C2676" s="13" t="n">
        <x:v>0</x:v>
      </x:c>
    </x:row>
    <x:row r="2677" ht="20" customHeight="1">
      <x:c r="A2677" s="1" t="str">
        <x:v>22423</x:v>
      </x:c>
      <x:c r="B2677" s="9" t="d">
        <x:v>2011-03-27T00:00:00.000Z</x:v>
      </x:c>
      <x:c r="C2677" s="13" t="n">
        <x:v>59</x:v>
      </x:c>
    </x:row>
    <x:row r="2678" ht="20" customHeight="1">
      <x:c r="A2678" s="1" t="str">
        <x:v>22423</x:v>
      </x:c>
      <x:c r="B2678" s="9" t="d">
        <x:v>2011-03-28T00:00:00.000Z</x:v>
      </x:c>
      <x:c r="C2678" s="13" t="n">
        <x:v>30</x:v>
      </x:c>
    </x:row>
    <x:row r="2679" ht="20" customHeight="1">
      <x:c r="A2679" s="1" t="str">
        <x:v>22423</x:v>
      </x:c>
      <x:c r="B2679" s="9" t="d">
        <x:v>2011-03-29T00:00:00.000Z</x:v>
      </x:c>
      <x:c r="C2679" s="13" t="n">
        <x:v>60</x:v>
      </x:c>
    </x:row>
    <x:row r="2680" ht="20" customHeight="1">
      <x:c r="A2680" s="1" t="str">
        <x:v>22423</x:v>
      </x:c>
      <x:c r="B2680" s="9" t="d">
        <x:v>2011-03-30T00:00:00.000Z</x:v>
      </x:c>
      <x:c r="C2680" s="13" t="n">
        <x:v>78</x:v>
      </x:c>
    </x:row>
    <x:row r="2681" ht="20" customHeight="1">
      <x:c r="A2681" s="1" t="str">
        <x:v>22423</x:v>
      </x:c>
      <x:c r="B2681" s="9" t="d">
        <x:v>2011-03-31T00:00:00.000Z</x:v>
      </x:c>
      <x:c r="C2681" s="13" t="n">
        <x:v>125</x:v>
      </x:c>
    </x:row>
    <x:row r="2682" ht="20" customHeight="1">
      <x:c r="A2682" s="1" t="str">
        <x:v>22423</x:v>
      </x:c>
      <x:c r="B2682" s="9" t="d">
        <x:v>2011-04-01T00:00:00.000Z</x:v>
      </x:c>
      <x:c r="C2682" s="13" t="n">
        <x:v>25</x:v>
      </x:c>
    </x:row>
    <x:row r="2683" ht="20" customHeight="1">
      <x:c r="A2683" s="1" t="str">
        <x:v>22423</x:v>
      </x:c>
      <x:c r="B2683" s="9" t="d">
        <x:v>2011-04-02T00:00:00.000Z</x:v>
      </x:c>
      <x:c r="C2683" s="13" t="n">
        <x:v>0</x:v>
      </x:c>
    </x:row>
    <x:row r="2684" ht="20" customHeight="1">
      <x:c r="A2684" s="1" t="str">
        <x:v>22423</x:v>
      </x:c>
      <x:c r="B2684" s="9" t="d">
        <x:v>2011-04-03T00:00:00.000Z</x:v>
      </x:c>
      <x:c r="C2684" s="13" t="n">
        <x:v>16</x:v>
      </x:c>
    </x:row>
    <x:row r="2685" ht="20" customHeight="1">
      <x:c r="A2685" s="1" t="str">
        <x:v>22423</x:v>
      </x:c>
      <x:c r="B2685" s="9" t="d">
        <x:v>2011-04-04T00:00:00.000Z</x:v>
      </x:c>
      <x:c r="C2685" s="13" t="n">
        <x:v>60</x:v>
      </x:c>
    </x:row>
    <x:row r="2686" ht="20" customHeight="1">
      <x:c r="A2686" s="1" t="str">
        <x:v>22423</x:v>
      </x:c>
      <x:c r="B2686" s="9" t="d">
        <x:v>2011-04-05T00:00:00.000Z</x:v>
      </x:c>
      <x:c r="C2686" s="13" t="n">
        <x:v>22</x:v>
      </x:c>
    </x:row>
    <x:row r="2687" ht="20" customHeight="1">
      <x:c r="A2687" s="1" t="str">
        <x:v>22423</x:v>
      </x:c>
      <x:c r="B2687" s="9" t="d">
        <x:v>2011-04-06T00:00:00.000Z</x:v>
      </x:c>
      <x:c r="C2687" s="13" t="n">
        <x:v>59</x:v>
      </x:c>
    </x:row>
    <x:row r="2688" ht="20" customHeight="1">
      <x:c r="A2688" s="1" t="str">
        <x:v>22423</x:v>
      </x:c>
      <x:c r="B2688" s="9" t="d">
        <x:v>2011-04-07T00:00:00.000Z</x:v>
      </x:c>
      <x:c r="C2688" s="13" t="n">
        <x:v>99</x:v>
      </x:c>
    </x:row>
    <x:row r="2689" ht="20" customHeight="1">
      <x:c r="A2689" s="1" t="str">
        <x:v>22423</x:v>
      </x:c>
      <x:c r="B2689" s="9" t="d">
        <x:v>2011-04-08T00:00:00.000Z</x:v>
      </x:c>
      <x:c r="C2689" s="13" t="n">
        <x:v>13</x:v>
      </x:c>
    </x:row>
    <x:row r="2690" ht="20" customHeight="1">
      <x:c r="A2690" s="1" t="str">
        <x:v>22423</x:v>
      </x:c>
      <x:c r="B2690" s="9" t="d">
        <x:v>2011-04-09T00:00:00.000Z</x:v>
      </x:c>
      <x:c r="C2690" s="13" t="n">
        <x:v>0</x:v>
      </x:c>
    </x:row>
    <x:row r="2691" ht="20" customHeight="1">
      <x:c r="A2691" s="1" t="str">
        <x:v>22423</x:v>
      </x:c>
      <x:c r="B2691" s="9" t="d">
        <x:v>2011-04-10T00:00:00.000Z</x:v>
      </x:c>
      <x:c r="C2691" s="13" t="n">
        <x:v>29</x:v>
      </x:c>
    </x:row>
    <x:row r="2692" ht="20" customHeight="1">
      <x:c r="A2692" s="1" t="str">
        <x:v>22423</x:v>
      </x:c>
      <x:c r="B2692" s="9" t="d">
        <x:v>2011-04-11T00:00:00.000Z</x:v>
      </x:c>
      <x:c r="C2692" s="13" t="n">
        <x:v>57</x:v>
      </x:c>
    </x:row>
    <x:row r="2693" ht="20" customHeight="1">
      <x:c r="A2693" s="1" t="str">
        <x:v>22423</x:v>
      </x:c>
      <x:c r="B2693" s="9" t="d">
        <x:v>2011-04-12T00:00:00.000Z</x:v>
      </x:c>
      <x:c r="C2693" s="13" t="n">
        <x:v>45</x:v>
      </x:c>
    </x:row>
    <x:row r="2694" ht="20" customHeight="1">
      <x:c r="A2694" s="1" t="str">
        <x:v>22423</x:v>
      </x:c>
      <x:c r="B2694" s="9" t="d">
        <x:v>2011-04-13T00:00:00.000Z</x:v>
      </x:c>
      <x:c r="C2694" s="13" t="n">
        <x:v>130</x:v>
      </x:c>
    </x:row>
    <x:row r="2695" ht="20" customHeight="1">
      <x:c r="A2695" s="1" t="str">
        <x:v>22423</x:v>
      </x:c>
      <x:c r="B2695" s="9" t="d">
        <x:v>2011-04-14T00:00:00.000Z</x:v>
      </x:c>
      <x:c r="C2695" s="13" t="n">
        <x:v>95</x:v>
      </x:c>
    </x:row>
    <x:row r="2696" ht="20" customHeight="1">
      <x:c r="A2696" s="1" t="str">
        <x:v>22423</x:v>
      </x:c>
      <x:c r="B2696" s="9" t="d">
        <x:v>2011-04-15T00:00:00.000Z</x:v>
      </x:c>
      <x:c r="C2696" s="13" t="n">
        <x:v>32</x:v>
      </x:c>
    </x:row>
    <x:row r="2697" ht="20" customHeight="1">
      <x:c r="A2697" s="1" t="str">
        <x:v>22423</x:v>
      </x:c>
      <x:c r="B2697" s="9" t="d">
        <x:v>2011-04-16T00:00:00.000Z</x:v>
      </x:c>
      <x:c r="C2697" s="13" t="n">
        <x:v>0</x:v>
      </x:c>
    </x:row>
    <x:row r="2698" ht="20" customHeight="1">
      <x:c r="A2698" s="1" t="str">
        <x:v>22423</x:v>
      </x:c>
      <x:c r="B2698" s="9" t="d">
        <x:v>2011-04-17T00:00:00.000Z</x:v>
      </x:c>
      <x:c r="C2698" s="13" t="n">
        <x:v>7</x:v>
      </x:c>
    </x:row>
    <x:row r="2699" ht="20" customHeight="1">
      <x:c r="A2699" s="1" t="str">
        <x:v>22423</x:v>
      </x:c>
      <x:c r="B2699" s="9" t="d">
        <x:v>2011-04-18T00:00:00.000Z</x:v>
      </x:c>
      <x:c r="C2699" s="13" t="n">
        <x:v>28</x:v>
      </x:c>
    </x:row>
    <x:row r="2700" ht="20" customHeight="1">
      <x:c r="A2700" s="1" t="str">
        <x:v>22423</x:v>
      </x:c>
      <x:c r="B2700" s="9" t="d">
        <x:v>2011-04-19T00:00:00.000Z</x:v>
      </x:c>
      <x:c r="C2700" s="13" t="n">
        <x:v>31</x:v>
      </x:c>
    </x:row>
    <x:row r="2701" ht="20" customHeight="1">
      <x:c r="A2701" s="1" t="str">
        <x:v>22423</x:v>
      </x:c>
      <x:c r="B2701" s="9" t="d">
        <x:v>2011-04-20T00:00:00.000Z</x:v>
      </x:c>
      <x:c r="C2701" s="13" t="n">
        <x:v>89</x:v>
      </x:c>
    </x:row>
    <x:row r="2702" ht="20" customHeight="1">
      <x:c r="A2702" s="1" t="str">
        <x:v>22423</x:v>
      </x:c>
      <x:c r="B2702" s="9" t="d">
        <x:v>2011-04-21T00:00:00.000Z</x:v>
      </x:c>
      <x:c r="C2702" s="13" t="n">
        <x:v>38</x:v>
      </x:c>
    </x:row>
    <x:row r="2703" ht="20" customHeight="1">
      <x:c r="A2703" s="1" t="str">
        <x:v>22423</x:v>
      </x:c>
      <x:c r="B2703" s="9" t="d">
        <x:v>2011-04-22T00:00:00.000Z</x:v>
      </x:c>
      <x:c r="C2703" s="13" t="n">
        <x:v>0</x:v>
      </x:c>
    </x:row>
    <x:row r="2704" ht="20" customHeight="1">
      <x:c r="A2704" s="1" t="str">
        <x:v>22423</x:v>
      </x:c>
      <x:c r="B2704" s="9" t="d">
        <x:v>2011-04-23T00:00:00.000Z</x:v>
      </x:c>
      <x:c r="C2704" s="13" t="n">
        <x:v>0</x:v>
      </x:c>
    </x:row>
    <x:row r="2705" ht="20" customHeight="1">
      <x:c r="A2705" s="1" t="str">
        <x:v>22423</x:v>
      </x:c>
      <x:c r="B2705" s="9" t="d">
        <x:v>2011-04-24T00:00:00.000Z</x:v>
      </x:c>
      <x:c r="C2705" s="13" t="n">
        <x:v>0</x:v>
      </x:c>
    </x:row>
    <x:row r="2706" ht="20" customHeight="1">
      <x:c r="A2706" s="1" t="str">
        <x:v>22423</x:v>
      </x:c>
      <x:c r="B2706" s="9" t="d">
        <x:v>2011-04-25T00:00:00.000Z</x:v>
      </x:c>
      <x:c r="C2706" s="13" t="n">
        <x:v>0</x:v>
      </x:c>
    </x:row>
    <x:row r="2707" ht="20" customHeight="1">
      <x:c r="A2707" s="1" t="str">
        <x:v>22423</x:v>
      </x:c>
      <x:c r="B2707" s="9" t="d">
        <x:v>2011-04-26T00:00:00.000Z</x:v>
      </x:c>
      <x:c r="C2707" s="13" t="n">
        <x:v>41</x:v>
      </x:c>
    </x:row>
    <x:row r="2708" ht="20" customHeight="1">
      <x:c r="A2708" s="1" t="str">
        <x:v>22423</x:v>
      </x:c>
      <x:c r="B2708" s="9" t="d">
        <x:v>2011-04-27T00:00:00.000Z</x:v>
      </x:c>
      <x:c r="C2708" s="13" t="n">
        <x:v>234</x:v>
      </x:c>
    </x:row>
    <x:row r="2709" ht="20" customHeight="1">
      <x:c r="A2709" s="1" t="str">
        <x:v>22423</x:v>
      </x:c>
      <x:c r="B2709" s="9" t="d">
        <x:v>2011-04-28T00:00:00.000Z</x:v>
      </x:c>
      <x:c r="C2709" s="13" t="n">
        <x:v>45</x:v>
      </x:c>
    </x:row>
    <x:row r="2710" ht="20" customHeight="1">
      <x:c r="A2710" s="1" t="str">
        <x:v>22423</x:v>
      </x:c>
      <x:c r="B2710" s="9" t="d">
        <x:v>2011-04-29T00:00:00.000Z</x:v>
      </x:c>
      <x:c r="C2710" s="13" t="n">
        <x:v>0</x:v>
      </x:c>
    </x:row>
    <x:row r="2711" ht="20" customHeight="1">
      <x:c r="A2711" s="1" t="str">
        <x:v>22423</x:v>
      </x:c>
      <x:c r="B2711" s="9" t="d">
        <x:v>2011-04-30T00:00:00.000Z</x:v>
      </x:c>
      <x:c r="C2711" s="13" t="n">
        <x:v>0</x:v>
      </x:c>
    </x:row>
    <x:row r="2712" ht="20" customHeight="1">
      <x:c r="A2712" s="1" t="str">
        <x:v>22423</x:v>
      </x:c>
      <x:c r="B2712" s="9" t="d">
        <x:v>2011-05-01T00:00:00.000Z</x:v>
      </x:c>
      <x:c r="C2712" s="13" t="n">
        <x:v>5</x:v>
      </x:c>
    </x:row>
    <x:row r="2713" ht="20" customHeight="1">
      <x:c r="A2713" s="1" t="str">
        <x:v>22423</x:v>
      </x:c>
      <x:c r="B2713" s="9" t="d">
        <x:v>2011-05-02T00:00:00.000Z</x:v>
      </x:c>
      <x:c r="C2713" s="13" t="n">
        <x:v>0</x:v>
      </x:c>
    </x:row>
    <x:row r="2714" ht="20" customHeight="1">
      <x:c r="A2714" s="1" t="str">
        <x:v>22423</x:v>
      </x:c>
      <x:c r="B2714" s="9" t="d">
        <x:v>2011-05-03T00:00:00.000Z</x:v>
      </x:c>
      <x:c r="C2714" s="13" t="n">
        <x:v>34</x:v>
      </x:c>
    </x:row>
    <x:row r="2715" ht="20" customHeight="1">
      <x:c r="A2715" s="1" t="str">
        <x:v>22423</x:v>
      </x:c>
      <x:c r="B2715" s="9" t="d">
        <x:v>2011-05-04T00:00:00.000Z</x:v>
      </x:c>
      <x:c r="C2715" s="13" t="n">
        <x:v>11</x:v>
      </x:c>
    </x:row>
    <x:row r="2716" ht="20" customHeight="1">
      <x:c r="A2716" s="1" t="str">
        <x:v>22423</x:v>
      </x:c>
      <x:c r="B2716" s="9" t="d">
        <x:v>2011-05-05T00:00:00.000Z</x:v>
      </x:c>
      <x:c r="C2716" s="13" t="n">
        <x:v>67</x:v>
      </x:c>
    </x:row>
    <x:row r="2717" ht="20" customHeight="1">
      <x:c r="A2717" s="1" t="str">
        <x:v>22423</x:v>
      </x:c>
      <x:c r="B2717" s="9" t="d">
        <x:v>2011-05-06T00:00:00.000Z</x:v>
      </x:c>
      <x:c r="C2717" s="13" t="n">
        <x:v>40</x:v>
      </x:c>
    </x:row>
    <x:row r="2718" ht="20" customHeight="1">
      <x:c r="A2718" s="1" t="str">
        <x:v>22423</x:v>
      </x:c>
      <x:c r="B2718" s="9" t="d">
        <x:v>2011-05-07T00:00:00.000Z</x:v>
      </x:c>
      <x:c r="C2718" s="13" t="n">
        <x:v>0</x:v>
      </x:c>
    </x:row>
    <x:row r="2719" ht="20" customHeight="1">
      <x:c r="A2719" s="1" t="str">
        <x:v>22423</x:v>
      </x:c>
      <x:c r="B2719" s="9" t="d">
        <x:v>2011-05-08T00:00:00.000Z</x:v>
      </x:c>
      <x:c r="C2719" s="13" t="n">
        <x:v>19</x:v>
      </x:c>
    </x:row>
    <x:row r="2720" ht="20" customHeight="1">
      <x:c r="A2720" s="1" t="str">
        <x:v>22423</x:v>
      </x:c>
      <x:c r="B2720" s="9" t="d">
        <x:v>2011-05-09T00:00:00.000Z</x:v>
      </x:c>
      <x:c r="C2720" s="13" t="n">
        <x:v>19</x:v>
      </x:c>
    </x:row>
    <x:row r="2721" ht="20" customHeight="1">
      <x:c r="A2721" s="1" t="str">
        <x:v>22423</x:v>
      </x:c>
      <x:c r="B2721" s="9" t="d">
        <x:v>2011-05-10T00:00:00.000Z</x:v>
      </x:c>
      <x:c r="C2721" s="13" t="n">
        <x:v>34</x:v>
      </x:c>
    </x:row>
    <x:row r="2722" ht="20" customHeight="1">
      <x:c r="A2722" s="1" t="str">
        <x:v>22423</x:v>
      </x:c>
      <x:c r="B2722" s="9" t="d">
        <x:v>2011-05-11T00:00:00.000Z</x:v>
      </x:c>
      <x:c r="C2722" s="13" t="n">
        <x:v>58</x:v>
      </x:c>
    </x:row>
    <x:row r="2723" ht="20" customHeight="1">
      <x:c r="A2723" s="1" t="str">
        <x:v>22423</x:v>
      </x:c>
      <x:c r="B2723" s="9" t="d">
        <x:v>2011-05-12T00:00:00.000Z</x:v>
      </x:c>
      <x:c r="C2723" s="13" t="n">
        <x:v>177</x:v>
      </x:c>
    </x:row>
    <x:row r="2724" ht="20" customHeight="1">
      <x:c r="A2724" s="1" t="str">
        <x:v>22423</x:v>
      </x:c>
      <x:c r="B2724" s="9" t="d">
        <x:v>2011-05-13T00:00:00.000Z</x:v>
      </x:c>
      <x:c r="C2724" s="13" t="n">
        <x:v>76</x:v>
      </x:c>
    </x:row>
    <x:row r="2725" ht="20" customHeight="1">
      <x:c r="A2725" s="1" t="str">
        <x:v>22423</x:v>
      </x:c>
      <x:c r="B2725" s="9" t="d">
        <x:v>2011-05-14T00:00:00.000Z</x:v>
      </x:c>
      <x:c r="C2725" s="13" t="n">
        <x:v>0</x:v>
      </x:c>
    </x:row>
    <x:row r="2726" ht="20" customHeight="1">
      <x:c r="A2726" s="1" t="str">
        <x:v>22423</x:v>
      </x:c>
      <x:c r="B2726" s="9" t="d">
        <x:v>2011-05-15T00:00:00.000Z</x:v>
      </x:c>
      <x:c r="C2726" s="13" t="n">
        <x:v>2</x:v>
      </x:c>
    </x:row>
    <x:row r="2727" ht="20" customHeight="1">
      <x:c r="A2727" s="1" t="str">
        <x:v>22423</x:v>
      </x:c>
      <x:c r="B2727" s="9" t="d">
        <x:v>2011-05-16T00:00:00.000Z</x:v>
      </x:c>
      <x:c r="C2727" s="13" t="n">
        <x:v>51</x:v>
      </x:c>
    </x:row>
    <x:row r="2728" ht="20" customHeight="1">
      <x:c r="A2728" s="1" t="str">
        <x:v>22423</x:v>
      </x:c>
      <x:c r="B2728" s="9" t="d">
        <x:v>2011-05-17T00:00:00.000Z</x:v>
      </x:c>
      <x:c r="C2728" s="13" t="n">
        <x:v>60</x:v>
      </x:c>
    </x:row>
    <x:row r="2729" ht="20" customHeight="1">
      <x:c r="A2729" s="1" t="str">
        <x:v>22423</x:v>
      </x:c>
      <x:c r="B2729" s="9" t="d">
        <x:v>2011-05-18T00:00:00.000Z</x:v>
      </x:c>
      <x:c r="C2729" s="13" t="n">
        <x:v>16</x:v>
      </x:c>
    </x:row>
    <x:row r="2730" ht="20" customHeight="1">
      <x:c r="A2730" s="1" t="str">
        <x:v>22423</x:v>
      </x:c>
      <x:c r="B2730" s="9" t="d">
        <x:v>2011-05-19T00:00:00.000Z</x:v>
      </x:c>
      <x:c r="C2730" s="13" t="n">
        <x:v>112</x:v>
      </x:c>
    </x:row>
    <x:row r="2731" ht="20" customHeight="1">
      <x:c r="A2731" s="1" t="str">
        <x:v>22423</x:v>
      </x:c>
      <x:c r="B2731" s="9" t="d">
        <x:v>2011-05-20T00:00:00.000Z</x:v>
      </x:c>
      <x:c r="C2731" s="13" t="n">
        <x:v>56</x:v>
      </x:c>
    </x:row>
    <x:row r="2732" ht="20" customHeight="1">
      <x:c r="A2732" s="1" t="str">
        <x:v>22423</x:v>
      </x:c>
      <x:c r="B2732" s="9" t="d">
        <x:v>2011-05-21T00:00:00.000Z</x:v>
      </x:c>
      <x:c r="C2732" s="13" t="n">
        <x:v>0</x:v>
      </x:c>
    </x:row>
    <x:row r="2733" ht="20" customHeight="1">
      <x:c r="A2733" s="1" t="str">
        <x:v>22423</x:v>
      </x:c>
      <x:c r="B2733" s="9" t="d">
        <x:v>2011-05-22T00:00:00.000Z</x:v>
      </x:c>
      <x:c r="C2733" s="13" t="n">
        <x:v>12</x:v>
      </x:c>
    </x:row>
    <x:row r="2734" ht="20" customHeight="1">
      <x:c r="A2734" s="1" t="str">
        <x:v>22423</x:v>
      </x:c>
      <x:c r="B2734" s="9" t="d">
        <x:v>2011-05-23T00:00:00.000Z</x:v>
      </x:c>
      <x:c r="C2734" s="13" t="n">
        <x:v>13</x:v>
      </x:c>
    </x:row>
    <x:row r="2735" ht="20" customHeight="1">
      <x:c r="A2735" s="1" t="str">
        <x:v>22423</x:v>
      </x:c>
      <x:c r="B2735" s="9" t="d">
        <x:v>2011-05-24T00:00:00.000Z</x:v>
      </x:c>
      <x:c r="C2735" s="13" t="n">
        <x:v>18</x:v>
      </x:c>
    </x:row>
    <x:row r="2736" ht="20" customHeight="1">
      <x:c r="A2736" s="1" t="str">
        <x:v>22423</x:v>
      </x:c>
      <x:c r="B2736" s="9" t="d">
        <x:v>2011-05-25T00:00:00.000Z</x:v>
      </x:c>
      <x:c r="C2736" s="13" t="n">
        <x:v>32</x:v>
      </x:c>
    </x:row>
    <x:row r="2737" ht="20" customHeight="1">
      <x:c r="A2737" s="1" t="str">
        <x:v>22423</x:v>
      </x:c>
      <x:c r="B2737" s="9" t="d">
        <x:v>2011-05-26T00:00:00.000Z</x:v>
      </x:c>
      <x:c r="C2737" s="13" t="n">
        <x:v>38</x:v>
      </x:c>
    </x:row>
    <x:row r="2738" ht="20" customHeight="1">
      <x:c r="A2738" s="1" t="str">
        <x:v>22423</x:v>
      </x:c>
      <x:c r="B2738" s="9" t="d">
        <x:v>2011-05-27T00:00:00.000Z</x:v>
      </x:c>
      <x:c r="C2738" s="13" t="n">
        <x:v>65</x:v>
      </x:c>
    </x:row>
    <x:row r="2739" ht="20" customHeight="1">
      <x:c r="A2739" s="1" t="str">
        <x:v>22423</x:v>
      </x:c>
      <x:c r="B2739" s="9" t="d">
        <x:v>2011-05-28T00:00:00.000Z</x:v>
      </x:c>
      <x:c r="C2739" s="13" t="n">
        <x:v>0</x:v>
      </x:c>
    </x:row>
    <x:row r="2740" ht="20" customHeight="1">
      <x:c r="A2740" s="1" t="str">
        <x:v>22423</x:v>
      </x:c>
      <x:c r="B2740" s="9" t="d">
        <x:v>2011-05-29T00:00:00.000Z</x:v>
      </x:c>
      <x:c r="C2740" s="13" t="n">
        <x:v>3</x:v>
      </x:c>
    </x:row>
    <x:row r="2741" ht="20" customHeight="1">
      <x:c r="A2741" s="1" t="str">
        <x:v>22423</x:v>
      </x:c>
      <x:c r="B2741" s="9" t="d">
        <x:v>2011-05-30T00:00:00.000Z</x:v>
      </x:c>
      <x:c r="C2741" s="13" t="n">
        <x:v>0</x:v>
      </x:c>
    </x:row>
    <x:row r="2742" ht="20" customHeight="1">
      <x:c r="A2742" s="1" t="str">
        <x:v>22423</x:v>
      </x:c>
      <x:c r="B2742" s="9" t="d">
        <x:v>2011-05-31T00:00:00.000Z</x:v>
      </x:c>
      <x:c r="C2742" s="13" t="n">
        <x:v>44</x:v>
      </x:c>
    </x:row>
    <x:row r="2743" ht="20" customHeight="1">
      <x:c r="A2743" s="1" t="str">
        <x:v>22423</x:v>
      </x:c>
      <x:c r="B2743" s="9" t="d">
        <x:v>2011-06-01T00:00:00.000Z</x:v>
      </x:c>
      <x:c r="C2743" s="13" t="n">
        <x:v>16</x:v>
      </x:c>
    </x:row>
    <x:row r="2744" ht="20" customHeight="1">
      <x:c r="A2744" s="1" t="str">
        <x:v>22423</x:v>
      </x:c>
      <x:c r="B2744" s="9" t="d">
        <x:v>2011-06-02T00:00:00.000Z</x:v>
      </x:c>
      <x:c r="C2744" s="13" t="n">
        <x:v>56</x:v>
      </x:c>
    </x:row>
    <x:row r="2745" ht="20" customHeight="1">
      <x:c r="A2745" s="1" t="str">
        <x:v>22423</x:v>
      </x:c>
      <x:c r="B2745" s="9" t="d">
        <x:v>2011-06-03T00:00:00.000Z</x:v>
      </x:c>
      <x:c r="C2745" s="13" t="n">
        <x:v>134</x:v>
      </x:c>
    </x:row>
    <x:row r="2746" ht="20" customHeight="1">
      <x:c r="A2746" s="1" t="str">
        <x:v>22423</x:v>
      </x:c>
      <x:c r="B2746" s="9" t="d">
        <x:v>2011-06-04T00:00:00.000Z</x:v>
      </x:c>
      <x:c r="C2746" s="13" t="n">
        <x:v>0</x:v>
      </x:c>
    </x:row>
    <x:row r="2747" ht="20" customHeight="1">
      <x:c r="A2747" s="1" t="str">
        <x:v>22423</x:v>
      </x:c>
      <x:c r="B2747" s="9" t="d">
        <x:v>2011-06-05T00:00:00.000Z</x:v>
      </x:c>
      <x:c r="C2747" s="13" t="n">
        <x:v>13</x:v>
      </x:c>
    </x:row>
    <x:row r="2748" ht="20" customHeight="1">
      <x:c r="A2748" s="1" t="str">
        <x:v>22423</x:v>
      </x:c>
      <x:c r="B2748" s="9" t="d">
        <x:v>2011-06-06T00:00:00.000Z</x:v>
      </x:c>
      <x:c r="C2748" s="13" t="n">
        <x:v>16</x:v>
      </x:c>
    </x:row>
    <x:row r="2749" ht="20" customHeight="1">
      <x:c r="A2749" s="1" t="str">
        <x:v>22423</x:v>
      </x:c>
      <x:c r="B2749" s="9" t="d">
        <x:v>2011-06-07T00:00:00.000Z</x:v>
      </x:c>
      <x:c r="C2749" s="13" t="n">
        <x:v>11</x:v>
      </x:c>
    </x:row>
    <x:row r="2750" ht="20" customHeight="1">
      <x:c r="A2750" s="1" t="str">
        <x:v>22423</x:v>
      </x:c>
      <x:c r="B2750" s="9" t="d">
        <x:v>2011-06-08T00:00:00.000Z</x:v>
      </x:c>
      <x:c r="C2750" s="13" t="n">
        <x:v>57</x:v>
      </x:c>
    </x:row>
    <x:row r="2751" ht="20" customHeight="1">
      <x:c r="A2751" s="1" t="str">
        <x:v>22423</x:v>
      </x:c>
      <x:c r="B2751" s="9" t="d">
        <x:v>2011-06-09T00:00:00.000Z</x:v>
      </x:c>
      <x:c r="C2751" s="13" t="n">
        <x:v>50</x:v>
      </x:c>
    </x:row>
    <x:row r="2752" ht="20" customHeight="1">
      <x:c r="A2752" s="1" t="str">
        <x:v>22423</x:v>
      </x:c>
      <x:c r="B2752" s="9" t="d">
        <x:v>2011-06-10T00:00:00.000Z</x:v>
      </x:c>
      <x:c r="C2752" s="13" t="n">
        <x:v>69</x:v>
      </x:c>
    </x:row>
    <x:row r="2753" ht="20" customHeight="1">
      <x:c r="A2753" s="1" t="str">
        <x:v>22423</x:v>
      </x:c>
      <x:c r="B2753" s="9" t="d">
        <x:v>2011-06-11T00:00:00.000Z</x:v>
      </x:c>
      <x:c r="C2753" s="13" t="n">
        <x:v>0</x:v>
      </x:c>
    </x:row>
    <x:row r="2754" ht="20" customHeight="1">
      <x:c r="A2754" s="1" t="str">
        <x:v>22423</x:v>
      </x:c>
      <x:c r="B2754" s="9" t="d">
        <x:v>2011-06-12T00:00:00.000Z</x:v>
      </x:c>
      <x:c r="C2754" s="13" t="n">
        <x:v>5</x:v>
      </x:c>
    </x:row>
    <x:row r="2755" ht="20" customHeight="1">
      <x:c r="A2755" s="1" t="str">
        <x:v>22423</x:v>
      </x:c>
      <x:c r="B2755" s="9" t="d">
        <x:v>2011-06-13T00:00:00.000Z</x:v>
      </x:c>
      <x:c r="C2755" s="13" t="n">
        <x:v>11</x:v>
      </x:c>
    </x:row>
    <x:row r="2756" ht="20" customHeight="1">
      <x:c r="A2756" s="1" t="str">
        <x:v>22423</x:v>
      </x:c>
      <x:c r="B2756" s="9" t="d">
        <x:v>2011-06-14T00:00:00.000Z</x:v>
      </x:c>
      <x:c r="C2756" s="13" t="n">
        <x:v>21</x:v>
      </x:c>
    </x:row>
    <x:row r="2757" ht="20" customHeight="1">
      <x:c r="A2757" s="1" t="str">
        <x:v>22423</x:v>
      </x:c>
      <x:c r="B2757" s="9" t="d">
        <x:v>2011-06-15T00:00:00.000Z</x:v>
      </x:c>
      <x:c r="C2757" s="13" t="n">
        <x:v>46</x:v>
      </x:c>
    </x:row>
    <x:row r="2758" ht="20" customHeight="1">
      <x:c r="A2758" s="1" t="str">
        <x:v>22423</x:v>
      </x:c>
      <x:c r="B2758" s="9" t="d">
        <x:v>2011-06-16T00:00:00.000Z</x:v>
      </x:c>
      <x:c r="C2758" s="13" t="n">
        <x:v>19</x:v>
      </x:c>
    </x:row>
    <x:row r="2759" ht="20" customHeight="1">
      <x:c r="A2759" s="1" t="str">
        <x:v>22423</x:v>
      </x:c>
      <x:c r="B2759" s="9" t="d">
        <x:v>2011-06-17T00:00:00.000Z</x:v>
      </x:c>
      <x:c r="C2759" s="13" t="n">
        <x:v>71</x:v>
      </x:c>
    </x:row>
    <x:row r="2760" ht="20" customHeight="1">
      <x:c r="A2760" s="1" t="str">
        <x:v>22423</x:v>
      </x:c>
      <x:c r="B2760" s="9" t="d">
        <x:v>2011-06-18T00:00:00.000Z</x:v>
      </x:c>
      <x:c r="C2760" s="13" t="n">
        <x:v>0</x:v>
      </x:c>
    </x:row>
    <x:row r="2761" ht="20" customHeight="1">
      <x:c r="A2761" s="1" t="str">
        <x:v>22423</x:v>
      </x:c>
      <x:c r="B2761" s="9" t="d">
        <x:v>2011-06-19T00:00:00.000Z</x:v>
      </x:c>
      <x:c r="C2761" s="13" t="n">
        <x:v>6</x:v>
      </x:c>
    </x:row>
    <x:row r="2762" ht="20" customHeight="1">
      <x:c r="A2762" s="1" t="str">
        <x:v>22423</x:v>
      </x:c>
      <x:c r="B2762" s="9" t="d">
        <x:v>2011-06-20T00:00:00.000Z</x:v>
      </x:c>
      <x:c r="C2762" s="13" t="n">
        <x:v>4</x:v>
      </x:c>
    </x:row>
    <x:row r="2763" ht="20" customHeight="1">
      <x:c r="A2763" s="1" t="str">
        <x:v>22423</x:v>
      </x:c>
      <x:c r="B2763" s="9" t="d">
        <x:v>2011-06-21T00:00:00.000Z</x:v>
      </x:c>
      <x:c r="C2763" s="13" t="n">
        <x:v>54</x:v>
      </x:c>
    </x:row>
    <x:row r="2764" ht="20" customHeight="1">
      <x:c r="A2764" s="1" t="str">
        <x:v>22423</x:v>
      </x:c>
      <x:c r="B2764" s="9" t="d">
        <x:v>2011-06-22T00:00:00.000Z</x:v>
      </x:c>
      <x:c r="C2764" s="13" t="n">
        <x:v>12</x:v>
      </x:c>
    </x:row>
    <x:row r="2765" ht="20" customHeight="1">
      <x:c r="A2765" s="1" t="str">
        <x:v>22423</x:v>
      </x:c>
      <x:c r="B2765" s="9" t="d">
        <x:v>2011-06-23T00:00:00.000Z</x:v>
      </x:c>
      <x:c r="C2765" s="13" t="n">
        <x:v>31</x:v>
      </x:c>
    </x:row>
    <x:row r="2766" ht="20" customHeight="1">
      <x:c r="A2766" s="1" t="str">
        <x:v>22423</x:v>
      </x:c>
      <x:c r="B2766" s="9" t="d">
        <x:v>2011-06-24T00:00:00.000Z</x:v>
      </x:c>
      <x:c r="C2766" s="13" t="n">
        <x:v>21</x:v>
      </x:c>
    </x:row>
    <x:row r="2767" ht="20" customHeight="1">
      <x:c r="A2767" s="1" t="str">
        <x:v>22423</x:v>
      </x:c>
      <x:c r="B2767" s="9" t="d">
        <x:v>2011-06-25T00:00:00.000Z</x:v>
      </x:c>
      <x:c r="C2767" s="13" t="n">
        <x:v>0</x:v>
      </x:c>
    </x:row>
    <x:row r="2768" ht="20" customHeight="1">
      <x:c r="A2768" s="1" t="str">
        <x:v>22423</x:v>
      </x:c>
      <x:c r="B2768" s="9" t="d">
        <x:v>2011-06-26T00:00:00.000Z</x:v>
      </x:c>
      <x:c r="C2768" s="13" t="n">
        <x:v>20</x:v>
      </x:c>
    </x:row>
    <x:row r="2769" ht="20" customHeight="1">
      <x:c r="A2769" s="1" t="str">
        <x:v>22423</x:v>
      </x:c>
      <x:c r="B2769" s="9" t="d">
        <x:v>2011-06-27T00:00:00.000Z</x:v>
      </x:c>
      <x:c r="C2769" s="13" t="n">
        <x:v>4</x:v>
      </x:c>
    </x:row>
    <x:row r="2770" ht="20" customHeight="1">
      <x:c r="A2770" s="1" t="str">
        <x:v>22423</x:v>
      </x:c>
      <x:c r="B2770" s="9" t="d">
        <x:v>2011-06-28T00:00:00.000Z</x:v>
      </x:c>
      <x:c r="C2770" s="13" t="n">
        <x:v>19</x:v>
      </x:c>
    </x:row>
    <x:row r="2771" ht="20" customHeight="1">
      <x:c r="A2771" s="1" t="str">
        <x:v>22423</x:v>
      </x:c>
      <x:c r="B2771" s="9" t="d">
        <x:v>2011-06-29T00:00:00.000Z</x:v>
      </x:c>
      <x:c r="C2771" s="13" t="n">
        <x:v>4</x:v>
      </x:c>
    </x:row>
    <x:row r="2772" ht="20" customHeight="1">
      <x:c r="A2772" s="1" t="str">
        <x:v>22423</x:v>
      </x:c>
      <x:c r="B2772" s="9" t="d">
        <x:v>2011-06-30T00:00:00.000Z</x:v>
      </x:c>
      <x:c r="C2772" s="13" t="n">
        <x:v>13</x:v>
      </x:c>
    </x:row>
    <x:row r="2773" ht="20" customHeight="1">
      <x:c r="A2773" s="1" t="str">
        <x:v>22423</x:v>
      </x:c>
      <x:c r="B2773" s="9" t="d">
        <x:v>2011-07-01T00:00:00.000Z</x:v>
      </x:c>
      <x:c r="C2773" s="13" t="n">
        <x:v>23</x:v>
      </x:c>
    </x:row>
    <x:row r="2774" ht="20" customHeight="1">
      <x:c r="A2774" s="1" t="str">
        <x:v>22423</x:v>
      </x:c>
      <x:c r="B2774" s="9" t="d">
        <x:v>2011-07-02T00:00:00.000Z</x:v>
      </x:c>
      <x:c r="C2774" s="13" t="n">
        <x:v>0</x:v>
      </x:c>
    </x:row>
    <x:row r="2775" ht="20" customHeight="1">
      <x:c r="A2775" s="1" t="str">
        <x:v>22423</x:v>
      </x:c>
      <x:c r="B2775" s="9" t="d">
        <x:v>2011-07-03T00:00:00.000Z</x:v>
      </x:c>
      <x:c r="C2775" s="13" t="n">
        <x:v>22</x:v>
      </x:c>
    </x:row>
    <x:row r="2776" ht="20" customHeight="1">
      <x:c r="A2776" s="1" t="str">
        <x:v>22423</x:v>
      </x:c>
      <x:c r="B2776" s="9" t="d">
        <x:v>2011-07-04T00:00:00.000Z</x:v>
      </x:c>
      <x:c r="C2776" s="13" t="n">
        <x:v>20</x:v>
      </x:c>
    </x:row>
    <x:row r="2777" ht="20" customHeight="1">
      <x:c r="A2777" s="1" t="str">
        <x:v>22423</x:v>
      </x:c>
      <x:c r="B2777" s="9" t="d">
        <x:v>2011-07-05T00:00:00.000Z</x:v>
      </x:c>
      <x:c r="C2777" s="13" t="n">
        <x:v>33</x:v>
      </x:c>
    </x:row>
    <x:row r="2778" ht="20" customHeight="1">
      <x:c r="A2778" s="1" t="str">
        <x:v>22423</x:v>
      </x:c>
      <x:c r="B2778" s="9" t="d">
        <x:v>2011-07-06T00:00:00.000Z</x:v>
      </x:c>
      <x:c r="C2778" s="13" t="n">
        <x:v>24</x:v>
      </x:c>
    </x:row>
    <x:row r="2779" ht="20" customHeight="1">
      <x:c r="A2779" s="1" t="str">
        <x:v>22423</x:v>
      </x:c>
      <x:c r="B2779" s="9" t="d">
        <x:v>2011-07-07T00:00:00.000Z</x:v>
      </x:c>
      <x:c r="C2779" s="13" t="n">
        <x:v>31</x:v>
      </x:c>
    </x:row>
    <x:row r="2780" ht="20" customHeight="1">
      <x:c r="A2780" s="1" t="str">
        <x:v>22423</x:v>
      </x:c>
      <x:c r="B2780" s="9" t="d">
        <x:v>2011-07-08T00:00:00.000Z</x:v>
      </x:c>
      <x:c r="C2780" s="13" t="n">
        <x:v>23</x:v>
      </x:c>
    </x:row>
    <x:row r="2781" ht="20" customHeight="1">
      <x:c r="A2781" s="1" t="str">
        <x:v>22423</x:v>
      </x:c>
      <x:c r="B2781" s="9" t="d">
        <x:v>2011-07-09T00:00:00.000Z</x:v>
      </x:c>
      <x:c r="C2781" s="13" t="n">
        <x:v>0</x:v>
      </x:c>
    </x:row>
    <x:row r="2782" ht="20" customHeight="1">
      <x:c r="A2782" s="1" t="str">
        <x:v>22423</x:v>
      </x:c>
      <x:c r="B2782" s="9" t="d">
        <x:v>2011-07-10T00:00:00.000Z</x:v>
      </x:c>
      <x:c r="C2782" s="13" t="n">
        <x:v>0</x:v>
      </x:c>
    </x:row>
    <x:row r="2783" ht="20" customHeight="1">
      <x:c r="A2783" s="1" t="str">
        <x:v>22423</x:v>
      </x:c>
      <x:c r="B2783" s="9" t="d">
        <x:v>2011-07-11T00:00:00.000Z</x:v>
      </x:c>
      <x:c r="C2783" s="13" t="n">
        <x:v>14</x:v>
      </x:c>
    </x:row>
    <x:row r="2784" ht="20" customHeight="1">
      <x:c r="A2784" s="1" t="str">
        <x:v>22423</x:v>
      </x:c>
      <x:c r="B2784" s="9" t="d">
        <x:v>2011-07-12T00:00:00.000Z</x:v>
      </x:c>
      <x:c r="C2784" s="13" t="n">
        <x:v>43</x:v>
      </x:c>
    </x:row>
    <x:row r="2785" ht="20" customHeight="1">
      <x:c r="A2785" s="1" t="str">
        <x:v>22423</x:v>
      </x:c>
      <x:c r="B2785" s="9" t="d">
        <x:v>2011-07-13T00:00:00.000Z</x:v>
      </x:c>
      <x:c r="C2785" s="13" t="n">
        <x:v>4</x:v>
      </x:c>
    </x:row>
    <x:row r="2786" ht="20" customHeight="1">
      <x:c r="A2786" s="1" t="str">
        <x:v>22423</x:v>
      </x:c>
      <x:c r="B2786" s="9" t="d">
        <x:v>2011-07-14T00:00:00.000Z</x:v>
      </x:c>
      <x:c r="C2786" s="13" t="n">
        <x:v>211</x:v>
      </x:c>
    </x:row>
    <x:row r="2787" ht="20" customHeight="1">
      <x:c r="A2787" s="1" t="str">
        <x:v>22423</x:v>
      </x:c>
      <x:c r="B2787" s="9" t="d">
        <x:v>2011-07-15T00:00:00.000Z</x:v>
      </x:c>
      <x:c r="C2787" s="13" t="n">
        <x:v>9</x:v>
      </x:c>
    </x:row>
    <x:row r="2788" ht="20" customHeight="1">
      <x:c r="A2788" s="1" t="str">
        <x:v>22423</x:v>
      </x:c>
      <x:c r="B2788" s="9" t="d">
        <x:v>2011-07-16T00:00:00.000Z</x:v>
      </x:c>
      <x:c r="C2788" s="13" t="n">
        <x:v>0</x:v>
      </x:c>
    </x:row>
    <x:row r="2789" ht="20" customHeight="1">
      <x:c r="A2789" s="1" t="str">
        <x:v>22423</x:v>
      </x:c>
      <x:c r="B2789" s="9" t="d">
        <x:v>2011-07-17T00:00:00.000Z</x:v>
      </x:c>
      <x:c r="C2789" s="13" t="n">
        <x:v>11</x:v>
      </x:c>
    </x:row>
    <x:row r="2790" ht="20" customHeight="1">
      <x:c r="A2790" s="1" t="str">
        <x:v>22423</x:v>
      </x:c>
      <x:c r="B2790" s="9" t="d">
        <x:v>2011-07-18T00:00:00.000Z</x:v>
      </x:c>
      <x:c r="C2790" s="13" t="n">
        <x:v>20</x:v>
      </x:c>
    </x:row>
    <x:row r="2791" ht="20" customHeight="1">
      <x:c r="A2791" s="1" t="str">
        <x:v>22423</x:v>
      </x:c>
      <x:c r="B2791" s="9" t="d">
        <x:v>2011-07-19T00:00:00.000Z</x:v>
      </x:c>
      <x:c r="C2791" s="13" t="n">
        <x:v>59</x:v>
      </x:c>
    </x:row>
    <x:row r="2792" ht="20" customHeight="1">
      <x:c r="A2792" s="1" t="str">
        <x:v>22423</x:v>
      </x:c>
      <x:c r="B2792" s="9" t="d">
        <x:v>2011-07-20T00:00:00.000Z</x:v>
      </x:c>
      <x:c r="C2792" s="13" t="n">
        <x:v>27</x:v>
      </x:c>
    </x:row>
    <x:row r="2793" ht="20" customHeight="1">
      <x:c r="A2793" s="1" t="str">
        <x:v>22423</x:v>
      </x:c>
      <x:c r="B2793" s="9" t="d">
        <x:v>2011-07-21T00:00:00.000Z</x:v>
      </x:c>
      <x:c r="C2793" s="13" t="n">
        <x:v>96</x:v>
      </x:c>
    </x:row>
    <x:row r="2794" ht="20" customHeight="1">
      <x:c r="A2794" s="1" t="str">
        <x:v>22423</x:v>
      </x:c>
      <x:c r="B2794" s="9" t="d">
        <x:v>2011-07-22T00:00:00.000Z</x:v>
      </x:c>
      <x:c r="C2794" s="13" t="n">
        <x:v>86</x:v>
      </x:c>
    </x:row>
    <x:row r="2795" ht="20" customHeight="1">
      <x:c r="A2795" s="1" t="str">
        <x:v>22423</x:v>
      </x:c>
      <x:c r="B2795" s="9" t="d">
        <x:v>2011-07-23T00:00:00.000Z</x:v>
      </x:c>
      <x:c r="C2795" s="13" t="n">
        <x:v>0</x:v>
      </x:c>
    </x:row>
    <x:row r="2796" ht="20" customHeight="1">
      <x:c r="A2796" s="1" t="str">
        <x:v>22423</x:v>
      </x:c>
      <x:c r="B2796" s="9" t="d">
        <x:v>2011-07-24T00:00:00.000Z</x:v>
      </x:c>
      <x:c r="C2796" s="13" t="n">
        <x:v>53</x:v>
      </x:c>
    </x:row>
    <x:row r="2797" ht="20" customHeight="1">
      <x:c r="A2797" s="1" t="str">
        <x:v>22423</x:v>
      </x:c>
      <x:c r="B2797" s="9" t="d">
        <x:v>2011-07-25T00:00:00.000Z</x:v>
      </x:c>
      <x:c r="C2797" s="13" t="n">
        <x:v>19</x:v>
      </x:c>
    </x:row>
    <x:row r="2798" ht="20" customHeight="1">
      <x:c r="A2798" s="1" t="str">
        <x:v>22423</x:v>
      </x:c>
      <x:c r="B2798" s="9" t="d">
        <x:v>2011-07-26T00:00:00.000Z</x:v>
      </x:c>
      <x:c r="C2798" s="13" t="n">
        <x:v>16</x:v>
      </x:c>
    </x:row>
    <x:row r="2799" ht="20" customHeight="1">
      <x:c r="A2799" s="1" t="str">
        <x:v>22423</x:v>
      </x:c>
      <x:c r="B2799" s="9" t="d">
        <x:v>2011-07-27T00:00:00.000Z</x:v>
      </x:c>
      <x:c r="C2799" s="13" t="n">
        <x:v>6</x:v>
      </x:c>
    </x:row>
    <x:row r="2800" ht="20" customHeight="1">
      <x:c r="A2800" s="1" t="str">
        <x:v>22423</x:v>
      </x:c>
      <x:c r="B2800" s="9" t="d">
        <x:v>2011-07-28T00:00:00.000Z</x:v>
      </x:c>
      <x:c r="C2800" s="13" t="n">
        <x:v>263</x:v>
      </x:c>
    </x:row>
    <x:row r="2801" ht="20" customHeight="1">
      <x:c r="A2801" s="1" t="str">
        <x:v>22423</x:v>
      </x:c>
      <x:c r="B2801" s="9" t="d">
        <x:v>2011-07-29T00:00:00.000Z</x:v>
      </x:c>
      <x:c r="C2801" s="13" t="n">
        <x:v>16</x:v>
      </x:c>
    </x:row>
    <x:row r="2802" ht="20" customHeight="1">
      <x:c r="A2802" s="1" t="str">
        <x:v>22423</x:v>
      </x:c>
      <x:c r="B2802" s="9" t="d">
        <x:v>2011-07-30T00:00:00.000Z</x:v>
      </x:c>
      <x:c r="C2802" s="13" t="n">
        <x:v>0</x:v>
      </x:c>
    </x:row>
    <x:row r="2803" ht="20" customHeight="1">
      <x:c r="A2803" s="1" t="str">
        <x:v>22423</x:v>
      </x:c>
      <x:c r="B2803" s="9" t="d">
        <x:v>2011-07-31T00:00:00.000Z</x:v>
      </x:c>
      <x:c r="C2803" s="13" t="n">
        <x:v>18</x:v>
      </x:c>
    </x:row>
    <x:row r="2804" ht="20" customHeight="1">
      <x:c r="A2804" s="1" t="str">
        <x:v>22423</x:v>
      </x:c>
      <x:c r="B2804" s="9" t="d">
        <x:v>2011-08-01T00:00:00.000Z</x:v>
      </x:c>
      <x:c r="C2804" s="13" t="n">
        <x:v>19</x:v>
      </x:c>
    </x:row>
    <x:row r="2805" ht="20" customHeight="1">
      <x:c r="A2805" s="1" t="str">
        <x:v>22423</x:v>
      </x:c>
      <x:c r="B2805" s="9" t="d">
        <x:v>2011-08-02T00:00:00.000Z</x:v>
      </x:c>
      <x:c r="C2805" s="13" t="n">
        <x:v>12</x:v>
      </x:c>
    </x:row>
    <x:row r="2806" ht="20" customHeight="1">
      <x:c r="A2806" s="1" t="str">
        <x:v>22423</x:v>
      </x:c>
      <x:c r="B2806" s="9" t="d">
        <x:v>2011-08-03T00:00:00.000Z</x:v>
      </x:c>
      <x:c r="C2806" s="13" t="n">
        <x:v>28</x:v>
      </x:c>
    </x:row>
    <x:row r="2807" ht="20" customHeight="1">
      <x:c r="A2807" s="1" t="str">
        <x:v>22423</x:v>
      </x:c>
      <x:c r="B2807" s="9" t="d">
        <x:v>2011-08-04T00:00:00.000Z</x:v>
      </x:c>
      <x:c r="C2807" s="13" t="n">
        <x:v>80</x:v>
      </x:c>
    </x:row>
    <x:row r="2808" ht="20" customHeight="1">
      <x:c r="A2808" s="1" t="str">
        <x:v>22423</x:v>
      </x:c>
      <x:c r="B2808" s="9" t="d">
        <x:v>2011-08-05T00:00:00.000Z</x:v>
      </x:c>
      <x:c r="C2808" s="13" t="n">
        <x:v>20</x:v>
      </x:c>
    </x:row>
    <x:row r="2809" ht="20" customHeight="1">
      <x:c r="A2809" s="1" t="str">
        <x:v>22423</x:v>
      </x:c>
      <x:c r="B2809" s="9" t="d">
        <x:v>2011-08-06T00:00:00.000Z</x:v>
      </x:c>
      <x:c r="C2809" s="13" t="n">
        <x:v>0</x:v>
      </x:c>
    </x:row>
    <x:row r="2810" ht="20" customHeight="1">
      <x:c r="A2810" s="1" t="str">
        <x:v>22423</x:v>
      </x:c>
      <x:c r="B2810" s="9" t="d">
        <x:v>2011-08-07T00:00:00.000Z</x:v>
      </x:c>
      <x:c r="C2810" s="13" t="n">
        <x:v>21</x:v>
      </x:c>
    </x:row>
    <x:row r="2811" ht="20" customHeight="1">
      <x:c r="A2811" s="1" t="str">
        <x:v>22423</x:v>
      </x:c>
      <x:c r="B2811" s="9" t="d">
        <x:v>2011-08-08T00:00:00.000Z</x:v>
      </x:c>
      <x:c r="C2811" s="13" t="n">
        <x:v>59</x:v>
      </x:c>
    </x:row>
    <x:row r="2812" ht="20" customHeight="1">
      <x:c r="A2812" s="1" t="str">
        <x:v>22423</x:v>
      </x:c>
      <x:c r="B2812" s="9" t="d">
        <x:v>2011-08-09T00:00:00.000Z</x:v>
      </x:c>
      <x:c r="C2812" s="13" t="n">
        <x:v>22</x:v>
      </x:c>
    </x:row>
    <x:row r="2813" ht="20" customHeight="1">
      <x:c r="A2813" s="1" t="str">
        <x:v>22423</x:v>
      </x:c>
      <x:c r="B2813" s="9" t="d">
        <x:v>2011-08-10T00:00:00.000Z</x:v>
      </x:c>
      <x:c r="C2813" s="13" t="n">
        <x:v>37</x:v>
      </x:c>
    </x:row>
    <x:row r="2814" ht="20" customHeight="1">
      <x:c r="A2814" s="1" t="str">
        <x:v>22423</x:v>
      </x:c>
      <x:c r="B2814" s="9" t="d">
        <x:v>2011-08-11T00:00:00.000Z</x:v>
      </x:c>
      <x:c r="C2814" s="13" t="n">
        <x:v>42</x:v>
      </x:c>
    </x:row>
    <x:row r="2815" ht="20" customHeight="1">
      <x:c r="A2815" s="1" t="str">
        <x:v>22423</x:v>
      </x:c>
      <x:c r="B2815" s="9" t="d">
        <x:v>2011-08-12T00:00:00.000Z</x:v>
      </x:c>
      <x:c r="C2815" s="13" t="n">
        <x:v>18</x:v>
      </x:c>
    </x:row>
    <x:row r="2816" ht="20" customHeight="1">
      <x:c r="A2816" s="1" t="str">
        <x:v>22423</x:v>
      </x:c>
      <x:c r="B2816" s="9" t="d">
        <x:v>2011-08-13T00:00:00.000Z</x:v>
      </x:c>
      <x:c r="C2816" s="13" t="n">
        <x:v>0</x:v>
      </x:c>
    </x:row>
    <x:row r="2817" ht="20" customHeight="1">
      <x:c r="A2817" s="1" t="str">
        <x:v>22423</x:v>
      </x:c>
      <x:c r="B2817" s="9" t="d">
        <x:v>2011-08-14T00:00:00.000Z</x:v>
      </x:c>
      <x:c r="C2817" s="13" t="n">
        <x:v>0</x:v>
      </x:c>
    </x:row>
    <x:row r="2818" ht="20" customHeight="1">
      <x:c r="A2818" s="1" t="str">
        <x:v>22423</x:v>
      </x:c>
      <x:c r="B2818" s="9" t="d">
        <x:v>2011-08-15T00:00:00.000Z</x:v>
      </x:c>
      <x:c r="C2818" s="13" t="n">
        <x:v>35</x:v>
      </x:c>
    </x:row>
    <x:row r="2819" ht="20" customHeight="1">
      <x:c r="A2819" s="1" t="str">
        <x:v>22423</x:v>
      </x:c>
      <x:c r="B2819" s="9" t="d">
        <x:v>2011-08-16T00:00:00.000Z</x:v>
      </x:c>
      <x:c r="C2819" s="13" t="n">
        <x:v>13</x:v>
      </x:c>
    </x:row>
    <x:row r="2820" ht="20" customHeight="1">
      <x:c r="A2820" s="1" t="str">
        <x:v>22423</x:v>
      </x:c>
      <x:c r="B2820" s="9" t="d">
        <x:v>2011-08-17T00:00:00.000Z</x:v>
      </x:c>
      <x:c r="C2820" s="13" t="n">
        <x:v>36</x:v>
      </x:c>
    </x:row>
    <x:row r="2821" ht="20" customHeight="1">
      <x:c r="A2821" s="1" t="str">
        <x:v>22423</x:v>
      </x:c>
      <x:c r="B2821" s="9" t="d">
        <x:v>2011-08-18T00:00:00.000Z</x:v>
      </x:c>
      <x:c r="C2821" s="13" t="n">
        <x:v>109</x:v>
      </x:c>
    </x:row>
    <x:row r="2822" ht="20" customHeight="1">
      <x:c r="A2822" s="1" t="str">
        <x:v>22423</x:v>
      </x:c>
      <x:c r="B2822" s="9" t="d">
        <x:v>2011-08-19T00:00:00.000Z</x:v>
      </x:c>
      <x:c r="C2822" s="13" t="n">
        <x:v>7</x:v>
      </x:c>
    </x:row>
    <x:row r="2823" ht="20" customHeight="1">
      <x:c r="A2823" s="1" t="str">
        <x:v>22423</x:v>
      </x:c>
      <x:c r="B2823" s="9" t="d">
        <x:v>2011-08-20T00:00:00.000Z</x:v>
      </x:c>
      <x:c r="C2823" s="13" t="n">
        <x:v>0</x:v>
      </x:c>
    </x:row>
    <x:row r="2824" ht="20" customHeight="1">
      <x:c r="A2824" s="1" t="str">
        <x:v>22423</x:v>
      </x:c>
      <x:c r="B2824" s="9" t="d">
        <x:v>2011-08-21T00:00:00.000Z</x:v>
      </x:c>
      <x:c r="C2824" s="13" t="n">
        <x:v>10</x:v>
      </x:c>
    </x:row>
    <x:row r="2825" ht="20" customHeight="1">
      <x:c r="A2825" s="1" t="str">
        <x:v>22423</x:v>
      </x:c>
      <x:c r="B2825" s="9" t="d">
        <x:v>2011-08-22T00:00:00.000Z</x:v>
      </x:c>
      <x:c r="C2825" s="13" t="n">
        <x:v>119</x:v>
      </x:c>
    </x:row>
    <x:row r="2826" ht="20" customHeight="1">
      <x:c r="A2826" s="1" t="str">
        <x:v>22423</x:v>
      </x:c>
      <x:c r="B2826" s="9" t="d">
        <x:v>2011-08-23T00:00:00.000Z</x:v>
      </x:c>
      <x:c r="C2826" s="13" t="n">
        <x:v>24</x:v>
      </x:c>
    </x:row>
    <x:row r="2827" ht="20" customHeight="1">
      <x:c r="A2827" s="1" t="str">
        <x:v>22423</x:v>
      </x:c>
      <x:c r="B2827" s="9" t="d">
        <x:v>2011-08-24T00:00:00.000Z</x:v>
      </x:c>
      <x:c r="C2827" s="13" t="n">
        <x:v>37</x:v>
      </x:c>
    </x:row>
    <x:row r="2828" ht="20" customHeight="1">
      <x:c r="A2828" s="1" t="str">
        <x:v>22423</x:v>
      </x:c>
      <x:c r="B2828" s="9" t="d">
        <x:v>2011-08-25T00:00:00.000Z</x:v>
      </x:c>
      <x:c r="C2828" s="13" t="n">
        <x:v>33</x:v>
      </x:c>
    </x:row>
    <x:row r="2829" ht="20" customHeight="1">
      <x:c r="A2829" s="1" t="str">
        <x:v>22423</x:v>
      </x:c>
      <x:c r="B2829" s="9" t="d">
        <x:v>2011-08-26T00:00:00.000Z</x:v>
      </x:c>
      <x:c r="C2829" s="13" t="n">
        <x:v>28</x:v>
      </x:c>
    </x:row>
    <x:row r="2830" ht="20" customHeight="1">
      <x:c r="A2830" s="1" t="str">
        <x:v>22423</x:v>
      </x:c>
      <x:c r="B2830" s="9" t="d">
        <x:v>2011-08-27T00:00:00.000Z</x:v>
      </x:c>
      <x:c r="C2830" s="13" t="n">
        <x:v>0</x:v>
      </x:c>
    </x:row>
    <x:row r="2831" ht="20" customHeight="1">
      <x:c r="A2831" s="1" t="str">
        <x:v>22423</x:v>
      </x:c>
      <x:c r="B2831" s="9" t="d">
        <x:v>2011-08-28T00:00:00.000Z</x:v>
      </x:c>
      <x:c r="C2831" s="13" t="n">
        <x:v>0</x:v>
      </x:c>
    </x:row>
    <x:row r="2832" ht="20" customHeight="1">
      <x:c r="A2832" s="1" t="str">
        <x:v>22423</x:v>
      </x:c>
      <x:c r="B2832" s="9" t="d">
        <x:v>2011-08-29T00:00:00.000Z</x:v>
      </x:c>
      <x:c r="C2832" s="13" t="n">
        <x:v>0</x:v>
      </x:c>
    </x:row>
    <x:row r="2833" ht="20" customHeight="1">
      <x:c r="A2833" s="1" t="str">
        <x:v>22423</x:v>
      </x:c>
      <x:c r="B2833" s="9" t="d">
        <x:v>2011-08-30T00:00:00.000Z</x:v>
      </x:c>
      <x:c r="C2833" s="13" t="n">
        <x:v>12</x:v>
      </x:c>
    </x:row>
    <x:row r="2834" ht="20" customHeight="1">
      <x:c r="A2834" s="1" t="str">
        <x:v>22423</x:v>
      </x:c>
      <x:c r="B2834" s="9" t="d">
        <x:v>2011-08-31T00:00:00.000Z</x:v>
      </x:c>
      <x:c r="C2834" s="13" t="n">
        <x:v>21</x:v>
      </x:c>
    </x:row>
    <x:row r="2835" ht="20" customHeight="1">
      <x:c r="A2835" s="1" t="str">
        <x:v>22423</x:v>
      </x:c>
      <x:c r="B2835" s="9" t="d">
        <x:v>2011-09-01T00:00:00.000Z</x:v>
      </x:c>
      <x:c r="C2835" s="13" t="n">
        <x:v>66</x:v>
      </x:c>
    </x:row>
    <x:row r="2836" ht="20" customHeight="1">
      <x:c r="A2836" s="1" t="str">
        <x:v>22423</x:v>
      </x:c>
      <x:c r="B2836" s="9" t="d">
        <x:v>2011-09-02T00:00:00.000Z</x:v>
      </x:c>
      <x:c r="C2836" s="13" t="n">
        <x:v>42</x:v>
      </x:c>
    </x:row>
    <x:row r="2837" ht="20" customHeight="1">
      <x:c r="A2837" s="1" t="str">
        <x:v>22423</x:v>
      </x:c>
      <x:c r="B2837" s="9" t="d">
        <x:v>2011-09-03T00:00:00.000Z</x:v>
      </x:c>
      <x:c r="C2837" s="13" t="n">
        <x:v>0</x:v>
      </x:c>
    </x:row>
    <x:row r="2838" ht="20" customHeight="1">
      <x:c r="A2838" s="1" t="str">
        <x:v>22423</x:v>
      </x:c>
      <x:c r="B2838" s="9" t="d">
        <x:v>2011-09-04T00:00:00.000Z</x:v>
      </x:c>
      <x:c r="C2838" s="13" t="n">
        <x:v>6</x:v>
      </x:c>
    </x:row>
    <x:row r="2839" ht="20" customHeight="1">
      <x:c r="A2839" s="1" t="str">
        <x:v>22423</x:v>
      </x:c>
      <x:c r="B2839" s="9" t="d">
        <x:v>2011-09-05T00:00:00.000Z</x:v>
      </x:c>
      <x:c r="C2839" s="13" t="n">
        <x:v>18</x:v>
      </x:c>
    </x:row>
    <x:row r="2840" ht="20" customHeight="1">
      <x:c r="A2840" s="1" t="str">
        <x:v>22423</x:v>
      </x:c>
      <x:c r="B2840" s="9" t="d">
        <x:v>2011-09-06T00:00:00.000Z</x:v>
      </x:c>
      <x:c r="C2840" s="13" t="n">
        <x:v>24</x:v>
      </x:c>
    </x:row>
    <x:row r="2841" ht="20" customHeight="1">
      <x:c r="A2841" s="1" t="str">
        <x:v>22423</x:v>
      </x:c>
      <x:c r="B2841" s="9" t="d">
        <x:v>2011-09-07T00:00:00.000Z</x:v>
      </x:c>
      <x:c r="C2841" s="13" t="n">
        <x:v>12</x:v>
      </x:c>
    </x:row>
    <x:row r="2842" ht="20" customHeight="1">
      <x:c r="A2842" s="1" t="str">
        <x:v>22423</x:v>
      </x:c>
      <x:c r="B2842" s="9" t="d">
        <x:v>2011-09-08T00:00:00.000Z</x:v>
      </x:c>
      <x:c r="C2842" s="13" t="n">
        <x:v>24</x:v>
      </x:c>
    </x:row>
    <x:row r="2843" ht="20" customHeight="1">
      <x:c r="A2843" s="1" t="str">
        <x:v>22423</x:v>
      </x:c>
      <x:c r="B2843" s="9" t="d">
        <x:v>2011-09-09T00:00:00.000Z</x:v>
      </x:c>
      <x:c r="C2843" s="13" t="n">
        <x:v>8</x:v>
      </x:c>
    </x:row>
    <x:row r="2844" ht="20" customHeight="1">
      <x:c r="A2844" s="1" t="str">
        <x:v>22423</x:v>
      </x:c>
      <x:c r="B2844" s="9" t="d">
        <x:v>2011-09-10T00:00:00.000Z</x:v>
      </x:c>
      <x:c r="C2844" s="13" t="n">
        <x:v>0</x:v>
      </x:c>
    </x:row>
    <x:row r="2845" ht="20" customHeight="1">
      <x:c r="A2845" s="1" t="str">
        <x:v>22423</x:v>
      </x:c>
      <x:c r="B2845" s="9" t="d">
        <x:v>2011-09-11T00:00:00.000Z</x:v>
      </x:c>
      <x:c r="C2845" s="13" t="n">
        <x:v>64</x:v>
      </x:c>
    </x:row>
    <x:row r="2846" ht="20" customHeight="1">
      <x:c r="A2846" s="1" t="str">
        <x:v>22423</x:v>
      </x:c>
      <x:c r="B2846" s="9" t="d">
        <x:v>2011-09-12T00:00:00.000Z</x:v>
      </x:c>
      <x:c r="C2846" s="13" t="n">
        <x:v>56</x:v>
      </x:c>
    </x:row>
    <x:row r="2847" ht="20" customHeight="1">
      <x:c r="A2847" s="1" t="str">
        <x:v>22423</x:v>
      </x:c>
      <x:c r="B2847" s="9" t="d">
        <x:v>2011-09-13T00:00:00.000Z</x:v>
      </x:c>
      <x:c r="C2847" s="13" t="n">
        <x:v>58</x:v>
      </x:c>
    </x:row>
    <x:row r="2848" ht="20" customHeight="1">
      <x:c r="A2848" s="1" t="str">
        <x:v>22423</x:v>
      </x:c>
      <x:c r="B2848" s="9" t="d">
        <x:v>2011-09-14T00:00:00.000Z</x:v>
      </x:c>
      <x:c r="C2848" s="13" t="n">
        <x:v>21</x:v>
      </x:c>
    </x:row>
    <x:row r="2849" ht="20" customHeight="1">
      <x:c r="A2849" s="1" t="str">
        <x:v>22423</x:v>
      </x:c>
      <x:c r="B2849" s="9" t="d">
        <x:v>2011-09-15T00:00:00.000Z</x:v>
      </x:c>
      <x:c r="C2849" s="13" t="n">
        <x:v>65</x:v>
      </x:c>
    </x:row>
    <x:row r="2850" ht="20" customHeight="1">
      <x:c r="A2850" s="1" t="str">
        <x:v>22423</x:v>
      </x:c>
      <x:c r="B2850" s="9" t="d">
        <x:v>2011-09-16T00:00:00.000Z</x:v>
      </x:c>
      <x:c r="C2850" s="13" t="n">
        <x:v>13</x:v>
      </x:c>
    </x:row>
    <x:row r="2851" ht="20" customHeight="1">
      <x:c r="A2851" s="1" t="str">
        <x:v>22423</x:v>
      </x:c>
      <x:c r="B2851" s="9" t="d">
        <x:v>2011-09-17T00:00:00.000Z</x:v>
      </x:c>
      <x:c r="C2851" s="13" t="n">
        <x:v>0</x:v>
      </x:c>
    </x:row>
    <x:row r="2852" ht="20" customHeight="1">
      <x:c r="A2852" s="1" t="str">
        <x:v>22423</x:v>
      </x:c>
      <x:c r="B2852" s="9" t="d">
        <x:v>2011-09-18T00:00:00.000Z</x:v>
      </x:c>
      <x:c r="C2852" s="13" t="n">
        <x:v>6</x:v>
      </x:c>
    </x:row>
    <x:row r="2853" ht="20" customHeight="1">
      <x:c r="A2853" s="1" t="str">
        <x:v>22423</x:v>
      </x:c>
      <x:c r="B2853" s="9" t="d">
        <x:v>2011-09-19T00:00:00.000Z</x:v>
      </x:c>
      <x:c r="C2853" s="13" t="n">
        <x:v>23</x:v>
      </x:c>
    </x:row>
    <x:row r="2854" ht="20" customHeight="1">
      <x:c r="A2854" s="1" t="str">
        <x:v>22423</x:v>
      </x:c>
      <x:c r="B2854" s="9" t="d">
        <x:v>2011-09-20T00:00:00.000Z</x:v>
      </x:c>
      <x:c r="C2854" s="13" t="n">
        <x:v>19</x:v>
      </x:c>
    </x:row>
    <x:row r="2855" ht="20" customHeight="1">
      <x:c r="A2855" s="1" t="str">
        <x:v>22423</x:v>
      </x:c>
      <x:c r="B2855" s="9" t="d">
        <x:v>2011-09-21T00:00:00.000Z</x:v>
      </x:c>
      <x:c r="C2855" s="13" t="n">
        <x:v>19</x:v>
      </x:c>
    </x:row>
    <x:row r="2856" ht="20" customHeight="1">
      <x:c r="A2856" s="1" t="str">
        <x:v>22423</x:v>
      </x:c>
      <x:c r="B2856" s="9" t="d">
        <x:v>2011-09-22T00:00:00.000Z</x:v>
      </x:c>
      <x:c r="C2856" s="13" t="n">
        <x:v>48</x:v>
      </x:c>
    </x:row>
    <x:row r="2857" ht="20" customHeight="1">
      <x:c r="A2857" s="1" t="str">
        <x:v>22423</x:v>
      </x:c>
      <x:c r="B2857" s="9" t="d">
        <x:v>2011-09-23T00:00:00.000Z</x:v>
      </x:c>
      <x:c r="C2857" s="13" t="n">
        <x:v>16</x:v>
      </x:c>
    </x:row>
    <x:row r="2858" ht="20" customHeight="1">
      <x:c r="A2858" s="1" t="str">
        <x:v>22423</x:v>
      </x:c>
      <x:c r="B2858" s="9" t="d">
        <x:v>2011-09-24T00:00:00.000Z</x:v>
      </x:c>
      <x:c r="C2858" s="13" t="n">
        <x:v>0</x:v>
      </x:c>
    </x:row>
    <x:row r="2859" ht="20" customHeight="1">
      <x:c r="A2859" s="1" t="str">
        <x:v>22423</x:v>
      </x:c>
      <x:c r="B2859" s="9" t="d">
        <x:v>2011-09-25T00:00:00.000Z</x:v>
      </x:c>
      <x:c r="C2859" s="13" t="n">
        <x:v>22</x:v>
      </x:c>
    </x:row>
    <x:row r="2860" ht="20" customHeight="1">
      <x:c r="A2860" s="1" t="str">
        <x:v>22423</x:v>
      </x:c>
      <x:c r="B2860" s="9" t="d">
        <x:v>2011-09-26T00:00:00.000Z</x:v>
      </x:c>
      <x:c r="C2860" s="13" t="n">
        <x:v>15</x:v>
      </x:c>
    </x:row>
    <x:row r="2861" ht="20" customHeight="1">
      <x:c r="A2861" s="1" t="str">
        <x:v>22423</x:v>
      </x:c>
      <x:c r="B2861" s="9" t="d">
        <x:v>2011-09-27T00:00:00.000Z</x:v>
      </x:c>
      <x:c r="C2861" s="13" t="n">
        <x:v>47</x:v>
      </x:c>
    </x:row>
    <x:row r="2862" ht="20" customHeight="1">
      <x:c r="A2862" s="1" t="str">
        <x:v>22423</x:v>
      </x:c>
      <x:c r="B2862" s="9" t="d">
        <x:v>2011-09-28T00:00:00.000Z</x:v>
      </x:c>
      <x:c r="C2862" s="13" t="n">
        <x:v>14</x:v>
      </x:c>
    </x:row>
    <x:row r="2863" ht="20" customHeight="1">
      <x:c r="A2863" s="1" t="str">
        <x:v>22423</x:v>
      </x:c>
      <x:c r="B2863" s="9" t="d">
        <x:v>2011-09-29T00:00:00.000Z</x:v>
      </x:c>
      <x:c r="C2863" s="13" t="n">
        <x:v>60</x:v>
      </x:c>
    </x:row>
    <x:row r="2864" ht="20" customHeight="1">
      <x:c r="A2864" s="1" t="str">
        <x:v>22423</x:v>
      </x:c>
      <x:c r="B2864" s="9" t="d">
        <x:v>2011-09-30T00:00:00.000Z</x:v>
      </x:c>
      <x:c r="C2864" s="13" t="n">
        <x:v>8</x:v>
      </x:c>
    </x:row>
    <x:row r="2865" ht="20" customHeight="1">
      <x:c r="A2865" s="1" t="str">
        <x:v>22423</x:v>
      </x:c>
      <x:c r="B2865" s="9" t="d">
        <x:v>2011-10-01T00:00:00.000Z</x:v>
      </x:c>
      <x:c r="C2865" s="13" t="n">
        <x:v>0</x:v>
      </x:c>
    </x:row>
    <x:row r="2866" ht="20" customHeight="1">
      <x:c r="A2866" s="1" t="str">
        <x:v>22423</x:v>
      </x:c>
      <x:c r="B2866" s="9" t="d">
        <x:v>2011-10-02T00:00:00.000Z</x:v>
      </x:c>
      <x:c r="C2866" s="13" t="n">
        <x:v>4</x:v>
      </x:c>
    </x:row>
    <x:row r="2867" ht="20" customHeight="1">
      <x:c r="A2867" s="1" t="str">
        <x:v>22423</x:v>
      </x:c>
      <x:c r="B2867" s="9" t="d">
        <x:v>2011-10-03T00:00:00.000Z</x:v>
      </x:c>
      <x:c r="C2867" s="13" t="n">
        <x:v>25</x:v>
      </x:c>
    </x:row>
    <x:row r="2868" ht="20" customHeight="1">
      <x:c r="A2868" s="1" t="str">
        <x:v>22423</x:v>
      </x:c>
      <x:c r="B2868" s="9" t="d">
        <x:v>2011-10-04T00:00:00.000Z</x:v>
      </x:c>
      <x:c r="C2868" s="13" t="n">
        <x:v>47</x:v>
      </x:c>
    </x:row>
    <x:row r="2869" ht="20" customHeight="1">
      <x:c r="A2869" s="1" t="str">
        <x:v>22423</x:v>
      </x:c>
      <x:c r="B2869" s="9" t="d">
        <x:v>2011-10-05T00:00:00.000Z</x:v>
      </x:c>
      <x:c r="C2869" s="13" t="n">
        <x:v>228</x:v>
      </x:c>
    </x:row>
    <x:row r="2870" ht="20" customHeight="1">
      <x:c r="A2870" s="1" t="str">
        <x:v>22423</x:v>
      </x:c>
      <x:c r="B2870" s="9" t="d">
        <x:v>2011-10-06T00:00:00.000Z</x:v>
      </x:c>
      <x:c r="C2870" s="13" t="n">
        <x:v>75</x:v>
      </x:c>
    </x:row>
    <x:row r="2871" ht="20" customHeight="1">
      <x:c r="A2871" s="1" t="str">
        <x:v>22423</x:v>
      </x:c>
      <x:c r="B2871" s="9" t="d">
        <x:v>2011-10-07T00:00:00.000Z</x:v>
      </x:c>
      <x:c r="C2871" s="13" t="n">
        <x:v>13</x:v>
      </x:c>
    </x:row>
    <x:row r="2872" ht="20" customHeight="1">
      <x:c r="A2872" s="1" t="str">
        <x:v>22423</x:v>
      </x:c>
      <x:c r="B2872" s="9" t="d">
        <x:v>2011-10-08T00:00:00.000Z</x:v>
      </x:c>
      <x:c r="C2872" s="13" t="n">
        <x:v>0</x:v>
      </x:c>
    </x:row>
    <x:row r="2873" ht="20" customHeight="1">
      <x:c r="A2873" s="1" t="str">
        <x:v>22423</x:v>
      </x:c>
      <x:c r="B2873" s="9" t="d">
        <x:v>2011-10-09T00:00:00.000Z</x:v>
      </x:c>
      <x:c r="C2873" s="13" t="n">
        <x:v>20</x:v>
      </x:c>
    </x:row>
    <x:row r="2874" ht="20" customHeight="1">
      <x:c r="A2874" s="1" t="str">
        <x:v>22423</x:v>
      </x:c>
      <x:c r="B2874" s="9" t="d">
        <x:v>2011-10-10T00:00:00.000Z</x:v>
      </x:c>
      <x:c r="C2874" s="13" t="n">
        <x:v>22</x:v>
      </x:c>
    </x:row>
    <x:row r="2875" ht="20" customHeight="1">
      <x:c r="A2875" s="1" t="str">
        <x:v>22423</x:v>
      </x:c>
      <x:c r="B2875" s="9" t="d">
        <x:v>2011-10-11T00:00:00.000Z</x:v>
      </x:c>
      <x:c r="C2875" s="13" t="n">
        <x:v>26</x:v>
      </x:c>
    </x:row>
    <x:row r="2876" ht="20" customHeight="1">
      <x:c r="A2876" s="1" t="str">
        <x:v>22423</x:v>
      </x:c>
      <x:c r="B2876" s="9" t="d">
        <x:v>2011-10-12T00:00:00.000Z</x:v>
      </x:c>
      <x:c r="C2876" s="13" t="n">
        <x:v>38</x:v>
      </x:c>
    </x:row>
    <x:row r="2877" ht="20" customHeight="1">
      <x:c r="A2877" s="1" t="str">
        <x:v>22423</x:v>
      </x:c>
      <x:c r="B2877" s="9" t="d">
        <x:v>2011-10-13T00:00:00.000Z</x:v>
      </x:c>
      <x:c r="C2877" s="13" t="n">
        <x:v>57</x:v>
      </x:c>
    </x:row>
    <x:row r="2878" ht="20" customHeight="1">
      <x:c r="A2878" s="1" t="str">
        <x:v>22423</x:v>
      </x:c>
      <x:c r="B2878" s="9" t="d">
        <x:v>2011-10-14T00:00:00.000Z</x:v>
      </x:c>
      <x:c r="C2878" s="13" t="n">
        <x:v>49</x:v>
      </x:c>
    </x:row>
    <x:row r="2879" ht="20" customHeight="1">
      <x:c r="A2879" s="1" t="str">
        <x:v>22423</x:v>
      </x:c>
      <x:c r="B2879" s="9" t="d">
        <x:v>2011-10-15T00:00:00.000Z</x:v>
      </x:c>
      <x:c r="C2879" s="13" t="n">
        <x:v>0</x:v>
      </x:c>
    </x:row>
    <x:row r="2880" ht="20" customHeight="1">
      <x:c r="A2880" s="1" t="str">
        <x:v>22423</x:v>
      </x:c>
      <x:c r="B2880" s="9" t="d">
        <x:v>2011-10-16T00:00:00.000Z</x:v>
      </x:c>
      <x:c r="C2880" s="13" t="n">
        <x:v>22</x:v>
      </x:c>
    </x:row>
    <x:row r="2881" ht="20" customHeight="1">
      <x:c r="A2881" s="1" t="str">
        <x:v>22423</x:v>
      </x:c>
      <x:c r="B2881" s="9" t="d">
        <x:v>2011-10-17T00:00:00.000Z</x:v>
      </x:c>
      <x:c r="C2881" s="13" t="n">
        <x:v>50</x:v>
      </x:c>
    </x:row>
    <x:row r="2882" ht="20" customHeight="1">
      <x:c r="A2882" s="1" t="str">
        <x:v>22423</x:v>
      </x:c>
      <x:c r="B2882" s="9" t="d">
        <x:v>2011-10-18T00:00:00.000Z</x:v>
      </x:c>
      <x:c r="C2882" s="13" t="n">
        <x:v>28</x:v>
      </x:c>
    </x:row>
    <x:row r="2883" ht="20" customHeight="1">
      <x:c r="A2883" s="1" t="str">
        <x:v>22423</x:v>
      </x:c>
      <x:c r="B2883" s="9" t="d">
        <x:v>2011-10-19T00:00:00.000Z</x:v>
      </x:c>
      <x:c r="C2883" s="13" t="n">
        <x:v>46</x:v>
      </x:c>
    </x:row>
    <x:row r="2884" ht="20" customHeight="1">
      <x:c r="A2884" s="1" t="str">
        <x:v>22423</x:v>
      </x:c>
      <x:c r="B2884" s="9" t="d">
        <x:v>2011-10-20T00:00:00.000Z</x:v>
      </x:c>
      <x:c r="C2884" s="13" t="n">
        <x:v>109</x:v>
      </x:c>
    </x:row>
    <x:row r="2885" ht="20" customHeight="1">
      <x:c r="A2885" s="1" t="str">
        <x:v>22423</x:v>
      </x:c>
      <x:c r="B2885" s="9" t="d">
        <x:v>2011-10-21T00:00:00.000Z</x:v>
      </x:c>
      <x:c r="C2885" s="13" t="n">
        <x:v>29</x:v>
      </x:c>
    </x:row>
    <x:row r="2886" ht="20" customHeight="1">
      <x:c r="A2886" s="1" t="str">
        <x:v>22423</x:v>
      </x:c>
      <x:c r="B2886" s="9" t="d">
        <x:v>2011-10-22T00:00:00.000Z</x:v>
      </x:c>
      <x:c r="C2886" s="13" t="n">
        <x:v>0</x:v>
      </x:c>
    </x:row>
    <x:row r="2887" ht="20" customHeight="1">
      <x:c r="A2887" s="1" t="str">
        <x:v>22423</x:v>
      </x:c>
      <x:c r="B2887" s="9" t="d">
        <x:v>2011-10-23T00:00:00.000Z</x:v>
      </x:c>
      <x:c r="C2887" s="13" t="n">
        <x:v>6</x:v>
      </x:c>
    </x:row>
    <x:row r="2888" ht="20" customHeight="1">
      <x:c r="A2888" s="1" t="str">
        <x:v>22423</x:v>
      </x:c>
      <x:c r="B2888" s="9" t="d">
        <x:v>2011-10-24T00:00:00.000Z</x:v>
      </x:c>
      <x:c r="C2888" s="13" t="n">
        <x:v>5</x:v>
      </x:c>
    </x:row>
    <x:row r="2889" ht="20" customHeight="1">
      <x:c r="A2889" s="1" t="str">
        <x:v>22423</x:v>
      </x:c>
      <x:c r="B2889" s="9" t="d">
        <x:v>2011-10-25T00:00:00.000Z</x:v>
      </x:c>
      <x:c r="C2889" s="13" t="n">
        <x:v>13</x:v>
      </x:c>
    </x:row>
    <x:row r="2890" ht="20" customHeight="1">
      <x:c r="A2890" s="1" t="str">
        <x:v>22423</x:v>
      </x:c>
      <x:c r="B2890" s="9" t="d">
        <x:v>2011-10-26T00:00:00.000Z</x:v>
      </x:c>
      <x:c r="C2890" s="13" t="n">
        <x:v>18</x:v>
      </x:c>
    </x:row>
    <x:row r="2891" ht="20" customHeight="1">
      <x:c r="A2891" s="1" t="str">
        <x:v>22423</x:v>
      </x:c>
      <x:c r="B2891" s="9" t="d">
        <x:v>2011-10-27T00:00:00.000Z</x:v>
      </x:c>
      <x:c r="C2891" s="13" t="n">
        <x:v>28</x:v>
      </x:c>
    </x:row>
    <x:row r="2892" ht="20" customHeight="1">
      <x:c r="A2892" s="1" t="str">
        <x:v>22423</x:v>
      </x:c>
      <x:c r="B2892" s="9" t="d">
        <x:v>2011-10-28T00:00:00.000Z</x:v>
      </x:c>
      <x:c r="C2892" s="13" t="n">
        <x:v>52</x:v>
      </x:c>
    </x:row>
    <x:row r="2893" ht="20" customHeight="1">
      <x:c r="A2893" s="1" t="str">
        <x:v>22423</x:v>
      </x:c>
      <x:c r="B2893" s="9" t="d">
        <x:v>2011-10-29T00:00:00.000Z</x:v>
      </x:c>
      <x:c r="C2893" s="13" t="n">
        <x:v>0</x:v>
      </x:c>
    </x:row>
    <x:row r="2894" ht="20" customHeight="1">
      <x:c r="A2894" s="1" t="str">
        <x:v>22423</x:v>
      </x:c>
      <x:c r="B2894" s="9" t="d">
        <x:v>2011-10-30T00:00:00.000Z</x:v>
      </x:c>
      <x:c r="C2894" s="13" t="n">
        <x:v>19</x:v>
      </x:c>
    </x:row>
    <x:row r="2895" ht="20" customHeight="1">
      <x:c r="A2895" s="1" t="str">
        <x:v>22423</x:v>
      </x:c>
      <x:c r="B2895" s="9" t="d">
        <x:v>2011-10-31T00:00:00.000Z</x:v>
      </x:c>
      <x:c r="C2895" s="13" t="n">
        <x:v>52</x:v>
      </x:c>
    </x:row>
    <x:row r="2896" ht="20" customHeight="1">
      <x:c r="A2896" s="1" t="str">
        <x:v>22423</x:v>
      </x:c>
      <x:c r="B2896" s="9" t="d">
        <x:v>2011-11-01T00:00:00.000Z</x:v>
      </x:c>
      <x:c r="C2896" s="13" t="n">
        <x:v>21</x:v>
      </x:c>
    </x:row>
    <x:row r="2897" ht="20" customHeight="1">
      <x:c r="A2897" s="1" t="str">
        <x:v>22423</x:v>
      </x:c>
      <x:c r="B2897" s="9" t="d">
        <x:v>2011-11-02T00:00:00.000Z</x:v>
      </x:c>
      <x:c r="C2897" s="13" t="n">
        <x:v>5</x:v>
      </x:c>
    </x:row>
    <x:row r="2898" ht="20" customHeight="1">
      <x:c r="A2898" s="1" t="str">
        <x:v>22423</x:v>
      </x:c>
      <x:c r="B2898" s="9" t="d">
        <x:v>2011-11-03T00:00:00.000Z</x:v>
      </x:c>
      <x:c r="C2898" s="13" t="n">
        <x:v>65</x:v>
      </x:c>
    </x:row>
    <x:row r="2899" ht="20" customHeight="1">
      <x:c r="A2899" s="1" t="str">
        <x:v>22423</x:v>
      </x:c>
      <x:c r="B2899" s="9" t="d">
        <x:v>2011-11-04T00:00:00.000Z</x:v>
      </x:c>
      <x:c r="C2899" s="13" t="n">
        <x:v>111</x:v>
      </x:c>
    </x:row>
    <x:row r="2900" ht="20" customHeight="1">
      <x:c r="A2900" s="1" t="str">
        <x:v>22423</x:v>
      </x:c>
      <x:c r="B2900" s="9" t="d">
        <x:v>2011-11-05T00:00:00.000Z</x:v>
      </x:c>
      <x:c r="C2900" s="13" t="n">
        <x:v>0</x:v>
      </x:c>
    </x:row>
    <x:row r="2901" ht="20" customHeight="1">
      <x:c r="A2901" s="1" t="str">
        <x:v>22423</x:v>
      </x:c>
      <x:c r="B2901" s="9" t="d">
        <x:v>2011-11-06T00:00:00.000Z</x:v>
      </x:c>
      <x:c r="C2901" s="13" t="n">
        <x:v>25</x:v>
      </x:c>
    </x:row>
    <x:row r="2902" ht="20" customHeight="1">
      <x:c r="A2902" s="1" t="str">
        <x:v>22423</x:v>
      </x:c>
      <x:c r="B2902" s="9" t="d">
        <x:v>2011-11-07T00:00:00.000Z</x:v>
      </x:c>
      <x:c r="C2902" s="13" t="n">
        <x:v>35</x:v>
      </x:c>
    </x:row>
    <x:row r="2903" ht="20" customHeight="1">
      <x:c r="A2903" s="1" t="str">
        <x:v>22423</x:v>
      </x:c>
      <x:c r="B2903" s="9" t="d">
        <x:v>2011-11-08T00:00:00.000Z</x:v>
      </x:c>
      <x:c r="C2903" s="13" t="n">
        <x:v>11</x:v>
      </x:c>
    </x:row>
    <x:row r="2904" ht="20" customHeight="1">
      <x:c r="A2904" s="1" t="str">
        <x:v>22423</x:v>
      </x:c>
      <x:c r="B2904" s="9" t="d">
        <x:v>2011-11-09T00:00:00.000Z</x:v>
      </x:c>
      <x:c r="C2904" s="13" t="n">
        <x:v>16</x:v>
      </x:c>
    </x:row>
    <x:row r="2905" ht="20" customHeight="1">
      <x:c r="A2905" s="1" t="str">
        <x:v>22423</x:v>
      </x:c>
      <x:c r="B2905" s="9" t="d">
        <x:v>2011-11-10T00:00:00.000Z</x:v>
      </x:c>
      <x:c r="C2905" s="13" t="n">
        <x:v>46</x:v>
      </x:c>
    </x:row>
    <x:row r="2906" ht="20" customHeight="1">
      <x:c r="A2906" s="1" t="str">
        <x:v>22423</x:v>
      </x:c>
      <x:c r="B2906" s="9" t="d">
        <x:v>2011-11-11T00:00:00.000Z</x:v>
      </x:c>
      <x:c r="C2906" s="13" t="n">
        <x:v>32</x:v>
      </x:c>
    </x:row>
    <x:row r="2907" ht="20" customHeight="1">
      <x:c r="A2907" s="1" t="str">
        <x:v>22423</x:v>
      </x:c>
      <x:c r="B2907" s="9" t="d">
        <x:v>2011-11-12T00:00:00.000Z</x:v>
      </x:c>
      <x:c r="C2907" s="13" t="n">
        <x:v>0</x:v>
      </x:c>
    </x:row>
    <x:row r="2908" ht="20" customHeight="1">
      <x:c r="A2908" s="1" t="str">
        <x:v>22423</x:v>
      </x:c>
      <x:c r="B2908" s="9" t="d">
        <x:v>2011-11-13T00:00:00.000Z</x:v>
      </x:c>
      <x:c r="C2908" s="13" t="n">
        <x:v>29</x:v>
      </x:c>
    </x:row>
    <x:row r="2909" ht="20" customHeight="1">
      <x:c r="A2909" s="1" t="str">
        <x:v>22423</x:v>
      </x:c>
      <x:c r="B2909" s="9" t="d">
        <x:v>2011-11-14T00:00:00.000Z</x:v>
      </x:c>
      <x:c r="C2909" s="13" t="n">
        <x:v>7</x:v>
      </x:c>
    </x:row>
    <x:row r="2910" ht="20" customHeight="1">
      <x:c r="A2910" s="1" t="str">
        <x:v>22423</x:v>
      </x:c>
      <x:c r="B2910" s="9" t="d">
        <x:v>2011-11-15T00:00:00.000Z</x:v>
      </x:c>
      <x:c r="C2910" s="13" t="n">
        <x:v>45</x:v>
      </x:c>
    </x:row>
    <x:row r="2911" ht="20" customHeight="1">
      <x:c r="A2911" s="1" t="str">
        <x:v>22423</x:v>
      </x:c>
      <x:c r="B2911" s="9" t="d">
        <x:v>2011-11-16T00:00:00.000Z</x:v>
      </x:c>
      <x:c r="C2911" s="13" t="n">
        <x:v>15</x:v>
      </x:c>
    </x:row>
    <x:row r="2912" ht="20" customHeight="1">
      <x:c r="A2912" s="1" t="str">
        <x:v>22423</x:v>
      </x:c>
      <x:c r="B2912" s="9" t="d">
        <x:v>2011-11-17T00:00:00.000Z</x:v>
      </x:c>
      <x:c r="C2912" s="13" t="n">
        <x:v>49</x:v>
      </x:c>
    </x:row>
    <x:row r="2913" ht="20" customHeight="1">
      <x:c r="A2913" s="1" t="str">
        <x:v>22423</x:v>
      </x:c>
      <x:c r="B2913" s="9" t="d">
        <x:v>2011-11-18T00:00:00.000Z</x:v>
      </x:c>
      <x:c r="C2913" s="13" t="n">
        <x:v>110</x:v>
      </x:c>
    </x:row>
    <x:row r="2914" ht="20" customHeight="1">
      <x:c r="A2914" s="1" t="str">
        <x:v>22423</x:v>
      </x:c>
      <x:c r="B2914" s="9" t="d">
        <x:v>2011-11-19T00:00:00.000Z</x:v>
      </x:c>
      <x:c r="C2914" s="13" t="n">
        <x:v>0</x:v>
      </x:c>
    </x:row>
    <x:row r="2915" ht="20" customHeight="1">
      <x:c r="A2915" s="1" t="str">
        <x:v>22423</x:v>
      </x:c>
      <x:c r="B2915" s="9" t="d">
        <x:v>2011-11-20T00:00:00.000Z</x:v>
      </x:c>
      <x:c r="C2915" s="13" t="n">
        <x:v>8</x:v>
      </x:c>
    </x:row>
    <x:row r="2916" ht="20" customHeight="1">
      <x:c r="A2916" s="1" t="str">
        <x:v>22423</x:v>
      </x:c>
      <x:c r="B2916" s="9" t="d">
        <x:v>2011-11-21T00:00:00.000Z</x:v>
      </x:c>
      <x:c r="C2916" s="13" t="n">
        <x:v>50</x:v>
      </x:c>
    </x:row>
    <x:row r="2917" ht="20" customHeight="1">
      <x:c r="A2917" s="1" t="str">
        <x:v>22423</x:v>
      </x:c>
      <x:c r="B2917" s="9" t="d">
        <x:v>2011-11-22T00:00:00.000Z</x:v>
      </x:c>
      <x:c r="C2917" s="13" t="n">
        <x:v>29</x:v>
      </x:c>
    </x:row>
    <x:row r="2918" ht="20" customHeight="1">
      <x:c r="A2918" s="1" t="str">
        <x:v>22423</x:v>
      </x:c>
      <x:c r="B2918" s="9" t="d">
        <x:v>2011-11-23T00:00:00.000Z</x:v>
      </x:c>
      <x:c r="C2918" s="13" t="n">
        <x:v>47</x:v>
      </x:c>
    </x:row>
    <x:row r="2919" ht="20" customHeight="1">
      <x:c r="A2919" s="1" t="str">
        <x:v>22423</x:v>
      </x:c>
      <x:c r="B2919" s="9" t="d">
        <x:v>2011-11-24T00:00:00.000Z</x:v>
      </x:c>
      <x:c r="C2919" s="13" t="n">
        <x:v>82</x:v>
      </x:c>
    </x:row>
    <x:row r="2920" ht="20" customHeight="1">
      <x:c r="A2920" s="1" t="str">
        <x:v>22423</x:v>
      </x:c>
      <x:c r="B2920" s="9" t="d">
        <x:v>2011-11-25T00:00:00.000Z</x:v>
      </x:c>
      <x:c r="C2920" s="13" t="n">
        <x:v>23</x:v>
      </x:c>
    </x:row>
    <x:row r="2921" ht="20" customHeight="1">
      <x:c r="A2921" s="1" t="str">
        <x:v>22423</x:v>
      </x:c>
      <x:c r="B2921" s="9" t="d">
        <x:v>2011-11-26T00:00:00.000Z</x:v>
      </x:c>
      <x:c r="C2921" s="13" t="n">
        <x:v>0</x:v>
      </x:c>
    </x:row>
    <x:row r="2922" ht="20" customHeight="1">
      <x:c r="A2922" s="1" t="str">
        <x:v>22423</x:v>
      </x:c>
      <x:c r="B2922" s="9" t="d">
        <x:v>2011-11-27T00:00:00.000Z</x:v>
      </x:c>
      <x:c r="C2922" s="13" t="n">
        <x:v>29</x:v>
      </x:c>
    </x:row>
    <x:row r="2923" ht="20" customHeight="1">
      <x:c r="A2923" s="1" t="str">
        <x:v>22423</x:v>
      </x:c>
      <x:c r="B2923" s="9" t="d">
        <x:v>2011-11-28T00:00:00.000Z</x:v>
      </x:c>
      <x:c r="C2923" s="13" t="n">
        <x:v>34</x:v>
      </x:c>
    </x:row>
    <x:row r="2924" ht="20" customHeight="1">
      <x:c r="A2924" s="1" t="str">
        <x:v>22423</x:v>
      </x:c>
      <x:c r="B2924" s="9" t="d">
        <x:v>2011-11-29T00:00:00.000Z</x:v>
      </x:c>
      <x:c r="C2924" s="13" t="n">
        <x:v>93</x:v>
      </x:c>
    </x:row>
    <x:row r="2925" ht="20" customHeight="1">
      <x:c r="A2925" s="1" t="str">
        <x:v>22423</x:v>
      </x:c>
      <x:c r="B2925" s="9" t="d">
        <x:v>2011-11-30T00:00:00.000Z</x:v>
      </x:c>
      <x:c r="C2925" s="13" t="n">
        <x:v>35</x:v>
      </x:c>
    </x:row>
    <x:row r="2926" ht="20" customHeight="1">
      <x:c r="A2926" s="1" t="str">
        <x:v>22457</x:v>
      </x:c>
      <x:c r="B2926" s="9" t="d">
        <x:v>2010-12-01T00:00:00.000Z</x:v>
      </x:c>
      <x:c r="C2926" s="13" t="n">
        <x:v>38</x:v>
      </x:c>
    </x:row>
    <x:row r="2927" ht="20" customHeight="1">
      <x:c r="A2927" s="1" t="str">
        <x:v>22457</x:v>
      </x:c>
      <x:c r="B2927" s="9" t="d">
        <x:v>2010-12-02T00:00:00.000Z</x:v>
      </x:c>
      <x:c r="C2927" s="13" t="n">
        <x:v>28</x:v>
      </x:c>
    </x:row>
    <x:row r="2928" ht="20" customHeight="1">
      <x:c r="A2928" s="1" t="str">
        <x:v>22457</x:v>
      </x:c>
      <x:c r="B2928" s="9" t="d">
        <x:v>2010-12-03T00:00:00.000Z</x:v>
      </x:c>
      <x:c r="C2928" s="13" t="n">
        <x:v>28</x:v>
      </x:c>
    </x:row>
    <x:row r="2929" ht="20" customHeight="1">
      <x:c r="A2929" s="1" t="str">
        <x:v>22457</x:v>
      </x:c>
      <x:c r="B2929" s="9" t="d">
        <x:v>2010-12-04T00:00:00.000Z</x:v>
      </x:c>
      <x:c r="C2929" s="13" t="n">
        <x:v>0</x:v>
      </x:c>
    </x:row>
    <x:row r="2930" ht="20" customHeight="1">
      <x:c r="A2930" s="1" t="str">
        <x:v>22457</x:v>
      </x:c>
      <x:c r="B2930" s="9" t="d">
        <x:v>2010-12-05T00:00:00.000Z</x:v>
      </x:c>
      <x:c r="C2930" s="13" t="n">
        <x:v>25</x:v>
      </x:c>
    </x:row>
    <x:row r="2931" ht="20" customHeight="1">
      <x:c r="A2931" s="1" t="str">
        <x:v>22457</x:v>
      </x:c>
      <x:c r="B2931" s="9" t="d">
        <x:v>2010-12-06T00:00:00.000Z</x:v>
      </x:c>
      <x:c r="C2931" s="13" t="n">
        <x:v>43</x:v>
      </x:c>
    </x:row>
    <x:row r="2932" ht="20" customHeight="1">
      <x:c r="A2932" s="1" t="str">
        <x:v>22457</x:v>
      </x:c>
      <x:c r="B2932" s="9" t="d">
        <x:v>2010-12-07T00:00:00.000Z</x:v>
      </x:c>
      <x:c r="C2932" s="13" t="n">
        <x:v>61</x:v>
      </x:c>
    </x:row>
    <x:row r="2933" ht="20" customHeight="1">
      <x:c r="A2933" s="1" t="str">
        <x:v>22457</x:v>
      </x:c>
      <x:c r="B2933" s="9" t="d">
        <x:v>2010-12-08T00:00:00.000Z</x:v>
      </x:c>
      <x:c r="C2933" s="13" t="n">
        <x:v>52</x:v>
      </x:c>
    </x:row>
    <x:row r="2934" ht="20" customHeight="1">
      <x:c r="A2934" s="1" t="str">
        <x:v>22457</x:v>
      </x:c>
      <x:c r="B2934" s="9" t="d">
        <x:v>2010-12-09T00:00:00.000Z</x:v>
      </x:c>
      <x:c r="C2934" s="13" t="n">
        <x:v>39</x:v>
      </x:c>
    </x:row>
    <x:row r="2935" ht="20" customHeight="1">
      <x:c r="A2935" s="1" t="str">
        <x:v>22457</x:v>
      </x:c>
      <x:c r="B2935" s="9" t="d">
        <x:v>2010-12-10T00:00:00.000Z</x:v>
      </x:c>
      <x:c r="C2935" s="13" t="n">
        <x:v>35</x:v>
      </x:c>
    </x:row>
    <x:row r="2936" ht="20" customHeight="1">
      <x:c r="A2936" s="1" t="str">
        <x:v>22457</x:v>
      </x:c>
      <x:c r="B2936" s="9" t="d">
        <x:v>2010-12-11T00:00:00.000Z</x:v>
      </x:c>
      <x:c r="C2936" s="13" t="n">
        <x:v>0</x:v>
      </x:c>
    </x:row>
    <x:row r="2937" ht="20" customHeight="1">
      <x:c r="A2937" s="1" t="str">
        <x:v>22457</x:v>
      </x:c>
      <x:c r="B2937" s="9" t="d">
        <x:v>2010-12-12T00:00:00.000Z</x:v>
      </x:c>
      <x:c r="C2937" s="13" t="n">
        <x:v>13</x:v>
      </x:c>
    </x:row>
    <x:row r="2938" ht="20" customHeight="1">
      <x:c r="A2938" s="1" t="str">
        <x:v>22457</x:v>
      </x:c>
      <x:c r="B2938" s="9" t="d">
        <x:v>2010-12-13T00:00:00.000Z</x:v>
      </x:c>
      <x:c r="C2938" s="13" t="n">
        <x:v>55</x:v>
      </x:c>
    </x:row>
    <x:row r="2939" ht="20" customHeight="1">
      <x:c r="A2939" s="1" t="str">
        <x:v>22457</x:v>
      </x:c>
      <x:c r="B2939" s="9" t="d">
        <x:v>2010-12-14T00:00:00.000Z</x:v>
      </x:c>
      <x:c r="C2939" s="13" t="n">
        <x:v>11</x:v>
      </x:c>
    </x:row>
    <x:row r="2940" ht="20" customHeight="1">
      <x:c r="A2940" s="1" t="str">
        <x:v>22457</x:v>
      </x:c>
      <x:c r="B2940" s="9" t="d">
        <x:v>2010-12-15T00:00:00.000Z</x:v>
      </x:c>
      <x:c r="C2940" s="13" t="n">
        <x:v>66</x:v>
      </x:c>
    </x:row>
    <x:row r="2941" ht="20" customHeight="1">
      <x:c r="A2941" s="1" t="str">
        <x:v>22457</x:v>
      </x:c>
      <x:c r="B2941" s="9" t="d">
        <x:v>2010-12-16T00:00:00.000Z</x:v>
      </x:c>
      <x:c r="C2941" s="13" t="n">
        <x:v>36</x:v>
      </x:c>
    </x:row>
    <x:row r="2942" ht="20" customHeight="1">
      <x:c r="A2942" s="1" t="str">
        <x:v>22457</x:v>
      </x:c>
      <x:c r="B2942" s="9" t="d">
        <x:v>2010-12-17T00:00:00.000Z</x:v>
      </x:c>
      <x:c r="C2942" s="13" t="n">
        <x:v>16</x:v>
      </x:c>
    </x:row>
    <x:row r="2943" ht="20" customHeight="1">
      <x:c r="A2943" s="1" t="str">
        <x:v>22457</x:v>
      </x:c>
      <x:c r="B2943" s="9" t="d">
        <x:v>2010-12-18T00:00:00.000Z</x:v>
      </x:c>
      <x:c r="C2943" s="13" t="n">
        <x:v>0</x:v>
      </x:c>
    </x:row>
    <x:row r="2944" ht="20" customHeight="1">
      <x:c r="A2944" s="1" t="str">
        <x:v>22457</x:v>
      </x:c>
      <x:c r="B2944" s="9" t="d">
        <x:v>2010-12-19T00:00:00.000Z</x:v>
      </x:c>
      <x:c r="C2944" s="13" t="n">
        <x:v>0</x:v>
      </x:c>
    </x:row>
    <x:row r="2945" ht="20" customHeight="1">
      <x:c r="A2945" s="1" t="str">
        <x:v>22457</x:v>
      </x:c>
      <x:c r="B2945" s="9" t="d">
        <x:v>2010-12-20T00:00:00.000Z</x:v>
      </x:c>
      <x:c r="C2945" s="13" t="n">
        <x:v>26</x:v>
      </x:c>
    </x:row>
    <x:row r="2946" ht="20" customHeight="1">
      <x:c r="A2946" s="1" t="str">
        <x:v>22457</x:v>
      </x:c>
      <x:c r="B2946" s="9" t="d">
        <x:v>2010-12-21T00:00:00.000Z</x:v>
      </x:c>
      <x:c r="C2946" s="13" t="n">
        <x:v>25</x:v>
      </x:c>
    </x:row>
    <x:row r="2947" ht="20" customHeight="1">
      <x:c r="A2947" s="1" t="str">
        <x:v>22457</x:v>
      </x:c>
      <x:c r="B2947" s="9" t="d">
        <x:v>2010-12-22T00:00:00.000Z</x:v>
      </x:c>
      <x:c r="C2947" s="13" t="n">
        <x:v>12</x:v>
      </x:c>
    </x:row>
    <x:row r="2948" ht="20" customHeight="1">
      <x:c r="A2948" s="1" t="str">
        <x:v>22457</x:v>
      </x:c>
      <x:c r="B2948" s="9" t="d">
        <x:v>2010-12-23T00:00:00.000Z</x:v>
      </x:c>
      <x:c r="C2948" s="13" t="n">
        <x:v>4</x:v>
      </x:c>
    </x:row>
    <x:row r="2949" ht="20" customHeight="1">
      <x:c r="A2949" s="1" t="str">
        <x:v>22457</x:v>
      </x:c>
      <x:c r="B2949" s="9" t="d">
        <x:v>2010-12-24T00:00:00.000Z</x:v>
      </x:c>
      <x:c r="C2949" s="13" t="n">
        <x:v>0</x:v>
      </x:c>
    </x:row>
    <x:row r="2950" ht="20" customHeight="1">
      <x:c r="A2950" s="1" t="str">
        <x:v>22457</x:v>
      </x:c>
      <x:c r="B2950" s="9" t="d">
        <x:v>2010-12-25T00:00:00.000Z</x:v>
      </x:c>
      <x:c r="C2950" s="13" t="n">
        <x:v>0</x:v>
      </x:c>
    </x:row>
    <x:row r="2951" ht="20" customHeight="1">
      <x:c r="A2951" s="1" t="str">
        <x:v>22457</x:v>
      </x:c>
      <x:c r="B2951" s="9" t="d">
        <x:v>2010-12-26T00:00:00.000Z</x:v>
      </x:c>
      <x:c r="C2951" s="13" t="n">
        <x:v>0</x:v>
      </x:c>
    </x:row>
    <x:row r="2952" ht="20" customHeight="1">
      <x:c r="A2952" s="1" t="str">
        <x:v>22457</x:v>
      </x:c>
      <x:c r="B2952" s="9" t="d">
        <x:v>2010-12-27T00:00:00.000Z</x:v>
      </x:c>
      <x:c r="C2952" s="13" t="n">
        <x:v>0</x:v>
      </x:c>
    </x:row>
    <x:row r="2953" ht="20" customHeight="1">
      <x:c r="A2953" s="1" t="str">
        <x:v>22457</x:v>
      </x:c>
      <x:c r="B2953" s="9" t="d">
        <x:v>2010-12-28T00:00:00.000Z</x:v>
      </x:c>
      <x:c r="C2953" s="13" t="n">
        <x:v>0</x:v>
      </x:c>
    </x:row>
    <x:row r="2954" ht="20" customHeight="1">
      <x:c r="A2954" s="1" t="str">
        <x:v>22457</x:v>
      </x:c>
      <x:c r="B2954" s="9" t="d">
        <x:v>2010-12-29T00:00:00.000Z</x:v>
      </x:c>
      <x:c r="C2954" s="13" t="n">
        <x:v>0</x:v>
      </x:c>
    </x:row>
    <x:row r="2955" ht="20" customHeight="1">
      <x:c r="A2955" s="1" t="str">
        <x:v>22457</x:v>
      </x:c>
      <x:c r="B2955" s="9" t="d">
        <x:v>2010-12-30T00:00:00.000Z</x:v>
      </x:c>
      <x:c r="C2955" s="13" t="n">
        <x:v>0</x:v>
      </x:c>
    </x:row>
    <x:row r="2956" ht="20" customHeight="1">
      <x:c r="A2956" s="1" t="str">
        <x:v>22457</x:v>
      </x:c>
      <x:c r="B2956" s="9" t="d">
        <x:v>2010-12-31T00:00:00.000Z</x:v>
      </x:c>
      <x:c r="C2956" s="13" t="n">
        <x:v>0</x:v>
      </x:c>
    </x:row>
    <x:row r="2957" ht="20" customHeight="1">
      <x:c r="A2957" s="1" t="str">
        <x:v>22457</x:v>
      </x:c>
      <x:c r="B2957" s="9" t="d">
        <x:v>2011-01-01T00:00:00.000Z</x:v>
      </x:c>
      <x:c r="C2957" s="13" t="n">
        <x:v>0</x:v>
      </x:c>
    </x:row>
    <x:row r="2958" ht="20" customHeight="1">
      <x:c r="A2958" s="1" t="str">
        <x:v>22457</x:v>
      </x:c>
      <x:c r="B2958" s="9" t="d">
        <x:v>2011-01-02T00:00:00.000Z</x:v>
      </x:c>
      <x:c r="C2958" s="13" t="n">
        <x:v>0</x:v>
      </x:c>
    </x:row>
    <x:row r="2959" ht="20" customHeight="1">
      <x:c r="A2959" s="1" t="str">
        <x:v>22457</x:v>
      </x:c>
      <x:c r="B2959" s="9" t="d">
        <x:v>2011-01-03T00:00:00.000Z</x:v>
      </x:c>
      <x:c r="C2959" s="13" t="n">
        <x:v>0</x:v>
      </x:c>
    </x:row>
    <x:row r="2960" ht="20" customHeight="1">
      <x:c r="A2960" s="1" t="str">
        <x:v>22457</x:v>
      </x:c>
      <x:c r="B2960" s="9" t="d">
        <x:v>2011-01-04T00:00:00.000Z</x:v>
      </x:c>
      <x:c r="C2960" s="13" t="n">
        <x:v>73</x:v>
      </x:c>
    </x:row>
    <x:row r="2961" ht="20" customHeight="1">
      <x:c r="A2961" s="1" t="str">
        <x:v>22457</x:v>
      </x:c>
      <x:c r="B2961" s="9" t="d">
        <x:v>2011-01-05T00:00:00.000Z</x:v>
      </x:c>
      <x:c r="C2961" s="13" t="n">
        <x:v>33</x:v>
      </x:c>
    </x:row>
    <x:row r="2962" ht="20" customHeight="1">
      <x:c r="A2962" s="1" t="str">
        <x:v>22457</x:v>
      </x:c>
      <x:c r="B2962" s="9" t="d">
        <x:v>2011-01-06T00:00:00.000Z</x:v>
      </x:c>
      <x:c r="C2962" s="13" t="n">
        <x:v>124</x:v>
      </x:c>
    </x:row>
    <x:row r="2963" ht="20" customHeight="1">
      <x:c r="A2963" s="1" t="str">
        <x:v>22457</x:v>
      </x:c>
      <x:c r="B2963" s="9" t="d">
        <x:v>2011-01-07T00:00:00.000Z</x:v>
      </x:c>
      <x:c r="C2963" s="13" t="n">
        <x:v>12</x:v>
      </x:c>
    </x:row>
    <x:row r="2964" ht="20" customHeight="1">
      <x:c r="A2964" s="1" t="str">
        <x:v>22457</x:v>
      </x:c>
      <x:c r="B2964" s="9" t="d">
        <x:v>2011-01-08T00:00:00.000Z</x:v>
      </x:c>
      <x:c r="C2964" s="13" t="n">
        <x:v>0</x:v>
      </x:c>
    </x:row>
    <x:row r="2965" ht="20" customHeight="1">
      <x:c r="A2965" s="1" t="str">
        <x:v>22457</x:v>
      </x:c>
      <x:c r="B2965" s="9" t="d">
        <x:v>2011-01-09T00:00:00.000Z</x:v>
      </x:c>
      <x:c r="C2965" s="13" t="n">
        <x:v>15</x:v>
      </x:c>
    </x:row>
    <x:row r="2966" ht="20" customHeight="1">
      <x:c r="A2966" s="1" t="str">
        <x:v>22457</x:v>
      </x:c>
      <x:c r="B2966" s="9" t="d">
        <x:v>2011-01-10T00:00:00.000Z</x:v>
      </x:c>
      <x:c r="C2966" s="13" t="n">
        <x:v>15</x:v>
      </x:c>
    </x:row>
    <x:row r="2967" ht="20" customHeight="1">
      <x:c r="A2967" s="1" t="str">
        <x:v>22457</x:v>
      </x:c>
      <x:c r="B2967" s="9" t="d">
        <x:v>2011-01-11T00:00:00.000Z</x:v>
      </x:c>
      <x:c r="C2967" s="13" t="n">
        <x:v>57</x:v>
      </x:c>
    </x:row>
    <x:row r="2968" ht="20" customHeight="1">
      <x:c r="A2968" s="1" t="str">
        <x:v>22457</x:v>
      </x:c>
      <x:c r="B2968" s="9" t="d">
        <x:v>2011-01-12T00:00:00.000Z</x:v>
      </x:c>
      <x:c r="C2968" s="13" t="n">
        <x:v>69</x:v>
      </x:c>
    </x:row>
    <x:row r="2969" ht="20" customHeight="1">
      <x:c r="A2969" s="1" t="str">
        <x:v>22457</x:v>
      </x:c>
      <x:c r="B2969" s="9" t="d">
        <x:v>2011-01-13T00:00:00.000Z</x:v>
      </x:c>
      <x:c r="C2969" s="13" t="n">
        <x:v>17</x:v>
      </x:c>
    </x:row>
    <x:row r="2970" ht="20" customHeight="1">
      <x:c r="A2970" s="1" t="str">
        <x:v>22457</x:v>
      </x:c>
      <x:c r="B2970" s="9" t="d">
        <x:v>2011-01-14T00:00:00.000Z</x:v>
      </x:c>
      <x:c r="C2970" s="13" t="n">
        <x:v>40</x:v>
      </x:c>
    </x:row>
    <x:row r="2971" ht="20" customHeight="1">
      <x:c r="A2971" s="1" t="str">
        <x:v>22457</x:v>
      </x:c>
      <x:c r="B2971" s="9" t="d">
        <x:v>2011-01-15T00:00:00.000Z</x:v>
      </x:c>
      <x:c r="C2971" s="13" t="n">
        <x:v>0</x:v>
      </x:c>
    </x:row>
    <x:row r="2972" ht="20" customHeight="1">
      <x:c r="A2972" s="1" t="str">
        <x:v>22457</x:v>
      </x:c>
      <x:c r="B2972" s="9" t="d">
        <x:v>2011-01-16T00:00:00.000Z</x:v>
      </x:c>
      <x:c r="C2972" s="13" t="n">
        <x:v>10</x:v>
      </x:c>
    </x:row>
    <x:row r="2973" ht="20" customHeight="1">
      <x:c r="A2973" s="1" t="str">
        <x:v>22457</x:v>
      </x:c>
      <x:c r="B2973" s="9" t="d">
        <x:v>2011-01-17T00:00:00.000Z</x:v>
      </x:c>
      <x:c r="C2973" s="13" t="n">
        <x:v>26</x:v>
      </x:c>
    </x:row>
    <x:row r="2974" ht="20" customHeight="1">
      <x:c r="A2974" s="1" t="str">
        <x:v>22457</x:v>
      </x:c>
      <x:c r="B2974" s="9" t="d">
        <x:v>2011-01-18T00:00:00.000Z</x:v>
      </x:c>
      <x:c r="C2974" s="13" t="n">
        <x:v>18</x:v>
      </x:c>
    </x:row>
    <x:row r="2975" ht="20" customHeight="1">
      <x:c r="A2975" s="1" t="str">
        <x:v>22457</x:v>
      </x:c>
      <x:c r="B2975" s="9" t="d">
        <x:v>2011-01-19T00:00:00.000Z</x:v>
      </x:c>
      <x:c r="C2975" s="13" t="n">
        <x:v>11</x:v>
      </x:c>
    </x:row>
    <x:row r="2976" ht="20" customHeight="1">
      <x:c r="A2976" s="1" t="str">
        <x:v>22457</x:v>
      </x:c>
      <x:c r="B2976" s="9" t="d">
        <x:v>2011-01-20T00:00:00.000Z</x:v>
      </x:c>
      <x:c r="C2976" s="13" t="n">
        <x:v>23</x:v>
      </x:c>
    </x:row>
    <x:row r="2977" ht="20" customHeight="1">
      <x:c r="A2977" s="1" t="str">
        <x:v>22457</x:v>
      </x:c>
      <x:c r="B2977" s="9" t="d">
        <x:v>2011-01-21T00:00:00.000Z</x:v>
      </x:c>
      <x:c r="C2977" s="13" t="n">
        <x:v>14</x:v>
      </x:c>
    </x:row>
    <x:row r="2978" ht="20" customHeight="1">
      <x:c r="A2978" s="1" t="str">
        <x:v>22457</x:v>
      </x:c>
      <x:c r="B2978" s="9" t="d">
        <x:v>2011-01-22T00:00:00.000Z</x:v>
      </x:c>
      <x:c r="C2978" s="13" t="n">
        <x:v>0</x:v>
      </x:c>
    </x:row>
    <x:row r="2979" ht="20" customHeight="1">
      <x:c r="A2979" s="1" t="str">
        <x:v>22457</x:v>
      </x:c>
      <x:c r="B2979" s="9" t="d">
        <x:v>2011-01-23T00:00:00.000Z</x:v>
      </x:c>
      <x:c r="C2979" s="13" t="n">
        <x:v>4</x:v>
      </x:c>
    </x:row>
    <x:row r="2980" ht="20" customHeight="1">
      <x:c r="A2980" s="1" t="str">
        <x:v>22457</x:v>
      </x:c>
      <x:c r="B2980" s="9" t="d">
        <x:v>2011-01-24T00:00:00.000Z</x:v>
      </x:c>
      <x:c r="C2980" s="13" t="n">
        <x:v>32</x:v>
      </x:c>
    </x:row>
    <x:row r="2981" ht="20" customHeight="1">
      <x:c r="A2981" s="1" t="str">
        <x:v>22457</x:v>
      </x:c>
      <x:c r="B2981" s="9" t="d">
        <x:v>2011-01-25T00:00:00.000Z</x:v>
      </x:c>
      <x:c r="C2981" s="13" t="n">
        <x:v>68</x:v>
      </x:c>
    </x:row>
    <x:row r="2982" ht="20" customHeight="1">
      <x:c r="A2982" s="1" t="str">
        <x:v>22457</x:v>
      </x:c>
      <x:c r="B2982" s="9" t="d">
        <x:v>2011-01-26T00:00:00.000Z</x:v>
      </x:c>
      <x:c r="C2982" s="13" t="n">
        <x:v>15</x:v>
      </x:c>
    </x:row>
    <x:row r="2983" ht="20" customHeight="1">
      <x:c r="A2983" s="1" t="str">
        <x:v>22457</x:v>
      </x:c>
      <x:c r="B2983" s="9" t="d">
        <x:v>2011-01-27T00:00:00.000Z</x:v>
      </x:c>
      <x:c r="C2983" s="13" t="n">
        <x:v>38</x:v>
      </x:c>
    </x:row>
    <x:row r="2984" ht="20" customHeight="1">
      <x:c r="A2984" s="1" t="str">
        <x:v>22457</x:v>
      </x:c>
      <x:c r="B2984" s="9" t="d">
        <x:v>2011-01-28T00:00:00.000Z</x:v>
      </x:c>
      <x:c r="C2984" s="13" t="n">
        <x:v>52</x:v>
      </x:c>
    </x:row>
    <x:row r="2985" ht="20" customHeight="1">
      <x:c r="A2985" s="1" t="str">
        <x:v>22457</x:v>
      </x:c>
      <x:c r="B2985" s="9" t="d">
        <x:v>2011-01-29T00:00:00.000Z</x:v>
      </x:c>
      <x:c r="C2985" s="13" t="n">
        <x:v>0</x:v>
      </x:c>
    </x:row>
    <x:row r="2986" ht="20" customHeight="1">
      <x:c r="A2986" s="1" t="str">
        <x:v>22457</x:v>
      </x:c>
      <x:c r="B2986" s="9" t="d">
        <x:v>2011-01-30T00:00:00.000Z</x:v>
      </x:c>
      <x:c r="C2986" s="13" t="n">
        <x:v>18</x:v>
      </x:c>
    </x:row>
    <x:row r="2987" ht="20" customHeight="1">
      <x:c r="A2987" s="1" t="str">
        <x:v>22457</x:v>
      </x:c>
      <x:c r="B2987" s="9" t="d">
        <x:v>2011-01-31T00:00:00.000Z</x:v>
      </x:c>
      <x:c r="C2987" s="13" t="n">
        <x:v>10</x:v>
      </x:c>
    </x:row>
    <x:row r="2988" ht="20" customHeight="1">
      <x:c r="A2988" s="1" t="str">
        <x:v>22457</x:v>
      </x:c>
      <x:c r="B2988" s="9" t="d">
        <x:v>2011-02-01T00:00:00.000Z</x:v>
      </x:c>
      <x:c r="C2988" s="13" t="n">
        <x:v>49</x:v>
      </x:c>
    </x:row>
    <x:row r="2989" ht="20" customHeight="1">
      <x:c r="A2989" s="1" t="str">
        <x:v>22457</x:v>
      </x:c>
      <x:c r="B2989" s="9" t="d">
        <x:v>2011-02-02T00:00:00.000Z</x:v>
      </x:c>
      <x:c r="C2989" s="13" t="n">
        <x:v>56</x:v>
      </x:c>
    </x:row>
    <x:row r="2990" ht="20" customHeight="1">
      <x:c r="A2990" s="1" t="str">
        <x:v>22457</x:v>
      </x:c>
      <x:c r="B2990" s="9" t="d">
        <x:v>2011-02-03T00:00:00.000Z</x:v>
      </x:c>
      <x:c r="C2990" s="13" t="n">
        <x:v>31</x:v>
      </x:c>
    </x:row>
    <x:row r="2991" ht="20" customHeight="1">
      <x:c r="A2991" s="1" t="str">
        <x:v>22457</x:v>
      </x:c>
      <x:c r="B2991" s="9" t="d">
        <x:v>2011-02-04T00:00:00.000Z</x:v>
      </x:c>
      <x:c r="C2991" s="13" t="n">
        <x:v>1</x:v>
      </x:c>
    </x:row>
    <x:row r="2992" ht="20" customHeight="1">
      <x:c r="A2992" s="1" t="str">
        <x:v>22457</x:v>
      </x:c>
      <x:c r="B2992" s="9" t="d">
        <x:v>2011-02-05T00:00:00.000Z</x:v>
      </x:c>
      <x:c r="C2992" s="13" t="n">
        <x:v>0</x:v>
      </x:c>
    </x:row>
    <x:row r="2993" ht="20" customHeight="1">
      <x:c r="A2993" s="1" t="str">
        <x:v>22457</x:v>
      </x:c>
      <x:c r="B2993" s="9" t="d">
        <x:v>2011-02-06T00:00:00.000Z</x:v>
      </x:c>
      <x:c r="C2993" s="13" t="n">
        <x:v>2</x:v>
      </x:c>
    </x:row>
    <x:row r="2994" ht="20" customHeight="1">
      <x:c r="A2994" s="1" t="str">
        <x:v>22457</x:v>
      </x:c>
      <x:c r="B2994" s="9" t="d">
        <x:v>2011-02-07T00:00:00.000Z</x:v>
      </x:c>
      <x:c r="C2994" s="13" t="n">
        <x:v>21</x:v>
      </x:c>
    </x:row>
    <x:row r="2995" ht="20" customHeight="1">
      <x:c r="A2995" s="1" t="str">
        <x:v>22457</x:v>
      </x:c>
      <x:c r="B2995" s="9" t="d">
        <x:v>2011-02-08T00:00:00.000Z</x:v>
      </x:c>
      <x:c r="C2995" s="13" t="n">
        <x:v>39</x:v>
      </x:c>
    </x:row>
    <x:row r="2996" ht="20" customHeight="1">
      <x:c r="A2996" s="1" t="str">
        <x:v>22457</x:v>
      </x:c>
      <x:c r="B2996" s="9" t="d">
        <x:v>2011-02-09T00:00:00.000Z</x:v>
      </x:c>
      <x:c r="C2996" s="13" t="n">
        <x:v>9</x:v>
      </x:c>
    </x:row>
    <x:row r="2997" ht="20" customHeight="1">
      <x:c r="A2997" s="1" t="str">
        <x:v>22457</x:v>
      </x:c>
      <x:c r="B2997" s="9" t="d">
        <x:v>2011-02-10T00:00:00.000Z</x:v>
      </x:c>
      <x:c r="C2997" s="13" t="n">
        <x:v>6</x:v>
      </x:c>
    </x:row>
    <x:row r="2998" ht="20" customHeight="1">
      <x:c r="A2998" s="1" t="str">
        <x:v>22457</x:v>
      </x:c>
      <x:c r="B2998" s="9" t="d">
        <x:v>2011-02-11T00:00:00.000Z</x:v>
      </x:c>
      <x:c r="C2998" s="13" t="n">
        <x:v>9</x:v>
      </x:c>
    </x:row>
    <x:row r="2999" ht="20" customHeight="1">
      <x:c r="A2999" s="1" t="str">
        <x:v>22457</x:v>
      </x:c>
      <x:c r="B2999" s="9" t="d">
        <x:v>2011-02-12T00:00:00.000Z</x:v>
      </x:c>
      <x:c r="C2999" s="13" t="n">
        <x:v>0</x:v>
      </x:c>
    </x:row>
    <x:row r="3000" ht="20" customHeight="1">
      <x:c r="A3000" s="1" t="str">
        <x:v>22457</x:v>
      </x:c>
      <x:c r="B3000" s="9" t="d">
        <x:v>2011-02-13T00:00:00.000Z</x:v>
      </x:c>
      <x:c r="C3000" s="13" t="n">
        <x:v>8</x:v>
      </x:c>
    </x:row>
    <x:row r="3001" ht="20" customHeight="1">
      <x:c r="A3001" s="1" t="str">
        <x:v>22457</x:v>
      </x:c>
      <x:c r="B3001" s="9" t="d">
        <x:v>2011-02-14T00:00:00.000Z</x:v>
      </x:c>
      <x:c r="C3001" s="13" t="n">
        <x:v>12</x:v>
      </x:c>
    </x:row>
    <x:row r="3002" ht="20" customHeight="1">
      <x:c r="A3002" s="1" t="str">
        <x:v>22457</x:v>
      </x:c>
      <x:c r="B3002" s="9" t="d">
        <x:v>2011-02-15T00:00:00.000Z</x:v>
      </x:c>
      <x:c r="C3002" s="13" t="n">
        <x:v>11</x:v>
      </x:c>
    </x:row>
    <x:row r="3003" ht="20" customHeight="1">
      <x:c r="A3003" s="1" t="str">
        <x:v>22457</x:v>
      </x:c>
      <x:c r="B3003" s="9" t="d">
        <x:v>2011-02-16T00:00:00.000Z</x:v>
      </x:c>
      <x:c r="C3003" s="13" t="n">
        <x:v>62</x:v>
      </x:c>
    </x:row>
    <x:row r="3004" ht="20" customHeight="1">
      <x:c r="A3004" s="1" t="str">
        <x:v>22457</x:v>
      </x:c>
      <x:c r="B3004" s="9" t="d">
        <x:v>2011-02-17T00:00:00.000Z</x:v>
      </x:c>
      <x:c r="C3004" s="13" t="n">
        <x:v>17</x:v>
      </x:c>
    </x:row>
    <x:row r="3005" ht="20" customHeight="1">
      <x:c r="A3005" s="1" t="str">
        <x:v>22457</x:v>
      </x:c>
      <x:c r="B3005" s="9" t="d">
        <x:v>2011-02-18T00:00:00.000Z</x:v>
      </x:c>
      <x:c r="C3005" s="13" t="n">
        <x:v>5</x:v>
      </x:c>
    </x:row>
    <x:row r="3006" ht="20" customHeight="1">
      <x:c r="A3006" s="1" t="str">
        <x:v>22457</x:v>
      </x:c>
      <x:c r="B3006" s="9" t="d">
        <x:v>2011-02-19T00:00:00.000Z</x:v>
      </x:c>
      <x:c r="C3006" s="13" t="n">
        <x:v>0</x:v>
      </x:c>
    </x:row>
    <x:row r="3007" ht="20" customHeight="1">
      <x:c r="A3007" s="1" t="str">
        <x:v>22457</x:v>
      </x:c>
      <x:c r="B3007" s="9" t="d">
        <x:v>2011-02-20T00:00:00.000Z</x:v>
      </x:c>
      <x:c r="C3007" s="13" t="n">
        <x:v>4</x:v>
      </x:c>
    </x:row>
    <x:row r="3008" ht="20" customHeight="1">
      <x:c r="A3008" s="1" t="str">
        <x:v>22457</x:v>
      </x:c>
      <x:c r="B3008" s="9" t="d">
        <x:v>2011-02-21T00:00:00.000Z</x:v>
      </x:c>
      <x:c r="C3008" s="13" t="n">
        <x:v>23</x:v>
      </x:c>
    </x:row>
    <x:row r="3009" ht="20" customHeight="1">
      <x:c r="A3009" s="1" t="str">
        <x:v>22457</x:v>
      </x:c>
      <x:c r="B3009" s="9" t="d">
        <x:v>2011-02-22T00:00:00.000Z</x:v>
      </x:c>
      <x:c r="C3009" s="13" t="n">
        <x:v>13</x:v>
      </x:c>
    </x:row>
    <x:row r="3010" ht="20" customHeight="1">
      <x:c r="A3010" s="1" t="str">
        <x:v>22457</x:v>
      </x:c>
      <x:c r="B3010" s="9" t="d">
        <x:v>2011-02-23T00:00:00.000Z</x:v>
      </x:c>
      <x:c r="C3010" s="13" t="n">
        <x:v>29</x:v>
      </x:c>
    </x:row>
    <x:row r="3011" ht="20" customHeight="1">
      <x:c r="A3011" s="1" t="str">
        <x:v>22457</x:v>
      </x:c>
      <x:c r="B3011" s="9" t="d">
        <x:v>2011-02-24T00:00:00.000Z</x:v>
      </x:c>
      <x:c r="C3011" s="13" t="n">
        <x:v>16</x:v>
      </x:c>
    </x:row>
    <x:row r="3012" ht="20" customHeight="1">
      <x:c r="A3012" s="1" t="str">
        <x:v>22457</x:v>
      </x:c>
      <x:c r="B3012" s="9" t="d">
        <x:v>2011-02-25T00:00:00.000Z</x:v>
      </x:c>
      <x:c r="C3012" s="13" t="n">
        <x:v>42</x:v>
      </x:c>
    </x:row>
    <x:row r="3013" ht="20" customHeight="1">
      <x:c r="A3013" s="1" t="str">
        <x:v>22457</x:v>
      </x:c>
      <x:c r="B3013" s="9" t="d">
        <x:v>2011-02-26T00:00:00.000Z</x:v>
      </x:c>
      <x:c r="C3013" s="13" t="n">
        <x:v>0</x:v>
      </x:c>
    </x:row>
    <x:row r="3014" ht="20" customHeight="1">
      <x:c r="A3014" s="1" t="str">
        <x:v>22457</x:v>
      </x:c>
      <x:c r="B3014" s="9" t="d">
        <x:v>2011-02-27T00:00:00.000Z</x:v>
      </x:c>
      <x:c r="C3014" s="13" t="n">
        <x:v>15</x:v>
      </x:c>
    </x:row>
    <x:row r="3015" ht="20" customHeight="1">
      <x:c r="A3015" s="1" t="str">
        <x:v>22457</x:v>
      </x:c>
      <x:c r="B3015" s="9" t="d">
        <x:v>2011-02-28T00:00:00.000Z</x:v>
      </x:c>
      <x:c r="C3015" s="13" t="n">
        <x:v>26</x:v>
      </x:c>
    </x:row>
    <x:row r="3016" ht="20" customHeight="1">
      <x:c r="A3016" s="1" t="str">
        <x:v>22457</x:v>
      </x:c>
      <x:c r="B3016" s="9" t="d">
        <x:v>2011-03-01T00:00:00.000Z</x:v>
      </x:c>
      <x:c r="C3016" s="13" t="n">
        <x:v>26</x:v>
      </x:c>
    </x:row>
    <x:row r="3017" ht="20" customHeight="1">
      <x:c r="A3017" s="1" t="str">
        <x:v>22457</x:v>
      </x:c>
      <x:c r="B3017" s="9" t="d">
        <x:v>2011-03-02T00:00:00.000Z</x:v>
      </x:c>
      <x:c r="C3017" s="13" t="n">
        <x:v>18</x:v>
      </x:c>
    </x:row>
    <x:row r="3018" ht="20" customHeight="1">
      <x:c r="A3018" s="1" t="str">
        <x:v>22457</x:v>
      </x:c>
      <x:c r="B3018" s="9" t="d">
        <x:v>2011-03-03T00:00:00.000Z</x:v>
      </x:c>
      <x:c r="C3018" s="13" t="n">
        <x:v>1</x:v>
      </x:c>
    </x:row>
    <x:row r="3019" ht="20" customHeight="1">
      <x:c r="A3019" s="1" t="str">
        <x:v>22457</x:v>
      </x:c>
      <x:c r="B3019" s="9" t="d">
        <x:v>2011-03-04T00:00:00.000Z</x:v>
      </x:c>
      <x:c r="C3019" s="13" t="n">
        <x:v>23</x:v>
      </x:c>
    </x:row>
    <x:row r="3020" ht="20" customHeight="1">
      <x:c r="A3020" s="1" t="str">
        <x:v>22457</x:v>
      </x:c>
      <x:c r="B3020" s="9" t="d">
        <x:v>2011-03-05T00:00:00.000Z</x:v>
      </x:c>
      <x:c r="C3020" s="13" t="n">
        <x:v>0</x:v>
      </x:c>
    </x:row>
    <x:row r="3021" ht="20" customHeight="1">
      <x:c r="A3021" s="1" t="str">
        <x:v>22457</x:v>
      </x:c>
      <x:c r="B3021" s="9" t="d">
        <x:v>2011-03-06T00:00:00.000Z</x:v>
      </x:c>
      <x:c r="C3021" s="13" t="n">
        <x:v>4</x:v>
      </x:c>
    </x:row>
    <x:row r="3022" ht="20" customHeight="1">
      <x:c r="A3022" s="1" t="str">
        <x:v>22457</x:v>
      </x:c>
      <x:c r="B3022" s="9" t="d">
        <x:v>2011-03-07T00:00:00.000Z</x:v>
      </x:c>
      <x:c r="C3022" s="13" t="n">
        <x:v>33</x:v>
      </x:c>
    </x:row>
    <x:row r="3023" ht="20" customHeight="1">
      <x:c r="A3023" s="1" t="str">
        <x:v>22457</x:v>
      </x:c>
      <x:c r="B3023" s="9" t="d">
        <x:v>2011-03-08T00:00:00.000Z</x:v>
      </x:c>
      <x:c r="C3023" s="13" t="n">
        <x:v>18</x:v>
      </x:c>
    </x:row>
    <x:row r="3024" ht="20" customHeight="1">
      <x:c r="A3024" s="1" t="str">
        <x:v>22457</x:v>
      </x:c>
      <x:c r="B3024" s="9" t="d">
        <x:v>2011-03-09T00:00:00.000Z</x:v>
      </x:c>
      <x:c r="C3024" s="13" t="n">
        <x:v>0</x:v>
      </x:c>
    </x:row>
    <x:row r="3025" ht="20" customHeight="1">
      <x:c r="A3025" s="1" t="str">
        <x:v>22457</x:v>
      </x:c>
      <x:c r="B3025" s="9" t="d">
        <x:v>2011-03-10T00:00:00.000Z</x:v>
      </x:c>
      <x:c r="C3025" s="13" t="n">
        <x:v>80</x:v>
      </x:c>
    </x:row>
    <x:row r="3026" ht="20" customHeight="1">
      <x:c r="A3026" s="1" t="str">
        <x:v>22457</x:v>
      </x:c>
      <x:c r="B3026" s="9" t="d">
        <x:v>2011-03-11T00:00:00.000Z</x:v>
      </x:c>
      <x:c r="C3026" s="13" t="n">
        <x:v>61</x:v>
      </x:c>
    </x:row>
    <x:row r="3027" ht="20" customHeight="1">
      <x:c r="A3027" s="1" t="str">
        <x:v>22457</x:v>
      </x:c>
      <x:c r="B3027" s="9" t="d">
        <x:v>2011-03-12T00:00:00.000Z</x:v>
      </x:c>
      <x:c r="C3027" s="13" t="n">
        <x:v>0</x:v>
      </x:c>
    </x:row>
    <x:row r="3028" ht="20" customHeight="1">
      <x:c r="A3028" s="1" t="str">
        <x:v>22457</x:v>
      </x:c>
      <x:c r="B3028" s="9" t="d">
        <x:v>2011-03-13T00:00:00.000Z</x:v>
      </x:c>
      <x:c r="C3028" s="13" t="n">
        <x:v>4</x:v>
      </x:c>
    </x:row>
    <x:row r="3029" ht="20" customHeight="1">
      <x:c r="A3029" s="1" t="str">
        <x:v>22457</x:v>
      </x:c>
      <x:c r="B3029" s="9" t="d">
        <x:v>2011-03-14T00:00:00.000Z</x:v>
      </x:c>
      <x:c r="C3029" s="13" t="n">
        <x:v>57</x:v>
      </x:c>
    </x:row>
    <x:row r="3030" ht="20" customHeight="1">
      <x:c r="A3030" s="1" t="str">
        <x:v>22457</x:v>
      </x:c>
      <x:c r="B3030" s="9" t="d">
        <x:v>2011-03-15T00:00:00.000Z</x:v>
      </x:c>
      <x:c r="C3030" s="13" t="n">
        <x:v>25</x:v>
      </x:c>
    </x:row>
    <x:row r="3031" ht="20" customHeight="1">
      <x:c r="A3031" s="1" t="str">
        <x:v>22457</x:v>
      </x:c>
      <x:c r="B3031" s="9" t="d">
        <x:v>2011-03-16T00:00:00.000Z</x:v>
      </x:c>
      <x:c r="C3031" s="13" t="n">
        <x:v>24</x:v>
      </x:c>
    </x:row>
    <x:row r="3032" ht="20" customHeight="1">
      <x:c r="A3032" s="1" t="str">
        <x:v>22457</x:v>
      </x:c>
      <x:c r="B3032" s="9" t="d">
        <x:v>2011-03-17T00:00:00.000Z</x:v>
      </x:c>
      <x:c r="C3032" s="13" t="n">
        <x:v>5</x:v>
      </x:c>
    </x:row>
    <x:row r="3033" ht="20" customHeight="1">
      <x:c r="A3033" s="1" t="str">
        <x:v>22457</x:v>
      </x:c>
      <x:c r="B3033" s="9" t="d">
        <x:v>2011-03-18T00:00:00.000Z</x:v>
      </x:c>
      <x:c r="C3033" s="13" t="n">
        <x:v>20</x:v>
      </x:c>
    </x:row>
    <x:row r="3034" ht="20" customHeight="1">
      <x:c r="A3034" s="1" t="str">
        <x:v>22457</x:v>
      </x:c>
      <x:c r="B3034" s="9" t="d">
        <x:v>2011-03-19T00:00:00.000Z</x:v>
      </x:c>
      <x:c r="C3034" s="13" t="n">
        <x:v>0</x:v>
      </x:c>
    </x:row>
    <x:row r="3035" ht="20" customHeight="1">
      <x:c r="A3035" s="1" t="str">
        <x:v>22457</x:v>
      </x:c>
      <x:c r="B3035" s="9" t="d">
        <x:v>2011-03-20T00:00:00.000Z</x:v>
      </x:c>
      <x:c r="C3035" s="13" t="n">
        <x:v>36</x:v>
      </x:c>
    </x:row>
    <x:row r="3036" ht="20" customHeight="1">
      <x:c r="A3036" s="1" t="str">
        <x:v>22457</x:v>
      </x:c>
      <x:c r="B3036" s="9" t="d">
        <x:v>2011-03-21T00:00:00.000Z</x:v>
      </x:c>
      <x:c r="C3036" s="13" t="n">
        <x:v>75</x:v>
      </x:c>
    </x:row>
    <x:row r="3037" ht="20" customHeight="1">
      <x:c r="A3037" s="1" t="str">
        <x:v>22457</x:v>
      </x:c>
      <x:c r="B3037" s="9" t="d">
        <x:v>2011-03-22T00:00:00.000Z</x:v>
      </x:c>
      <x:c r="C3037" s="13" t="n">
        <x:v>33</x:v>
      </x:c>
    </x:row>
    <x:row r="3038" ht="20" customHeight="1">
      <x:c r="A3038" s="1" t="str">
        <x:v>22457</x:v>
      </x:c>
      <x:c r="B3038" s="9" t="d">
        <x:v>2011-03-23T00:00:00.000Z</x:v>
      </x:c>
      <x:c r="C3038" s="13" t="n">
        <x:v>135</x:v>
      </x:c>
    </x:row>
    <x:row r="3039" ht="20" customHeight="1">
      <x:c r="A3039" s="1" t="str">
        <x:v>22457</x:v>
      </x:c>
      <x:c r="B3039" s="9" t="d">
        <x:v>2011-03-24T00:00:00.000Z</x:v>
      </x:c>
      <x:c r="C3039" s="13" t="n">
        <x:v>13</x:v>
      </x:c>
    </x:row>
    <x:row r="3040" ht="20" customHeight="1">
      <x:c r="A3040" s="1" t="str">
        <x:v>22457</x:v>
      </x:c>
      <x:c r="B3040" s="9" t="d">
        <x:v>2011-03-25T00:00:00.000Z</x:v>
      </x:c>
      <x:c r="C3040" s="13" t="n">
        <x:v>13</x:v>
      </x:c>
    </x:row>
    <x:row r="3041" ht="20" customHeight="1">
      <x:c r="A3041" s="1" t="str">
        <x:v>22457</x:v>
      </x:c>
      <x:c r="B3041" s="9" t="d">
        <x:v>2011-03-26T00:00:00.000Z</x:v>
      </x:c>
      <x:c r="C3041" s="13" t="n">
        <x:v>0</x:v>
      </x:c>
    </x:row>
    <x:row r="3042" ht="20" customHeight="1">
      <x:c r="A3042" s="1" t="str">
        <x:v>22457</x:v>
      </x:c>
      <x:c r="B3042" s="9" t="d">
        <x:v>2011-03-27T00:00:00.000Z</x:v>
      </x:c>
      <x:c r="C3042" s="13" t="n">
        <x:v>3</x:v>
      </x:c>
    </x:row>
    <x:row r="3043" ht="20" customHeight="1">
      <x:c r="A3043" s="1" t="str">
        <x:v>22457</x:v>
      </x:c>
      <x:c r="B3043" s="9" t="d">
        <x:v>2011-03-28T00:00:00.000Z</x:v>
      </x:c>
      <x:c r="C3043" s="13" t="n">
        <x:v>23</x:v>
      </x:c>
    </x:row>
    <x:row r="3044" ht="20" customHeight="1">
      <x:c r="A3044" s="1" t="str">
        <x:v>22457</x:v>
      </x:c>
      <x:c r="B3044" s="9" t="d">
        <x:v>2011-03-29T00:00:00.000Z</x:v>
      </x:c>
      <x:c r="C3044" s="13" t="n">
        <x:v>73</x:v>
      </x:c>
    </x:row>
    <x:row r="3045" ht="20" customHeight="1">
      <x:c r="A3045" s="1" t="str">
        <x:v>22457</x:v>
      </x:c>
      <x:c r="B3045" s="9" t="d">
        <x:v>2011-03-30T00:00:00.000Z</x:v>
      </x:c>
      <x:c r="C3045" s="13" t="n">
        <x:v>20</x:v>
      </x:c>
    </x:row>
    <x:row r="3046" ht="20" customHeight="1">
      <x:c r="A3046" s="1" t="str">
        <x:v>22457</x:v>
      </x:c>
      <x:c r="B3046" s="9" t="d">
        <x:v>2011-03-31T00:00:00.000Z</x:v>
      </x:c>
      <x:c r="C3046" s="13" t="n">
        <x:v>32</x:v>
      </x:c>
    </x:row>
    <x:row r="3047" ht="20" customHeight="1">
      <x:c r="A3047" s="1" t="str">
        <x:v>22457</x:v>
      </x:c>
      <x:c r="B3047" s="9" t="d">
        <x:v>2011-04-01T00:00:00.000Z</x:v>
      </x:c>
      <x:c r="C3047" s="13" t="n">
        <x:v>37</x:v>
      </x:c>
    </x:row>
    <x:row r="3048" ht="20" customHeight="1">
      <x:c r="A3048" s="1" t="str">
        <x:v>22457</x:v>
      </x:c>
      <x:c r="B3048" s="9" t="d">
        <x:v>2011-04-02T00:00:00.000Z</x:v>
      </x:c>
      <x:c r="C3048" s="13" t="n">
        <x:v>0</x:v>
      </x:c>
    </x:row>
    <x:row r="3049" ht="20" customHeight="1">
      <x:c r="A3049" s="1" t="str">
        <x:v>22457</x:v>
      </x:c>
      <x:c r="B3049" s="9" t="d">
        <x:v>2011-04-03T00:00:00.000Z</x:v>
      </x:c>
      <x:c r="C3049" s="13" t="n">
        <x:v>10</x:v>
      </x:c>
    </x:row>
    <x:row r="3050" ht="20" customHeight="1">
      <x:c r="A3050" s="1" t="str">
        <x:v>22457</x:v>
      </x:c>
      <x:c r="B3050" s="9" t="d">
        <x:v>2011-04-04T00:00:00.000Z</x:v>
      </x:c>
      <x:c r="C3050" s="13" t="n">
        <x:v>6</x:v>
      </x:c>
    </x:row>
    <x:row r="3051" ht="20" customHeight="1">
      <x:c r="A3051" s="1" t="str">
        <x:v>22457</x:v>
      </x:c>
      <x:c r="B3051" s="9" t="d">
        <x:v>2011-04-05T00:00:00.000Z</x:v>
      </x:c>
      <x:c r="C3051" s="13" t="n">
        <x:v>14</x:v>
      </x:c>
    </x:row>
    <x:row r="3052" ht="20" customHeight="1">
      <x:c r="A3052" s="1" t="str">
        <x:v>22457</x:v>
      </x:c>
      <x:c r="B3052" s="9" t="d">
        <x:v>2011-04-06T00:00:00.000Z</x:v>
      </x:c>
      <x:c r="C3052" s="13" t="n">
        <x:v>53</x:v>
      </x:c>
    </x:row>
    <x:row r="3053" ht="20" customHeight="1">
      <x:c r="A3053" s="1" t="str">
        <x:v>22457</x:v>
      </x:c>
      <x:c r="B3053" s="9" t="d">
        <x:v>2011-04-07T00:00:00.000Z</x:v>
      </x:c>
      <x:c r="C3053" s="13" t="n">
        <x:v>10</x:v>
      </x:c>
    </x:row>
    <x:row r="3054" ht="20" customHeight="1">
      <x:c r="A3054" s="1" t="str">
        <x:v>22457</x:v>
      </x:c>
      <x:c r="B3054" s="9" t="d">
        <x:v>2011-04-08T00:00:00.000Z</x:v>
      </x:c>
      <x:c r="C3054" s="13" t="n">
        <x:v>37</x:v>
      </x:c>
    </x:row>
    <x:row r="3055" ht="20" customHeight="1">
      <x:c r="A3055" s="1" t="str">
        <x:v>22457</x:v>
      </x:c>
      <x:c r="B3055" s="9" t="d">
        <x:v>2011-04-09T00:00:00.000Z</x:v>
      </x:c>
      <x:c r="C3055" s="13" t="n">
        <x:v>0</x:v>
      </x:c>
    </x:row>
    <x:row r="3056" ht="20" customHeight="1">
      <x:c r="A3056" s="1" t="str">
        <x:v>22457</x:v>
      </x:c>
      <x:c r="B3056" s="9" t="d">
        <x:v>2011-04-10T00:00:00.000Z</x:v>
      </x:c>
      <x:c r="C3056" s="13" t="n">
        <x:v>5</x:v>
      </x:c>
    </x:row>
    <x:row r="3057" ht="20" customHeight="1">
      <x:c r="A3057" s="1" t="str">
        <x:v>22457</x:v>
      </x:c>
      <x:c r="B3057" s="9" t="d">
        <x:v>2011-04-11T00:00:00.000Z</x:v>
      </x:c>
      <x:c r="C3057" s="13" t="n">
        <x:v>66</x:v>
      </x:c>
    </x:row>
    <x:row r="3058" ht="20" customHeight="1">
      <x:c r="A3058" s="1" t="str">
        <x:v>22457</x:v>
      </x:c>
      <x:c r="B3058" s="9" t="d">
        <x:v>2011-04-12T00:00:00.000Z</x:v>
      </x:c>
      <x:c r="C3058" s="13" t="n">
        <x:v>103</x:v>
      </x:c>
    </x:row>
    <x:row r="3059" ht="20" customHeight="1">
      <x:c r="A3059" s="1" t="str">
        <x:v>22457</x:v>
      </x:c>
      <x:c r="B3059" s="9" t="d">
        <x:v>2011-04-13T00:00:00.000Z</x:v>
      </x:c>
      <x:c r="C3059" s="13" t="n">
        <x:v>12</x:v>
      </x:c>
    </x:row>
    <x:row r="3060" ht="20" customHeight="1">
      <x:c r="A3060" s="1" t="str">
        <x:v>22457</x:v>
      </x:c>
      <x:c r="B3060" s="9" t="d">
        <x:v>2011-04-14T00:00:00.000Z</x:v>
      </x:c>
      <x:c r="C3060" s="13" t="n">
        <x:v>31</x:v>
      </x:c>
    </x:row>
    <x:row r="3061" ht="20" customHeight="1">
      <x:c r="A3061" s="1" t="str">
        <x:v>22457</x:v>
      </x:c>
      <x:c r="B3061" s="9" t="d">
        <x:v>2011-04-15T00:00:00.000Z</x:v>
      </x:c>
      <x:c r="C3061" s="13" t="n">
        <x:v>24</x:v>
      </x:c>
    </x:row>
    <x:row r="3062" ht="20" customHeight="1">
      <x:c r="A3062" s="1" t="str">
        <x:v>22457</x:v>
      </x:c>
      <x:c r="B3062" s="9" t="d">
        <x:v>2011-04-16T00:00:00.000Z</x:v>
      </x:c>
      <x:c r="C3062" s="13" t="n">
        <x:v>0</x:v>
      </x:c>
    </x:row>
    <x:row r="3063" ht="20" customHeight="1">
      <x:c r="A3063" s="1" t="str">
        <x:v>22457</x:v>
      </x:c>
      <x:c r="B3063" s="9" t="d">
        <x:v>2011-04-17T00:00:00.000Z</x:v>
      </x:c>
      <x:c r="C3063" s="13" t="n">
        <x:v>42</x:v>
      </x:c>
    </x:row>
    <x:row r="3064" ht="20" customHeight="1">
      <x:c r="A3064" s="1" t="str">
        <x:v>22457</x:v>
      </x:c>
      <x:c r="B3064" s="9" t="d">
        <x:v>2011-04-18T00:00:00.000Z</x:v>
      </x:c>
      <x:c r="C3064" s="13" t="n">
        <x:v>44</x:v>
      </x:c>
    </x:row>
    <x:row r="3065" ht="20" customHeight="1">
      <x:c r="A3065" s="1" t="str">
        <x:v>22457</x:v>
      </x:c>
      <x:c r="B3065" s="9" t="d">
        <x:v>2011-04-19T00:00:00.000Z</x:v>
      </x:c>
      <x:c r="C3065" s="13" t="n">
        <x:v>15</x:v>
      </x:c>
    </x:row>
    <x:row r="3066" ht="20" customHeight="1">
      <x:c r="A3066" s="1" t="str">
        <x:v>22457</x:v>
      </x:c>
      <x:c r="B3066" s="9" t="d">
        <x:v>2011-04-20T00:00:00.000Z</x:v>
      </x:c>
      <x:c r="C3066" s="13" t="n">
        <x:v>42</x:v>
      </x:c>
    </x:row>
    <x:row r="3067" ht="20" customHeight="1">
      <x:c r="A3067" s="1" t="str">
        <x:v>22457</x:v>
      </x:c>
      <x:c r="B3067" s="9" t="d">
        <x:v>2011-04-21T00:00:00.000Z</x:v>
      </x:c>
      <x:c r="C3067" s="13" t="n">
        <x:v>26</x:v>
      </x:c>
    </x:row>
    <x:row r="3068" ht="20" customHeight="1">
      <x:c r="A3068" s="1" t="str">
        <x:v>22457</x:v>
      </x:c>
      <x:c r="B3068" s="9" t="d">
        <x:v>2011-04-22T00:00:00.000Z</x:v>
      </x:c>
      <x:c r="C3068" s="13" t="n">
        <x:v>0</x:v>
      </x:c>
    </x:row>
    <x:row r="3069" ht="20" customHeight="1">
      <x:c r="A3069" s="1" t="str">
        <x:v>22457</x:v>
      </x:c>
      <x:c r="B3069" s="9" t="d">
        <x:v>2011-04-23T00:00:00.000Z</x:v>
      </x:c>
      <x:c r="C3069" s="13" t="n">
        <x:v>0</x:v>
      </x:c>
    </x:row>
    <x:row r="3070" ht="20" customHeight="1">
      <x:c r="A3070" s="1" t="str">
        <x:v>22457</x:v>
      </x:c>
      <x:c r="B3070" s="9" t="d">
        <x:v>2011-04-24T00:00:00.000Z</x:v>
      </x:c>
      <x:c r="C3070" s="13" t="n">
        <x:v>0</x:v>
      </x:c>
    </x:row>
    <x:row r="3071" ht="20" customHeight="1">
      <x:c r="A3071" s="1" t="str">
        <x:v>22457</x:v>
      </x:c>
      <x:c r="B3071" s="9" t="d">
        <x:v>2011-04-25T00:00:00.000Z</x:v>
      </x:c>
      <x:c r="C3071" s="13" t="n">
        <x:v>0</x:v>
      </x:c>
    </x:row>
    <x:row r="3072" ht="20" customHeight="1">
      <x:c r="A3072" s="1" t="str">
        <x:v>22457</x:v>
      </x:c>
      <x:c r="B3072" s="9" t="d">
        <x:v>2011-04-26T00:00:00.000Z</x:v>
      </x:c>
      <x:c r="C3072" s="13" t="n">
        <x:v>67</x:v>
      </x:c>
    </x:row>
    <x:row r="3073" ht="20" customHeight="1">
      <x:c r="A3073" s="1" t="str">
        <x:v>22457</x:v>
      </x:c>
      <x:c r="B3073" s="9" t="d">
        <x:v>2011-04-27T00:00:00.000Z</x:v>
      </x:c>
      <x:c r="C3073" s="13" t="n">
        <x:v>17</x:v>
      </x:c>
    </x:row>
    <x:row r="3074" ht="20" customHeight="1">
      <x:c r="A3074" s="1" t="str">
        <x:v>22457</x:v>
      </x:c>
      <x:c r="B3074" s="9" t="d">
        <x:v>2011-04-28T00:00:00.000Z</x:v>
      </x:c>
      <x:c r="C3074" s="13" t="n">
        <x:v>27</x:v>
      </x:c>
    </x:row>
    <x:row r="3075" ht="20" customHeight="1">
      <x:c r="A3075" s="1" t="str">
        <x:v>22457</x:v>
      </x:c>
      <x:c r="B3075" s="9" t="d">
        <x:v>2011-04-29T00:00:00.000Z</x:v>
      </x:c>
      <x:c r="C3075" s="13" t="n">
        <x:v>0</x:v>
      </x:c>
    </x:row>
    <x:row r="3076" ht="20" customHeight="1">
      <x:c r="A3076" s="1" t="str">
        <x:v>22457</x:v>
      </x:c>
      <x:c r="B3076" s="9" t="d">
        <x:v>2011-04-30T00:00:00.000Z</x:v>
      </x:c>
      <x:c r="C3076" s="13" t="n">
        <x:v>0</x:v>
      </x:c>
    </x:row>
    <x:row r="3077" ht="20" customHeight="1">
      <x:c r="A3077" s="1" t="str">
        <x:v>22457</x:v>
      </x:c>
      <x:c r="B3077" s="9" t="d">
        <x:v>2011-05-01T00:00:00.000Z</x:v>
      </x:c>
      <x:c r="C3077" s="13" t="n">
        <x:v>12</x:v>
      </x:c>
    </x:row>
    <x:row r="3078" ht="20" customHeight="1">
      <x:c r="A3078" s="1" t="str">
        <x:v>22457</x:v>
      </x:c>
      <x:c r="B3078" s="9" t="d">
        <x:v>2011-05-02T00:00:00.000Z</x:v>
      </x:c>
      <x:c r="C3078" s="13" t="n">
        <x:v>0</x:v>
      </x:c>
    </x:row>
    <x:row r="3079" ht="20" customHeight="1">
      <x:c r="A3079" s="1" t="str">
        <x:v>22457</x:v>
      </x:c>
      <x:c r="B3079" s="9" t="d">
        <x:v>2011-05-03T00:00:00.000Z</x:v>
      </x:c>
      <x:c r="C3079" s="13" t="n">
        <x:v>25</x:v>
      </x:c>
    </x:row>
    <x:row r="3080" ht="20" customHeight="1">
      <x:c r="A3080" s="1" t="str">
        <x:v>22457</x:v>
      </x:c>
      <x:c r="B3080" s="9" t="d">
        <x:v>2011-05-04T00:00:00.000Z</x:v>
      </x:c>
      <x:c r="C3080" s="13" t="n">
        <x:v>13</x:v>
      </x:c>
    </x:row>
    <x:row r="3081" ht="20" customHeight="1">
      <x:c r="A3081" s="1" t="str">
        <x:v>22457</x:v>
      </x:c>
      <x:c r="B3081" s="9" t="d">
        <x:v>2011-05-05T00:00:00.000Z</x:v>
      </x:c>
      <x:c r="C3081" s="13" t="n">
        <x:v>2</x:v>
      </x:c>
    </x:row>
    <x:row r="3082" ht="20" customHeight="1">
      <x:c r="A3082" s="1" t="str">
        <x:v>22457</x:v>
      </x:c>
      <x:c r="B3082" s="9" t="d">
        <x:v>2011-05-06T00:00:00.000Z</x:v>
      </x:c>
      <x:c r="C3082" s="13" t="n">
        <x:v>31</x:v>
      </x:c>
    </x:row>
    <x:row r="3083" ht="20" customHeight="1">
      <x:c r="A3083" s="1" t="str">
        <x:v>22457</x:v>
      </x:c>
      <x:c r="B3083" s="9" t="d">
        <x:v>2011-05-07T00:00:00.000Z</x:v>
      </x:c>
      <x:c r="C3083" s="13" t="n">
        <x:v>0</x:v>
      </x:c>
    </x:row>
    <x:row r="3084" ht="20" customHeight="1">
      <x:c r="A3084" s="1" t="str">
        <x:v>22457</x:v>
      </x:c>
      <x:c r="B3084" s="9" t="d">
        <x:v>2011-05-08T00:00:00.000Z</x:v>
      </x:c>
      <x:c r="C3084" s="13" t="n">
        <x:v>19</x:v>
      </x:c>
    </x:row>
    <x:row r="3085" ht="20" customHeight="1">
      <x:c r="A3085" s="1" t="str">
        <x:v>22457</x:v>
      </x:c>
      <x:c r="B3085" s="9" t="d">
        <x:v>2011-05-09T00:00:00.000Z</x:v>
      </x:c>
      <x:c r="C3085" s="13" t="n">
        <x:v>1</x:v>
      </x:c>
    </x:row>
    <x:row r="3086" ht="20" customHeight="1">
      <x:c r="A3086" s="1" t="str">
        <x:v>22457</x:v>
      </x:c>
      <x:c r="B3086" s="9" t="d">
        <x:v>2011-05-10T00:00:00.000Z</x:v>
      </x:c>
      <x:c r="C3086" s="13" t="n">
        <x:v>23</x:v>
      </x:c>
    </x:row>
    <x:row r="3087" ht="20" customHeight="1">
      <x:c r="A3087" s="1" t="str">
        <x:v>22457</x:v>
      </x:c>
      <x:c r="B3087" s="9" t="d">
        <x:v>2011-05-11T00:00:00.000Z</x:v>
      </x:c>
      <x:c r="C3087" s="13" t="n">
        <x:v>13</x:v>
      </x:c>
    </x:row>
    <x:row r="3088" ht="20" customHeight="1">
      <x:c r="A3088" s="1" t="str">
        <x:v>22457</x:v>
      </x:c>
      <x:c r="B3088" s="9" t="d">
        <x:v>2011-05-12T00:00:00.000Z</x:v>
      </x:c>
      <x:c r="C3088" s="13" t="n">
        <x:v>26</x:v>
      </x:c>
    </x:row>
    <x:row r="3089" ht="20" customHeight="1">
      <x:c r="A3089" s="1" t="str">
        <x:v>22457</x:v>
      </x:c>
      <x:c r="B3089" s="9" t="d">
        <x:v>2011-05-13T00:00:00.000Z</x:v>
      </x:c>
      <x:c r="C3089" s="13" t="n">
        <x:v>20</x:v>
      </x:c>
    </x:row>
    <x:row r="3090" ht="20" customHeight="1">
      <x:c r="A3090" s="1" t="str">
        <x:v>22457</x:v>
      </x:c>
      <x:c r="B3090" s="9" t="d">
        <x:v>2011-05-14T00:00:00.000Z</x:v>
      </x:c>
      <x:c r="C3090" s="13" t="n">
        <x:v>0</x:v>
      </x:c>
    </x:row>
    <x:row r="3091" ht="20" customHeight="1">
      <x:c r="A3091" s="1" t="str">
        <x:v>22457</x:v>
      </x:c>
      <x:c r="B3091" s="9" t="d">
        <x:v>2011-05-15T00:00:00.000Z</x:v>
      </x:c>
      <x:c r="C3091" s="13" t="n">
        <x:v>12</x:v>
      </x:c>
    </x:row>
    <x:row r="3092" ht="20" customHeight="1">
      <x:c r="A3092" s="1" t="str">
        <x:v>22457</x:v>
      </x:c>
      <x:c r="B3092" s="9" t="d">
        <x:v>2011-05-16T00:00:00.000Z</x:v>
      </x:c>
      <x:c r="C3092" s="13" t="n">
        <x:v>38</x:v>
      </x:c>
    </x:row>
    <x:row r="3093" ht="20" customHeight="1">
      <x:c r="A3093" s="1" t="str">
        <x:v>22457</x:v>
      </x:c>
      <x:c r="B3093" s="9" t="d">
        <x:v>2011-05-17T00:00:00.000Z</x:v>
      </x:c>
      <x:c r="C3093" s="13" t="n">
        <x:v>171</x:v>
      </x:c>
    </x:row>
    <x:row r="3094" ht="20" customHeight="1">
      <x:c r="A3094" s="1" t="str">
        <x:v>22457</x:v>
      </x:c>
      <x:c r="B3094" s="9" t="d">
        <x:v>2011-05-18T00:00:00.000Z</x:v>
      </x:c>
      <x:c r="C3094" s="13" t="n">
        <x:v>87</x:v>
      </x:c>
    </x:row>
    <x:row r="3095" ht="20" customHeight="1">
      <x:c r="A3095" s="1" t="str">
        <x:v>22457</x:v>
      </x:c>
      <x:c r="B3095" s="9" t="d">
        <x:v>2011-05-19T00:00:00.000Z</x:v>
      </x:c>
      <x:c r="C3095" s="13" t="n">
        <x:v>31</x:v>
      </x:c>
    </x:row>
    <x:row r="3096" ht="20" customHeight="1">
      <x:c r="A3096" s="1" t="str">
        <x:v>22457</x:v>
      </x:c>
      <x:c r="B3096" s="9" t="d">
        <x:v>2011-05-20T00:00:00.000Z</x:v>
      </x:c>
      <x:c r="C3096" s="13" t="n">
        <x:v>19</x:v>
      </x:c>
    </x:row>
    <x:row r="3097" ht="20" customHeight="1">
      <x:c r="A3097" s="1" t="str">
        <x:v>22457</x:v>
      </x:c>
      <x:c r="B3097" s="9" t="d">
        <x:v>2011-05-21T00:00:00.000Z</x:v>
      </x:c>
      <x:c r="C3097" s="13" t="n">
        <x:v>0</x:v>
      </x:c>
    </x:row>
    <x:row r="3098" ht="20" customHeight="1">
      <x:c r="A3098" s="1" t="str">
        <x:v>22457</x:v>
      </x:c>
      <x:c r="B3098" s="9" t="d">
        <x:v>2011-05-22T00:00:00.000Z</x:v>
      </x:c>
      <x:c r="C3098" s="13" t="n">
        <x:v>54</x:v>
      </x:c>
    </x:row>
    <x:row r="3099" ht="20" customHeight="1">
      <x:c r="A3099" s="1" t="str">
        <x:v>22457</x:v>
      </x:c>
      <x:c r="B3099" s="9" t="d">
        <x:v>2011-05-23T00:00:00.000Z</x:v>
      </x:c>
      <x:c r="C3099" s="13" t="n">
        <x:v>18</x:v>
      </x:c>
    </x:row>
    <x:row r="3100" ht="20" customHeight="1">
      <x:c r="A3100" s="1" t="str">
        <x:v>22457</x:v>
      </x:c>
      <x:c r="B3100" s="9" t="d">
        <x:v>2011-05-24T00:00:00.000Z</x:v>
      </x:c>
      <x:c r="C3100" s="13" t="n">
        <x:v>17</x:v>
      </x:c>
    </x:row>
    <x:row r="3101" ht="20" customHeight="1">
      <x:c r="A3101" s="1" t="str">
        <x:v>22457</x:v>
      </x:c>
      <x:c r="B3101" s="9" t="d">
        <x:v>2011-05-25T00:00:00.000Z</x:v>
      </x:c>
      <x:c r="C3101" s="13" t="n">
        <x:v>2</x:v>
      </x:c>
    </x:row>
    <x:row r="3102" ht="20" customHeight="1">
      <x:c r="A3102" s="1" t="str">
        <x:v>22457</x:v>
      </x:c>
      <x:c r="B3102" s="9" t="d">
        <x:v>2011-05-26T00:00:00.000Z</x:v>
      </x:c>
      <x:c r="C3102" s="13" t="n">
        <x:v>24</x:v>
      </x:c>
    </x:row>
    <x:row r="3103" ht="20" customHeight="1">
      <x:c r="A3103" s="1" t="str">
        <x:v>22457</x:v>
      </x:c>
      <x:c r="B3103" s="9" t="d">
        <x:v>2011-05-27T00:00:00.000Z</x:v>
      </x:c>
      <x:c r="C3103" s="13" t="n">
        <x:v>18</x:v>
      </x:c>
    </x:row>
    <x:row r="3104" ht="20" customHeight="1">
      <x:c r="A3104" s="1" t="str">
        <x:v>22457</x:v>
      </x:c>
      <x:c r="B3104" s="9" t="d">
        <x:v>2011-05-28T00:00:00.000Z</x:v>
      </x:c>
      <x:c r="C3104" s="13" t="n">
        <x:v>0</x:v>
      </x:c>
    </x:row>
    <x:row r="3105" ht="20" customHeight="1">
      <x:c r="A3105" s="1" t="str">
        <x:v>22457</x:v>
      </x:c>
      <x:c r="B3105" s="9" t="d">
        <x:v>2011-05-29T00:00:00.000Z</x:v>
      </x:c>
      <x:c r="C3105" s="13" t="n">
        <x:v>5</x:v>
      </x:c>
    </x:row>
    <x:row r="3106" ht="20" customHeight="1">
      <x:c r="A3106" s="1" t="str">
        <x:v>22457</x:v>
      </x:c>
      <x:c r="B3106" s="9" t="d">
        <x:v>2011-05-30T00:00:00.000Z</x:v>
      </x:c>
      <x:c r="C3106" s="13" t="n">
        <x:v>0</x:v>
      </x:c>
    </x:row>
    <x:row r="3107" ht="20" customHeight="1">
      <x:c r="A3107" s="1" t="str">
        <x:v>22457</x:v>
      </x:c>
      <x:c r="B3107" s="9" t="d">
        <x:v>2011-05-31T00:00:00.000Z</x:v>
      </x:c>
      <x:c r="C3107" s="13" t="n">
        <x:v>11</x:v>
      </x:c>
    </x:row>
    <x:row r="3108" ht="20" customHeight="1">
      <x:c r="A3108" s="1" t="str">
        <x:v>22457</x:v>
      </x:c>
      <x:c r="B3108" s="9" t="d">
        <x:v>2011-06-01T00:00:00.000Z</x:v>
      </x:c>
      <x:c r="C3108" s="13" t="n">
        <x:v>17</x:v>
      </x:c>
    </x:row>
    <x:row r="3109" ht="20" customHeight="1">
      <x:c r="A3109" s="1" t="str">
        <x:v>22457</x:v>
      </x:c>
      <x:c r="B3109" s="9" t="d">
        <x:v>2011-06-02T00:00:00.000Z</x:v>
      </x:c>
      <x:c r="C3109" s="13" t="n">
        <x:v>6</x:v>
      </x:c>
    </x:row>
    <x:row r="3110" ht="20" customHeight="1">
      <x:c r="A3110" s="1" t="str">
        <x:v>22457</x:v>
      </x:c>
      <x:c r="B3110" s="9" t="d">
        <x:v>2011-06-03T00:00:00.000Z</x:v>
      </x:c>
      <x:c r="C3110" s="13" t="n">
        <x:v>60</x:v>
      </x:c>
    </x:row>
    <x:row r="3111" ht="20" customHeight="1">
      <x:c r="A3111" s="1" t="str">
        <x:v>22457</x:v>
      </x:c>
      <x:c r="B3111" s="9" t="d">
        <x:v>2011-06-04T00:00:00.000Z</x:v>
      </x:c>
      <x:c r="C3111" s="13" t="n">
        <x:v>0</x:v>
      </x:c>
    </x:row>
    <x:row r="3112" ht="20" customHeight="1">
      <x:c r="A3112" s="1" t="str">
        <x:v>22457</x:v>
      </x:c>
      <x:c r="B3112" s="9" t="d">
        <x:v>2011-06-05T00:00:00.000Z</x:v>
      </x:c>
      <x:c r="C3112" s="13" t="n">
        <x:v>87</x:v>
      </x:c>
    </x:row>
    <x:row r="3113" ht="20" customHeight="1">
      <x:c r="A3113" s="1" t="str">
        <x:v>22457</x:v>
      </x:c>
      <x:c r="B3113" s="9" t="d">
        <x:v>2011-06-06T00:00:00.000Z</x:v>
      </x:c>
      <x:c r="C3113" s="13" t="n">
        <x:v>27</x:v>
      </x:c>
    </x:row>
    <x:row r="3114" ht="20" customHeight="1">
      <x:c r="A3114" s="1" t="str">
        <x:v>22457</x:v>
      </x:c>
      <x:c r="B3114" s="9" t="d">
        <x:v>2011-06-07T00:00:00.000Z</x:v>
      </x:c>
      <x:c r="C3114" s="13" t="n">
        <x:v>10</x:v>
      </x:c>
    </x:row>
    <x:row r="3115" ht="20" customHeight="1">
      <x:c r="A3115" s="1" t="str">
        <x:v>22457</x:v>
      </x:c>
      <x:c r="B3115" s="9" t="d">
        <x:v>2011-06-08T00:00:00.000Z</x:v>
      </x:c>
      <x:c r="C3115" s="13" t="n">
        <x:v>27</x:v>
      </x:c>
    </x:row>
    <x:row r="3116" ht="20" customHeight="1">
      <x:c r="A3116" s="1" t="str">
        <x:v>22457</x:v>
      </x:c>
      <x:c r="B3116" s="9" t="d">
        <x:v>2011-06-09T00:00:00.000Z</x:v>
      </x:c>
      <x:c r="C3116" s="13" t="n">
        <x:v>24</x:v>
      </x:c>
    </x:row>
    <x:row r="3117" ht="20" customHeight="1">
      <x:c r="A3117" s="1" t="str">
        <x:v>22457</x:v>
      </x:c>
      <x:c r="B3117" s="9" t="d">
        <x:v>2011-06-10T00:00:00.000Z</x:v>
      </x:c>
      <x:c r="C3117" s="13" t="n">
        <x:v>8</x:v>
      </x:c>
    </x:row>
    <x:row r="3118" ht="20" customHeight="1">
      <x:c r="A3118" s="1" t="str">
        <x:v>22457</x:v>
      </x:c>
      <x:c r="B3118" s="9" t="d">
        <x:v>2011-06-11T00:00:00.000Z</x:v>
      </x:c>
      <x:c r="C3118" s="13" t="n">
        <x:v>0</x:v>
      </x:c>
    </x:row>
    <x:row r="3119" ht="20" customHeight="1">
      <x:c r="A3119" s="1" t="str">
        <x:v>22457</x:v>
      </x:c>
      <x:c r="B3119" s="9" t="d">
        <x:v>2011-06-12T00:00:00.000Z</x:v>
      </x:c>
      <x:c r="C3119" s="13" t="n">
        <x:v>12</x:v>
      </x:c>
    </x:row>
    <x:row r="3120" ht="20" customHeight="1">
      <x:c r="A3120" s="1" t="str">
        <x:v>22457</x:v>
      </x:c>
      <x:c r="B3120" s="9" t="d">
        <x:v>2011-06-13T00:00:00.000Z</x:v>
      </x:c>
      <x:c r="C3120" s="13" t="n">
        <x:v>6</x:v>
      </x:c>
    </x:row>
    <x:row r="3121" ht="20" customHeight="1">
      <x:c r="A3121" s="1" t="str">
        <x:v>22457</x:v>
      </x:c>
      <x:c r="B3121" s="9" t="d">
        <x:v>2011-06-14T00:00:00.000Z</x:v>
      </x:c>
      <x:c r="C3121" s="13" t="n">
        <x:v>41</x:v>
      </x:c>
    </x:row>
    <x:row r="3122" ht="20" customHeight="1">
      <x:c r="A3122" s="1" t="str">
        <x:v>22457</x:v>
      </x:c>
      <x:c r="B3122" s="9" t="d">
        <x:v>2011-06-15T00:00:00.000Z</x:v>
      </x:c>
      <x:c r="C3122" s="13" t="n">
        <x:v>14</x:v>
      </x:c>
    </x:row>
    <x:row r="3123" ht="20" customHeight="1">
      <x:c r="A3123" s="1" t="str">
        <x:v>22457</x:v>
      </x:c>
      <x:c r="B3123" s="9" t="d">
        <x:v>2011-06-16T00:00:00.000Z</x:v>
      </x:c>
      <x:c r="C3123" s="13" t="n">
        <x:v>6</x:v>
      </x:c>
    </x:row>
    <x:row r="3124" ht="20" customHeight="1">
      <x:c r="A3124" s="1" t="str">
        <x:v>22457</x:v>
      </x:c>
      <x:c r="B3124" s="9" t="d">
        <x:v>2011-06-17T00:00:00.000Z</x:v>
      </x:c>
      <x:c r="C3124" s="13" t="n">
        <x:v>3</x:v>
      </x:c>
    </x:row>
    <x:row r="3125" ht="20" customHeight="1">
      <x:c r="A3125" s="1" t="str">
        <x:v>22457</x:v>
      </x:c>
      <x:c r="B3125" s="9" t="d">
        <x:v>2011-06-18T00:00:00.000Z</x:v>
      </x:c>
      <x:c r="C3125" s="13" t="n">
        <x:v>0</x:v>
      </x:c>
    </x:row>
    <x:row r="3126" ht="20" customHeight="1">
      <x:c r="A3126" s="1" t="str">
        <x:v>22457</x:v>
      </x:c>
      <x:c r="B3126" s="9" t="d">
        <x:v>2011-06-19T00:00:00.000Z</x:v>
      </x:c>
      <x:c r="C3126" s="13" t="n">
        <x:v>15</x:v>
      </x:c>
    </x:row>
    <x:row r="3127" ht="20" customHeight="1">
      <x:c r="A3127" s="1" t="str">
        <x:v>22457</x:v>
      </x:c>
      <x:c r="B3127" s="9" t="d">
        <x:v>2011-06-20T00:00:00.000Z</x:v>
      </x:c>
      <x:c r="C3127" s="13" t="n">
        <x:v>12</x:v>
      </x:c>
    </x:row>
    <x:row r="3128" ht="20" customHeight="1">
      <x:c r="A3128" s="1" t="str">
        <x:v>22457</x:v>
      </x:c>
      <x:c r="B3128" s="9" t="d">
        <x:v>2011-06-21T00:00:00.000Z</x:v>
      </x:c>
      <x:c r="C3128" s="13" t="n">
        <x:v>13</x:v>
      </x:c>
    </x:row>
    <x:row r="3129" ht="20" customHeight="1">
      <x:c r="A3129" s="1" t="str">
        <x:v>22457</x:v>
      </x:c>
      <x:c r="B3129" s="9" t="d">
        <x:v>2011-06-22T00:00:00.000Z</x:v>
      </x:c>
      <x:c r="C3129" s="13" t="n">
        <x:v>15</x:v>
      </x:c>
    </x:row>
    <x:row r="3130" ht="20" customHeight="1">
      <x:c r="A3130" s="1" t="str">
        <x:v>22457</x:v>
      </x:c>
      <x:c r="B3130" s="9" t="d">
        <x:v>2011-06-23T00:00:00.000Z</x:v>
      </x:c>
      <x:c r="C3130" s="13" t="n">
        <x:v>24</x:v>
      </x:c>
    </x:row>
    <x:row r="3131" ht="20" customHeight="1">
      <x:c r="A3131" s="1" t="str">
        <x:v>22457</x:v>
      </x:c>
      <x:c r="B3131" s="9" t="d">
        <x:v>2011-06-24T00:00:00.000Z</x:v>
      </x:c>
      <x:c r="C3131" s="13" t="n">
        <x:v>12</x:v>
      </x:c>
    </x:row>
    <x:row r="3132" ht="20" customHeight="1">
      <x:c r="A3132" s="1" t="str">
        <x:v>22457</x:v>
      </x:c>
      <x:c r="B3132" s="9" t="d">
        <x:v>2011-06-25T00:00:00.000Z</x:v>
      </x:c>
      <x:c r="C3132" s="13" t="n">
        <x:v>0</x:v>
      </x:c>
    </x:row>
    <x:row r="3133" ht="20" customHeight="1">
      <x:c r="A3133" s="1" t="str">
        <x:v>22457</x:v>
      </x:c>
      <x:c r="B3133" s="9" t="d">
        <x:v>2011-06-26T00:00:00.000Z</x:v>
      </x:c>
      <x:c r="C3133" s="13" t="n">
        <x:v>8</x:v>
      </x:c>
    </x:row>
    <x:row r="3134" ht="20" customHeight="1">
      <x:c r="A3134" s="1" t="str">
        <x:v>22457</x:v>
      </x:c>
      <x:c r="B3134" s="9" t="d">
        <x:v>2011-06-27T00:00:00.000Z</x:v>
      </x:c>
      <x:c r="C3134" s="13" t="n">
        <x:v>21</x:v>
      </x:c>
    </x:row>
    <x:row r="3135" ht="20" customHeight="1">
      <x:c r="A3135" s="1" t="str">
        <x:v>22457</x:v>
      </x:c>
      <x:c r="B3135" s="9" t="d">
        <x:v>2011-06-28T00:00:00.000Z</x:v>
      </x:c>
      <x:c r="C3135" s="13" t="n">
        <x:v>6</x:v>
      </x:c>
    </x:row>
    <x:row r="3136" ht="20" customHeight="1">
      <x:c r="A3136" s="1" t="str">
        <x:v>22457</x:v>
      </x:c>
      <x:c r="B3136" s="9" t="d">
        <x:v>2011-06-29T00:00:00.000Z</x:v>
      </x:c>
      <x:c r="C3136" s="13" t="n">
        <x:v>20</x:v>
      </x:c>
    </x:row>
    <x:row r="3137" ht="20" customHeight="1">
      <x:c r="A3137" s="1" t="str">
        <x:v>22457</x:v>
      </x:c>
      <x:c r="B3137" s="9" t="d">
        <x:v>2011-06-30T00:00:00.000Z</x:v>
      </x:c>
      <x:c r="C3137" s="13" t="n">
        <x:v>15</x:v>
      </x:c>
    </x:row>
    <x:row r="3138" ht="20" customHeight="1">
      <x:c r="A3138" s="1" t="str">
        <x:v>22457</x:v>
      </x:c>
      <x:c r="B3138" s="9" t="d">
        <x:v>2011-07-01T00:00:00.000Z</x:v>
      </x:c>
      <x:c r="C3138" s="13" t="n">
        <x:v>0</x:v>
      </x:c>
    </x:row>
    <x:row r="3139" ht="20" customHeight="1">
      <x:c r="A3139" s="1" t="str">
        <x:v>22457</x:v>
      </x:c>
      <x:c r="B3139" s="9" t="d">
        <x:v>2011-07-02T00:00:00.000Z</x:v>
      </x:c>
      <x:c r="C3139" s="13" t="n">
        <x:v>0</x:v>
      </x:c>
    </x:row>
    <x:row r="3140" ht="20" customHeight="1">
      <x:c r="A3140" s="1" t="str">
        <x:v>22457</x:v>
      </x:c>
      <x:c r="B3140" s="9" t="d">
        <x:v>2011-07-03T00:00:00.000Z</x:v>
      </x:c>
      <x:c r="C3140" s="13" t="n">
        <x:v>4</x:v>
      </x:c>
    </x:row>
    <x:row r="3141" ht="20" customHeight="1">
      <x:c r="A3141" s="1" t="str">
        <x:v>22457</x:v>
      </x:c>
      <x:c r="B3141" s="9" t="d">
        <x:v>2011-07-04T00:00:00.000Z</x:v>
      </x:c>
      <x:c r="C3141" s="13" t="n">
        <x:v>11</x:v>
      </x:c>
    </x:row>
    <x:row r="3142" ht="20" customHeight="1">
      <x:c r="A3142" s="1" t="str">
        <x:v>22457</x:v>
      </x:c>
      <x:c r="B3142" s="9" t="d">
        <x:v>2011-07-05T00:00:00.000Z</x:v>
      </x:c>
      <x:c r="C3142" s="13" t="n">
        <x:v>14</x:v>
      </x:c>
    </x:row>
    <x:row r="3143" ht="20" customHeight="1">
      <x:c r="A3143" s="1" t="str">
        <x:v>22457</x:v>
      </x:c>
      <x:c r="B3143" s="9" t="d">
        <x:v>2011-07-06T00:00:00.000Z</x:v>
      </x:c>
      <x:c r="C3143" s="13" t="n">
        <x:v>41</x:v>
      </x:c>
    </x:row>
    <x:row r="3144" ht="20" customHeight="1">
      <x:c r="A3144" s="1" t="str">
        <x:v>22457</x:v>
      </x:c>
      <x:c r="B3144" s="9" t="d">
        <x:v>2011-07-07T00:00:00.000Z</x:v>
      </x:c>
      <x:c r="C3144" s="13" t="n">
        <x:v>8</x:v>
      </x:c>
    </x:row>
    <x:row r="3145" ht="20" customHeight="1">
      <x:c r="A3145" s="1" t="str">
        <x:v>22457</x:v>
      </x:c>
      <x:c r="B3145" s="9" t="d">
        <x:v>2011-07-08T00:00:00.000Z</x:v>
      </x:c>
      <x:c r="C3145" s="13" t="n">
        <x:v>36</x:v>
      </x:c>
    </x:row>
    <x:row r="3146" ht="20" customHeight="1">
      <x:c r="A3146" s="1" t="str">
        <x:v>22457</x:v>
      </x:c>
      <x:c r="B3146" s="9" t="d">
        <x:v>2011-07-09T00:00:00.000Z</x:v>
      </x:c>
      <x:c r="C3146" s="13" t="n">
        <x:v>0</x:v>
      </x:c>
    </x:row>
    <x:row r="3147" ht="20" customHeight="1">
      <x:c r="A3147" s="1" t="str">
        <x:v>22457</x:v>
      </x:c>
      <x:c r="B3147" s="9" t="d">
        <x:v>2011-07-10T00:00:00.000Z</x:v>
      </x:c>
      <x:c r="C3147" s="13" t="n">
        <x:v>4</x:v>
      </x:c>
    </x:row>
    <x:row r="3148" ht="20" customHeight="1">
      <x:c r="A3148" s="1" t="str">
        <x:v>22457</x:v>
      </x:c>
      <x:c r="B3148" s="9" t="d">
        <x:v>2011-07-11T00:00:00.000Z</x:v>
      </x:c>
      <x:c r="C3148" s="13" t="n">
        <x:v>5</x:v>
      </x:c>
    </x:row>
    <x:row r="3149" ht="20" customHeight="1">
      <x:c r="A3149" s="1" t="str">
        <x:v>22457</x:v>
      </x:c>
      <x:c r="B3149" s="9" t="d">
        <x:v>2011-07-12T00:00:00.000Z</x:v>
      </x:c>
      <x:c r="C3149" s="13" t="n">
        <x:v>93</x:v>
      </x:c>
    </x:row>
    <x:row r="3150" ht="20" customHeight="1">
      <x:c r="A3150" s="1" t="str">
        <x:v>22457</x:v>
      </x:c>
      <x:c r="B3150" s="9" t="d">
        <x:v>2011-07-13T00:00:00.000Z</x:v>
      </x:c>
      <x:c r="C3150" s="13" t="n">
        <x:v>9</x:v>
      </x:c>
    </x:row>
    <x:row r="3151" ht="20" customHeight="1">
      <x:c r="A3151" s="1" t="str">
        <x:v>22457</x:v>
      </x:c>
      <x:c r="B3151" s="9" t="d">
        <x:v>2011-07-14T00:00:00.000Z</x:v>
      </x:c>
      <x:c r="C3151" s="13" t="n">
        <x:v>3</x:v>
      </x:c>
    </x:row>
    <x:row r="3152" ht="20" customHeight="1">
      <x:c r="A3152" s="1" t="str">
        <x:v>22457</x:v>
      </x:c>
      <x:c r="B3152" s="9" t="d">
        <x:v>2011-07-15T00:00:00.000Z</x:v>
      </x:c>
      <x:c r="C3152" s="13" t="n">
        <x:v>20</x:v>
      </x:c>
    </x:row>
    <x:row r="3153" ht="20" customHeight="1">
      <x:c r="A3153" s="1" t="str">
        <x:v>22457</x:v>
      </x:c>
      <x:c r="B3153" s="9" t="d">
        <x:v>2011-07-16T00:00:00.000Z</x:v>
      </x:c>
      <x:c r="C3153" s="13" t="n">
        <x:v>0</x:v>
      </x:c>
    </x:row>
    <x:row r="3154" ht="20" customHeight="1">
      <x:c r="A3154" s="1" t="str">
        <x:v>22457</x:v>
      </x:c>
      <x:c r="B3154" s="9" t="d">
        <x:v>2011-07-17T00:00:00.000Z</x:v>
      </x:c>
      <x:c r="C3154" s="13" t="n">
        <x:v>14</x:v>
      </x:c>
    </x:row>
    <x:row r="3155" ht="20" customHeight="1">
      <x:c r="A3155" s="1" t="str">
        <x:v>22457</x:v>
      </x:c>
      <x:c r="B3155" s="9" t="d">
        <x:v>2011-07-18T00:00:00.000Z</x:v>
      </x:c>
      <x:c r="C3155" s="13" t="n">
        <x:v>24</x:v>
      </x:c>
    </x:row>
    <x:row r="3156" ht="20" customHeight="1">
      <x:c r="A3156" s="1" t="str">
        <x:v>22457</x:v>
      </x:c>
      <x:c r="B3156" s="9" t="d">
        <x:v>2011-07-19T00:00:00.000Z</x:v>
      </x:c>
      <x:c r="C3156" s="13" t="n">
        <x:v>12</x:v>
      </x:c>
    </x:row>
    <x:row r="3157" ht="20" customHeight="1">
      <x:c r="A3157" s="1" t="str">
        <x:v>22457</x:v>
      </x:c>
      <x:c r="B3157" s="9" t="d">
        <x:v>2011-07-20T00:00:00.000Z</x:v>
      </x:c>
      <x:c r="C3157" s="13" t="n">
        <x:v>64</x:v>
      </x:c>
    </x:row>
    <x:row r="3158" ht="20" customHeight="1">
      <x:c r="A3158" s="1" t="str">
        <x:v>22457</x:v>
      </x:c>
      <x:c r="B3158" s="9" t="d">
        <x:v>2011-07-21T00:00:00.000Z</x:v>
      </x:c>
      <x:c r="C3158" s="13" t="n">
        <x:v>132</x:v>
      </x:c>
    </x:row>
    <x:row r="3159" ht="20" customHeight="1">
      <x:c r="A3159" s="1" t="str">
        <x:v>22457</x:v>
      </x:c>
      <x:c r="B3159" s="9" t="d">
        <x:v>2011-07-22T00:00:00.000Z</x:v>
      </x:c>
      <x:c r="C3159" s="13" t="n">
        <x:v>7</x:v>
      </x:c>
    </x:row>
    <x:row r="3160" ht="20" customHeight="1">
      <x:c r="A3160" s="1" t="str">
        <x:v>22457</x:v>
      </x:c>
      <x:c r="B3160" s="9" t="d">
        <x:v>2011-07-23T00:00:00.000Z</x:v>
      </x:c>
      <x:c r="C3160" s="13" t="n">
        <x:v>0</x:v>
      </x:c>
    </x:row>
    <x:row r="3161" ht="20" customHeight="1">
      <x:c r="A3161" s="1" t="str">
        <x:v>22457</x:v>
      </x:c>
      <x:c r="B3161" s="9" t="d">
        <x:v>2011-07-24T00:00:00.000Z</x:v>
      </x:c>
      <x:c r="C3161" s="13" t="n">
        <x:v>11</x:v>
      </x:c>
    </x:row>
    <x:row r="3162" ht="20" customHeight="1">
      <x:c r="A3162" s="1" t="str">
        <x:v>22457</x:v>
      </x:c>
      <x:c r="B3162" s="9" t="d">
        <x:v>2011-07-25T00:00:00.000Z</x:v>
      </x:c>
      <x:c r="C3162" s="13" t="n">
        <x:v>35</x:v>
      </x:c>
    </x:row>
    <x:row r="3163" ht="20" customHeight="1">
      <x:c r="A3163" s="1" t="str">
        <x:v>22457</x:v>
      </x:c>
      <x:c r="B3163" s="9" t="d">
        <x:v>2011-07-26T00:00:00.000Z</x:v>
      </x:c>
      <x:c r="C3163" s="13" t="n">
        <x:v>65</x:v>
      </x:c>
    </x:row>
    <x:row r="3164" ht="20" customHeight="1">
      <x:c r="A3164" s="1" t="str">
        <x:v>22457</x:v>
      </x:c>
      <x:c r="B3164" s="9" t="d">
        <x:v>2011-07-27T00:00:00.000Z</x:v>
      </x:c>
      <x:c r="C3164" s="13" t="n">
        <x:v>20</x:v>
      </x:c>
    </x:row>
    <x:row r="3165" ht="20" customHeight="1">
      <x:c r="A3165" s="1" t="str">
        <x:v>22457</x:v>
      </x:c>
      <x:c r="B3165" s="9" t="d">
        <x:v>2011-07-28T00:00:00.000Z</x:v>
      </x:c>
      <x:c r="C3165" s="13" t="n">
        <x:v>104</x:v>
      </x:c>
    </x:row>
    <x:row r="3166" ht="20" customHeight="1">
      <x:c r="A3166" s="1" t="str">
        <x:v>22457</x:v>
      </x:c>
      <x:c r="B3166" s="9" t="d">
        <x:v>2011-07-29T00:00:00.000Z</x:v>
      </x:c>
      <x:c r="C3166" s="13" t="n">
        <x:v>25</x:v>
      </x:c>
    </x:row>
    <x:row r="3167" ht="20" customHeight="1">
      <x:c r="A3167" s="1" t="str">
        <x:v>22457</x:v>
      </x:c>
      <x:c r="B3167" s="9" t="d">
        <x:v>2011-07-30T00:00:00.000Z</x:v>
      </x:c>
      <x:c r="C3167" s="13" t="n">
        <x:v>0</x:v>
      </x:c>
    </x:row>
    <x:row r="3168" ht="20" customHeight="1">
      <x:c r="A3168" s="1" t="str">
        <x:v>22457</x:v>
      </x:c>
      <x:c r="B3168" s="9" t="d">
        <x:v>2011-07-31T00:00:00.000Z</x:v>
      </x:c>
      <x:c r="C3168" s="13" t="n">
        <x:v>10</x:v>
      </x:c>
    </x:row>
    <x:row r="3169" ht="20" customHeight="1">
      <x:c r="A3169" s="1" t="str">
        <x:v>22457</x:v>
      </x:c>
      <x:c r="B3169" s="9" t="d">
        <x:v>2011-08-01T00:00:00.000Z</x:v>
      </x:c>
      <x:c r="C3169" s="13" t="n">
        <x:v>11</x:v>
      </x:c>
    </x:row>
    <x:row r="3170" ht="20" customHeight="1">
      <x:c r="A3170" s="1" t="str">
        <x:v>22457</x:v>
      </x:c>
      <x:c r="B3170" s="9" t="d">
        <x:v>2011-08-02T00:00:00.000Z</x:v>
      </x:c>
      <x:c r="C3170" s="13" t="n">
        <x:v>13</x:v>
      </x:c>
    </x:row>
    <x:row r="3171" ht="20" customHeight="1">
      <x:c r="A3171" s="1" t="str">
        <x:v>22457</x:v>
      </x:c>
      <x:c r="B3171" s="9" t="d">
        <x:v>2011-08-03T00:00:00.000Z</x:v>
      </x:c>
      <x:c r="C3171" s="13" t="n">
        <x:v>2</x:v>
      </x:c>
    </x:row>
    <x:row r="3172" ht="20" customHeight="1">
      <x:c r="A3172" s="1" t="str">
        <x:v>22457</x:v>
      </x:c>
      <x:c r="B3172" s="9" t="d">
        <x:v>2011-08-04T00:00:00.000Z</x:v>
      </x:c>
      <x:c r="C3172" s="13" t="n">
        <x:v>33</x:v>
      </x:c>
    </x:row>
    <x:row r="3173" ht="20" customHeight="1">
      <x:c r="A3173" s="1" t="str">
        <x:v>22457</x:v>
      </x:c>
      <x:c r="B3173" s="9" t="d">
        <x:v>2011-08-05T00:00:00.000Z</x:v>
      </x:c>
      <x:c r="C3173" s="13" t="n">
        <x:v>35</x:v>
      </x:c>
    </x:row>
    <x:row r="3174" ht="20" customHeight="1">
      <x:c r="A3174" s="1" t="str">
        <x:v>22457</x:v>
      </x:c>
      <x:c r="B3174" s="9" t="d">
        <x:v>2011-08-06T00:00:00.000Z</x:v>
      </x:c>
      <x:c r="C3174" s="13" t="n">
        <x:v>0</x:v>
      </x:c>
    </x:row>
    <x:row r="3175" ht="20" customHeight="1">
      <x:c r="A3175" s="1" t="str">
        <x:v>22457</x:v>
      </x:c>
      <x:c r="B3175" s="9" t="d">
        <x:v>2011-08-07T00:00:00.000Z</x:v>
      </x:c>
      <x:c r="C3175" s="13" t="n">
        <x:v>18</x:v>
      </x:c>
    </x:row>
    <x:row r="3176" ht="20" customHeight="1">
      <x:c r="A3176" s="1" t="str">
        <x:v>22457</x:v>
      </x:c>
      <x:c r="B3176" s="9" t="d">
        <x:v>2011-08-08T00:00:00.000Z</x:v>
      </x:c>
      <x:c r="C3176" s="13" t="n">
        <x:v>14</x:v>
      </x:c>
    </x:row>
    <x:row r="3177" ht="20" customHeight="1">
      <x:c r="A3177" s="1" t="str">
        <x:v>22457</x:v>
      </x:c>
      <x:c r="B3177" s="9" t="d">
        <x:v>2011-08-09T00:00:00.000Z</x:v>
      </x:c>
      <x:c r="C3177" s="13" t="n">
        <x:v>68</x:v>
      </x:c>
    </x:row>
    <x:row r="3178" ht="20" customHeight="1">
      <x:c r="A3178" s="1" t="str">
        <x:v>22457</x:v>
      </x:c>
      <x:c r="B3178" s="9" t="d">
        <x:v>2011-08-10T00:00:00.000Z</x:v>
      </x:c>
      <x:c r="C3178" s="13" t="n">
        <x:v>25</x:v>
      </x:c>
    </x:row>
    <x:row r="3179" ht="20" customHeight="1">
      <x:c r="A3179" s="1" t="str">
        <x:v>22457</x:v>
      </x:c>
      <x:c r="B3179" s="9" t="d">
        <x:v>2011-08-11T00:00:00.000Z</x:v>
      </x:c>
      <x:c r="C3179" s="13" t="n">
        <x:v>17</x:v>
      </x:c>
    </x:row>
    <x:row r="3180" ht="20" customHeight="1">
      <x:c r="A3180" s="1" t="str">
        <x:v>22457</x:v>
      </x:c>
      <x:c r="B3180" s="9" t="d">
        <x:v>2011-08-12T00:00:00.000Z</x:v>
      </x:c>
      <x:c r="C3180" s="13" t="n">
        <x:v>2</x:v>
      </x:c>
    </x:row>
    <x:row r="3181" ht="20" customHeight="1">
      <x:c r="A3181" s="1" t="str">
        <x:v>22457</x:v>
      </x:c>
      <x:c r="B3181" s="9" t="d">
        <x:v>2011-08-13T00:00:00.000Z</x:v>
      </x:c>
      <x:c r="C3181" s="13" t="n">
        <x:v>0</x:v>
      </x:c>
    </x:row>
    <x:row r="3182" ht="20" customHeight="1">
      <x:c r="A3182" s="1" t="str">
        <x:v>22457</x:v>
      </x:c>
      <x:c r="B3182" s="9" t="d">
        <x:v>2011-08-14T00:00:00.000Z</x:v>
      </x:c>
      <x:c r="C3182" s="13" t="n">
        <x:v>14</x:v>
      </x:c>
    </x:row>
    <x:row r="3183" ht="20" customHeight="1">
      <x:c r="A3183" s="1" t="str">
        <x:v>22457</x:v>
      </x:c>
      <x:c r="B3183" s="9" t="d">
        <x:v>2011-08-15T00:00:00.000Z</x:v>
      </x:c>
      <x:c r="C3183" s="13" t="n">
        <x:v>30</x:v>
      </x:c>
    </x:row>
    <x:row r="3184" ht="20" customHeight="1">
      <x:c r="A3184" s="1" t="str">
        <x:v>22457</x:v>
      </x:c>
      <x:c r="B3184" s="9" t="d">
        <x:v>2011-08-16T00:00:00.000Z</x:v>
      </x:c>
      <x:c r="C3184" s="13" t="n">
        <x:v>18</x:v>
      </x:c>
    </x:row>
    <x:row r="3185" ht="20" customHeight="1">
      <x:c r="A3185" s="1" t="str">
        <x:v>22457</x:v>
      </x:c>
      <x:c r="B3185" s="9" t="d">
        <x:v>2011-08-17T00:00:00.000Z</x:v>
      </x:c>
      <x:c r="C3185" s="13" t="n">
        <x:v>24</x:v>
      </x:c>
    </x:row>
    <x:row r="3186" ht="20" customHeight="1">
      <x:c r="A3186" s="1" t="str">
        <x:v>22457</x:v>
      </x:c>
      <x:c r="B3186" s="9" t="d">
        <x:v>2011-08-18T00:00:00.000Z</x:v>
      </x:c>
      <x:c r="C3186" s="13" t="n">
        <x:v>38</x:v>
      </x:c>
    </x:row>
    <x:row r="3187" ht="20" customHeight="1">
      <x:c r="A3187" s="1" t="str">
        <x:v>22457</x:v>
      </x:c>
      <x:c r="B3187" s="9" t="d">
        <x:v>2011-08-19T00:00:00.000Z</x:v>
      </x:c>
      <x:c r="C3187" s="13" t="n">
        <x:v>12</x:v>
      </x:c>
    </x:row>
    <x:row r="3188" ht="20" customHeight="1">
      <x:c r="A3188" s="1" t="str">
        <x:v>22457</x:v>
      </x:c>
      <x:c r="B3188" s="9" t="d">
        <x:v>2011-08-20T00:00:00.000Z</x:v>
      </x:c>
      <x:c r="C3188" s="13" t="n">
        <x:v>0</x:v>
      </x:c>
    </x:row>
    <x:row r="3189" ht="20" customHeight="1">
      <x:c r="A3189" s="1" t="str">
        <x:v>22457</x:v>
      </x:c>
      <x:c r="B3189" s="9" t="d">
        <x:v>2011-08-21T00:00:00.000Z</x:v>
      </x:c>
      <x:c r="C3189" s="13" t="n">
        <x:v>6</x:v>
      </x:c>
    </x:row>
    <x:row r="3190" ht="20" customHeight="1">
      <x:c r="A3190" s="1" t="str">
        <x:v>22457</x:v>
      </x:c>
      <x:c r="B3190" s="9" t="d">
        <x:v>2011-08-22T00:00:00.000Z</x:v>
      </x:c>
      <x:c r="C3190" s="13" t="n">
        <x:v>30</x:v>
      </x:c>
    </x:row>
    <x:row r="3191" ht="20" customHeight="1">
      <x:c r="A3191" s="1" t="str">
        <x:v>22457</x:v>
      </x:c>
      <x:c r="B3191" s="9" t="d">
        <x:v>2011-08-23T00:00:00.000Z</x:v>
      </x:c>
      <x:c r="C3191" s="13" t="n">
        <x:v>18</x:v>
      </x:c>
    </x:row>
    <x:row r="3192" ht="20" customHeight="1">
      <x:c r="A3192" s="1" t="str">
        <x:v>22457</x:v>
      </x:c>
      <x:c r="B3192" s="9" t="d">
        <x:v>2011-08-24T00:00:00.000Z</x:v>
      </x:c>
      <x:c r="C3192" s="13" t="n">
        <x:v>0</x:v>
      </x:c>
    </x:row>
    <x:row r="3193" ht="20" customHeight="1">
      <x:c r="A3193" s="1" t="str">
        <x:v>22457</x:v>
      </x:c>
      <x:c r="B3193" s="9" t="d">
        <x:v>2011-08-25T00:00:00.000Z</x:v>
      </x:c>
      <x:c r="C3193" s="13" t="n">
        <x:v>62</x:v>
      </x:c>
    </x:row>
    <x:row r="3194" ht="20" customHeight="1">
      <x:c r="A3194" s="1" t="str">
        <x:v>22457</x:v>
      </x:c>
      <x:c r="B3194" s="9" t="d">
        <x:v>2011-08-26T00:00:00.000Z</x:v>
      </x:c>
      <x:c r="C3194" s="13" t="n">
        <x:v>24</x:v>
      </x:c>
    </x:row>
    <x:row r="3195" ht="20" customHeight="1">
      <x:c r="A3195" s="1" t="str">
        <x:v>22457</x:v>
      </x:c>
      <x:c r="B3195" s="9" t="d">
        <x:v>2011-08-27T00:00:00.000Z</x:v>
      </x:c>
      <x:c r="C3195" s="13" t="n">
        <x:v>0</x:v>
      </x:c>
    </x:row>
    <x:row r="3196" ht="20" customHeight="1">
      <x:c r="A3196" s="1" t="str">
        <x:v>22457</x:v>
      </x:c>
      <x:c r="B3196" s="9" t="d">
        <x:v>2011-08-28T00:00:00.000Z</x:v>
      </x:c>
      <x:c r="C3196" s="13" t="n">
        <x:v>0</x:v>
      </x:c>
    </x:row>
    <x:row r="3197" ht="20" customHeight="1">
      <x:c r="A3197" s="1" t="str">
        <x:v>22457</x:v>
      </x:c>
      <x:c r="B3197" s="9" t="d">
        <x:v>2011-08-29T00:00:00.000Z</x:v>
      </x:c>
      <x:c r="C3197" s="13" t="n">
        <x:v>0</x:v>
      </x:c>
    </x:row>
    <x:row r="3198" ht="20" customHeight="1">
      <x:c r="A3198" s="1" t="str">
        <x:v>22457</x:v>
      </x:c>
      <x:c r="B3198" s="9" t="d">
        <x:v>2011-08-30T00:00:00.000Z</x:v>
      </x:c>
      <x:c r="C3198" s="13" t="n">
        <x:v>27</x:v>
      </x:c>
    </x:row>
    <x:row r="3199" ht="20" customHeight="1">
      <x:c r="A3199" s="1" t="str">
        <x:v>22457</x:v>
      </x:c>
      <x:c r="B3199" s="9" t="d">
        <x:v>2011-08-31T00:00:00.000Z</x:v>
      </x:c>
      <x:c r="C3199" s="13" t="n">
        <x:v>6</x:v>
      </x:c>
    </x:row>
    <x:row r="3200" ht="20" customHeight="1">
      <x:c r="A3200" s="1" t="str">
        <x:v>22457</x:v>
      </x:c>
      <x:c r="B3200" s="9" t="d">
        <x:v>2011-09-01T00:00:00.000Z</x:v>
      </x:c>
      <x:c r="C3200" s="13" t="n">
        <x:v>68</x:v>
      </x:c>
    </x:row>
    <x:row r="3201" ht="20" customHeight="1">
      <x:c r="A3201" s="1" t="str">
        <x:v>22457</x:v>
      </x:c>
      <x:c r="B3201" s="9" t="d">
        <x:v>2011-09-02T00:00:00.000Z</x:v>
      </x:c>
      <x:c r="C3201" s="13" t="n">
        <x:v>47</x:v>
      </x:c>
    </x:row>
    <x:row r="3202" ht="20" customHeight="1">
      <x:c r="A3202" s="1" t="str">
        <x:v>22457</x:v>
      </x:c>
      <x:c r="B3202" s="9" t="d">
        <x:v>2011-09-03T00:00:00.000Z</x:v>
      </x:c>
      <x:c r="C3202" s="13" t="n">
        <x:v>0</x:v>
      </x:c>
    </x:row>
    <x:row r="3203" ht="20" customHeight="1">
      <x:c r="A3203" s="1" t="str">
        <x:v>22457</x:v>
      </x:c>
      <x:c r="B3203" s="9" t="d">
        <x:v>2011-09-04T00:00:00.000Z</x:v>
      </x:c>
      <x:c r="C3203" s="13" t="n">
        <x:v>0</x:v>
      </x:c>
    </x:row>
    <x:row r="3204" ht="20" customHeight="1">
      <x:c r="A3204" s="1" t="str">
        <x:v>22457</x:v>
      </x:c>
      <x:c r="B3204" s="9" t="d">
        <x:v>2011-09-05T00:00:00.000Z</x:v>
      </x:c>
      <x:c r="C3204" s="13" t="n">
        <x:v>19</x:v>
      </x:c>
    </x:row>
    <x:row r="3205" ht="20" customHeight="1">
      <x:c r="A3205" s="1" t="str">
        <x:v>22457</x:v>
      </x:c>
      <x:c r="B3205" s="9" t="d">
        <x:v>2011-09-06T00:00:00.000Z</x:v>
      </x:c>
      <x:c r="C3205" s="13" t="n">
        <x:v>24</x:v>
      </x:c>
    </x:row>
    <x:row r="3206" ht="20" customHeight="1">
      <x:c r="A3206" s="1" t="str">
        <x:v>22457</x:v>
      </x:c>
      <x:c r="B3206" s="9" t="d">
        <x:v>2011-09-07T00:00:00.000Z</x:v>
      </x:c>
      <x:c r="C3206" s="13" t="n">
        <x:v>22</x:v>
      </x:c>
    </x:row>
    <x:row r="3207" ht="20" customHeight="1">
      <x:c r="A3207" s="1" t="str">
        <x:v>22457</x:v>
      </x:c>
      <x:c r="B3207" s="9" t="d">
        <x:v>2011-09-08T00:00:00.000Z</x:v>
      </x:c>
      <x:c r="C3207" s="13" t="n">
        <x:v>68</x:v>
      </x:c>
    </x:row>
    <x:row r="3208" ht="20" customHeight="1">
      <x:c r="A3208" s="1" t="str">
        <x:v>22457</x:v>
      </x:c>
      <x:c r="B3208" s="9" t="d">
        <x:v>2011-09-09T00:00:00.000Z</x:v>
      </x:c>
      <x:c r="C3208" s="13" t="n">
        <x:v>3</x:v>
      </x:c>
    </x:row>
    <x:row r="3209" ht="20" customHeight="1">
      <x:c r="A3209" s="1" t="str">
        <x:v>22457</x:v>
      </x:c>
      <x:c r="B3209" s="9" t="d">
        <x:v>2011-09-10T00:00:00.000Z</x:v>
      </x:c>
      <x:c r="C3209" s="13" t="n">
        <x:v>0</x:v>
      </x:c>
    </x:row>
    <x:row r="3210" ht="20" customHeight="1">
      <x:c r="A3210" s="1" t="str">
        <x:v>22457</x:v>
      </x:c>
      <x:c r="B3210" s="9" t="d">
        <x:v>2011-09-11T00:00:00.000Z</x:v>
      </x:c>
      <x:c r="C3210" s="13" t="n">
        <x:v>32</x:v>
      </x:c>
    </x:row>
    <x:row r="3211" ht="20" customHeight="1">
      <x:c r="A3211" s="1" t="str">
        <x:v>22457</x:v>
      </x:c>
      <x:c r="B3211" s="9" t="d">
        <x:v>2011-09-12T00:00:00.000Z</x:v>
      </x:c>
      <x:c r="C3211" s="13" t="n">
        <x:v>6</x:v>
      </x:c>
    </x:row>
    <x:row r="3212" ht="20" customHeight="1">
      <x:c r="A3212" s="1" t="str">
        <x:v>22457</x:v>
      </x:c>
      <x:c r="B3212" s="9" t="d">
        <x:v>2011-09-13T00:00:00.000Z</x:v>
      </x:c>
      <x:c r="C3212" s="13" t="n">
        <x:v>38</x:v>
      </x:c>
    </x:row>
    <x:row r="3213" ht="20" customHeight="1">
      <x:c r="A3213" s="1" t="str">
        <x:v>22457</x:v>
      </x:c>
      <x:c r="B3213" s="9" t="d">
        <x:v>2011-09-14T00:00:00.000Z</x:v>
      </x:c>
      <x:c r="C3213" s="13" t="n">
        <x:v>12</x:v>
      </x:c>
    </x:row>
    <x:row r="3214" ht="20" customHeight="1">
      <x:c r="A3214" s="1" t="str">
        <x:v>22457</x:v>
      </x:c>
      <x:c r="B3214" s="9" t="d">
        <x:v>2011-09-15T00:00:00.000Z</x:v>
      </x:c>
      <x:c r="C3214" s="13" t="n">
        <x:v>8</x:v>
      </x:c>
    </x:row>
    <x:row r="3215" ht="20" customHeight="1">
      <x:c r="A3215" s="1" t="str">
        <x:v>22457</x:v>
      </x:c>
      <x:c r="B3215" s="9" t="d">
        <x:v>2011-09-16T00:00:00.000Z</x:v>
      </x:c>
      <x:c r="C3215" s="13" t="n">
        <x:v>25</x:v>
      </x:c>
    </x:row>
    <x:row r="3216" ht="20" customHeight="1">
      <x:c r="A3216" s="1" t="str">
        <x:v>22457</x:v>
      </x:c>
      <x:c r="B3216" s="9" t="d">
        <x:v>2011-09-17T00:00:00.000Z</x:v>
      </x:c>
      <x:c r="C3216" s="13" t="n">
        <x:v>0</x:v>
      </x:c>
    </x:row>
    <x:row r="3217" ht="20" customHeight="1">
      <x:c r="A3217" s="1" t="str">
        <x:v>22457</x:v>
      </x:c>
      <x:c r="B3217" s="9" t="d">
        <x:v>2011-09-18T00:00:00.000Z</x:v>
      </x:c>
      <x:c r="C3217" s="13" t="n">
        <x:v>5</x:v>
      </x:c>
    </x:row>
    <x:row r="3218" ht="20" customHeight="1">
      <x:c r="A3218" s="1" t="str">
        <x:v>22457</x:v>
      </x:c>
      <x:c r="B3218" s="9" t="d">
        <x:v>2011-09-19T00:00:00.000Z</x:v>
      </x:c>
      <x:c r="C3218" s="13" t="n">
        <x:v>6</x:v>
      </x:c>
    </x:row>
    <x:row r="3219" ht="20" customHeight="1">
      <x:c r="A3219" s="1" t="str">
        <x:v>22457</x:v>
      </x:c>
      <x:c r="B3219" s="9" t="d">
        <x:v>2011-09-20T00:00:00.000Z</x:v>
      </x:c>
      <x:c r="C3219" s="13" t="n">
        <x:v>92</x:v>
      </x:c>
    </x:row>
    <x:row r="3220" ht="20" customHeight="1">
      <x:c r="A3220" s="1" t="str">
        <x:v>22457</x:v>
      </x:c>
      <x:c r="B3220" s="9" t="d">
        <x:v>2011-09-21T00:00:00.000Z</x:v>
      </x:c>
      <x:c r="C3220" s="13" t="n">
        <x:v>17</x:v>
      </x:c>
    </x:row>
    <x:row r="3221" ht="20" customHeight="1">
      <x:c r="A3221" s="1" t="str">
        <x:v>22457</x:v>
      </x:c>
      <x:c r="B3221" s="9" t="d">
        <x:v>2011-09-22T00:00:00.000Z</x:v>
      </x:c>
      <x:c r="C3221" s="13" t="n">
        <x:v>19</x:v>
      </x:c>
    </x:row>
    <x:row r="3222" ht="20" customHeight="1">
      <x:c r="A3222" s="1" t="str">
        <x:v>22457</x:v>
      </x:c>
      <x:c r="B3222" s="9" t="d">
        <x:v>2011-09-23T00:00:00.000Z</x:v>
      </x:c>
      <x:c r="C3222" s="13" t="n">
        <x:v>7</x:v>
      </x:c>
    </x:row>
    <x:row r="3223" ht="20" customHeight="1">
      <x:c r="A3223" s="1" t="str">
        <x:v>22457</x:v>
      </x:c>
      <x:c r="B3223" s="9" t="d">
        <x:v>2011-09-24T00:00:00.000Z</x:v>
      </x:c>
      <x:c r="C3223" s="13" t="n">
        <x:v>0</x:v>
      </x:c>
    </x:row>
    <x:row r="3224" ht="20" customHeight="1">
      <x:c r="A3224" s="1" t="str">
        <x:v>22457</x:v>
      </x:c>
      <x:c r="B3224" s="9" t="d">
        <x:v>2011-09-25T00:00:00.000Z</x:v>
      </x:c>
      <x:c r="C3224" s="13" t="n">
        <x:v>25</x:v>
      </x:c>
    </x:row>
    <x:row r="3225" ht="20" customHeight="1">
      <x:c r="A3225" s="1" t="str">
        <x:v>22457</x:v>
      </x:c>
      <x:c r="B3225" s="9" t="d">
        <x:v>2011-09-26T00:00:00.000Z</x:v>
      </x:c>
      <x:c r="C3225" s="13" t="n">
        <x:v>23</x:v>
      </x:c>
    </x:row>
    <x:row r="3226" ht="20" customHeight="1">
      <x:c r="A3226" s="1" t="str">
        <x:v>22457</x:v>
      </x:c>
      <x:c r="B3226" s="9" t="d">
        <x:v>2011-09-27T00:00:00.000Z</x:v>
      </x:c>
      <x:c r="C3226" s="13" t="n">
        <x:v>21</x:v>
      </x:c>
    </x:row>
    <x:row r="3227" ht="20" customHeight="1">
      <x:c r="A3227" s="1" t="str">
        <x:v>22457</x:v>
      </x:c>
      <x:c r="B3227" s="9" t="d">
        <x:v>2011-09-28T00:00:00.000Z</x:v>
      </x:c>
      <x:c r="C3227" s="13" t="n">
        <x:v>46</x:v>
      </x:c>
    </x:row>
    <x:row r="3228" ht="20" customHeight="1">
      <x:c r="A3228" s="1" t="str">
        <x:v>22457</x:v>
      </x:c>
      <x:c r="B3228" s="9" t="d">
        <x:v>2011-09-29T00:00:00.000Z</x:v>
      </x:c>
      <x:c r="C3228" s="13" t="n">
        <x:v>39</x:v>
      </x:c>
    </x:row>
    <x:row r="3229" ht="20" customHeight="1">
      <x:c r="A3229" s="1" t="str">
        <x:v>22457</x:v>
      </x:c>
      <x:c r="B3229" s="9" t="d">
        <x:v>2011-09-30T00:00:00.000Z</x:v>
      </x:c>
      <x:c r="C3229" s="13" t="n">
        <x:v>4</x:v>
      </x:c>
    </x:row>
    <x:row r="3230" ht="20" customHeight="1">
      <x:c r="A3230" s="1" t="str">
        <x:v>22457</x:v>
      </x:c>
      <x:c r="B3230" s="9" t="d">
        <x:v>2011-10-01T00:00:00.000Z</x:v>
      </x:c>
      <x:c r="C3230" s="13" t="n">
        <x:v>0</x:v>
      </x:c>
    </x:row>
    <x:row r="3231" ht="20" customHeight="1">
      <x:c r="A3231" s="1" t="str">
        <x:v>22457</x:v>
      </x:c>
      <x:c r="B3231" s="9" t="d">
        <x:v>2011-10-02T00:00:00.000Z</x:v>
      </x:c>
      <x:c r="C3231" s="13" t="n">
        <x:v>2</x:v>
      </x:c>
    </x:row>
    <x:row r="3232" ht="20" customHeight="1">
      <x:c r="A3232" s="1" t="str">
        <x:v>22457</x:v>
      </x:c>
      <x:c r="B3232" s="9" t="d">
        <x:v>2011-10-03T00:00:00.000Z</x:v>
      </x:c>
      <x:c r="C3232" s="13" t="n">
        <x:v>19</x:v>
      </x:c>
    </x:row>
    <x:row r="3233" ht="20" customHeight="1">
      <x:c r="A3233" s="1" t="str">
        <x:v>22457</x:v>
      </x:c>
      <x:c r="B3233" s="9" t="d">
        <x:v>2011-10-04T00:00:00.000Z</x:v>
      </x:c>
      <x:c r="C3233" s="13" t="n">
        <x:v>56</x:v>
      </x:c>
    </x:row>
    <x:row r="3234" ht="20" customHeight="1">
      <x:c r="A3234" s="1" t="str">
        <x:v>22457</x:v>
      </x:c>
      <x:c r="B3234" s="9" t="d">
        <x:v>2011-10-05T00:00:00.000Z</x:v>
      </x:c>
      <x:c r="C3234" s="13" t="n">
        <x:v>38</x:v>
      </x:c>
    </x:row>
    <x:row r="3235" ht="20" customHeight="1">
      <x:c r="A3235" s="1" t="str">
        <x:v>22457</x:v>
      </x:c>
      <x:c r="B3235" s="9" t="d">
        <x:v>2011-10-06T00:00:00.000Z</x:v>
      </x:c>
      <x:c r="C3235" s="13" t="n">
        <x:v>52</x:v>
      </x:c>
    </x:row>
    <x:row r="3236" ht="20" customHeight="1">
      <x:c r="A3236" s="1" t="str">
        <x:v>22457</x:v>
      </x:c>
      <x:c r="B3236" s="9" t="d">
        <x:v>2011-10-07T00:00:00.000Z</x:v>
      </x:c>
      <x:c r="C3236" s="13" t="n">
        <x:v>44</x:v>
      </x:c>
    </x:row>
    <x:row r="3237" ht="20" customHeight="1">
      <x:c r="A3237" s="1" t="str">
        <x:v>22457</x:v>
      </x:c>
      <x:c r="B3237" s="9" t="d">
        <x:v>2011-10-08T00:00:00.000Z</x:v>
      </x:c>
      <x:c r="C3237" s="13" t="n">
        <x:v>0</x:v>
      </x:c>
    </x:row>
    <x:row r="3238" ht="20" customHeight="1">
      <x:c r="A3238" s="1" t="str">
        <x:v>22457</x:v>
      </x:c>
      <x:c r="B3238" s="9" t="d">
        <x:v>2011-10-09T00:00:00.000Z</x:v>
      </x:c>
      <x:c r="C3238" s="13" t="n">
        <x:v>0</x:v>
      </x:c>
    </x:row>
    <x:row r="3239" ht="20" customHeight="1">
      <x:c r="A3239" s="1" t="str">
        <x:v>22457</x:v>
      </x:c>
      <x:c r="B3239" s="9" t="d">
        <x:v>2011-10-10T00:00:00.000Z</x:v>
      </x:c>
      <x:c r="C3239" s="13" t="n">
        <x:v>18</x:v>
      </x:c>
    </x:row>
    <x:row r="3240" ht="20" customHeight="1">
      <x:c r="A3240" s="1" t="str">
        <x:v>22457</x:v>
      </x:c>
      <x:c r="B3240" s="9" t="d">
        <x:v>2011-10-11T00:00:00.000Z</x:v>
      </x:c>
      <x:c r="C3240" s="13" t="n">
        <x:v>14</x:v>
      </x:c>
    </x:row>
    <x:row r="3241" ht="20" customHeight="1">
      <x:c r="A3241" s="1" t="str">
        <x:v>22457</x:v>
      </x:c>
      <x:c r="B3241" s="9" t="d">
        <x:v>2011-10-12T00:00:00.000Z</x:v>
      </x:c>
      <x:c r="C3241" s="13" t="n">
        <x:v>58</x:v>
      </x:c>
    </x:row>
    <x:row r="3242" ht="20" customHeight="1">
      <x:c r="A3242" s="1" t="str">
        <x:v>22457</x:v>
      </x:c>
      <x:c r="B3242" s="9" t="d">
        <x:v>2011-10-13T00:00:00.000Z</x:v>
      </x:c>
      <x:c r="C3242" s="13" t="n">
        <x:v>40</x:v>
      </x:c>
    </x:row>
    <x:row r="3243" ht="20" customHeight="1">
      <x:c r="A3243" s="1" t="str">
        <x:v>22457</x:v>
      </x:c>
      <x:c r="B3243" s="9" t="d">
        <x:v>2011-10-14T00:00:00.000Z</x:v>
      </x:c>
      <x:c r="C3243" s="13" t="n">
        <x:v>17</x:v>
      </x:c>
    </x:row>
    <x:row r="3244" ht="20" customHeight="1">
      <x:c r="A3244" s="1" t="str">
        <x:v>22457</x:v>
      </x:c>
      <x:c r="B3244" s="9" t="d">
        <x:v>2011-10-15T00:00:00.000Z</x:v>
      </x:c>
      <x:c r="C3244" s="13" t="n">
        <x:v>0</x:v>
      </x:c>
    </x:row>
    <x:row r="3245" ht="20" customHeight="1">
      <x:c r="A3245" s="1" t="str">
        <x:v>22457</x:v>
      </x:c>
      <x:c r="B3245" s="9" t="d">
        <x:v>2011-10-16T00:00:00.000Z</x:v>
      </x:c>
      <x:c r="C3245" s="13" t="n">
        <x:v>24</x:v>
      </x:c>
    </x:row>
    <x:row r="3246" ht="20" customHeight="1">
      <x:c r="A3246" s="1" t="str">
        <x:v>22457</x:v>
      </x:c>
      <x:c r="B3246" s="9" t="d">
        <x:v>2011-10-17T00:00:00.000Z</x:v>
      </x:c>
      <x:c r="C3246" s="13" t="n">
        <x:v>41</x:v>
      </x:c>
    </x:row>
    <x:row r="3247" ht="20" customHeight="1">
      <x:c r="A3247" s="1" t="str">
        <x:v>22457</x:v>
      </x:c>
      <x:c r="B3247" s="9" t="d">
        <x:v>2011-10-18T00:00:00.000Z</x:v>
      </x:c>
      <x:c r="C3247" s="13" t="n">
        <x:v>26</x:v>
      </x:c>
    </x:row>
    <x:row r="3248" ht="20" customHeight="1">
      <x:c r="A3248" s="1" t="str">
        <x:v>22457</x:v>
      </x:c>
      <x:c r="B3248" s="9" t="d">
        <x:v>2011-10-19T00:00:00.000Z</x:v>
      </x:c>
      <x:c r="C3248" s="13" t="n">
        <x:v>79</x:v>
      </x:c>
    </x:row>
    <x:row r="3249" ht="20" customHeight="1">
      <x:c r="A3249" s="1" t="str">
        <x:v>22457</x:v>
      </x:c>
      <x:c r="B3249" s="9" t="d">
        <x:v>2011-10-20T00:00:00.000Z</x:v>
      </x:c>
      <x:c r="C3249" s="13" t="n">
        <x:v>18</x:v>
      </x:c>
    </x:row>
    <x:row r="3250" ht="20" customHeight="1">
      <x:c r="A3250" s="1" t="str">
        <x:v>22457</x:v>
      </x:c>
      <x:c r="B3250" s="9" t="d">
        <x:v>2011-10-21T00:00:00.000Z</x:v>
      </x:c>
      <x:c r="C3250" s="13" t="n">
        <x:v>20</x:v>
      </x:c>
    </x:row>
    <x:row r="3251" ht="20" customHeight="1">
      <x:c r="A3251" s="1" t="str">
        <x:v>22457</x:v>
      </x:c>
      <x:c r="B3251" s="9" t="d">
        <x:v>2011-10-22T00:00:00.000Z</x:v>
      </x:c>
      <x:c r="C3251" s="13" t="n">
        <x:v>0</x:v>
      </x:c>
    </x:row>
    <x:row r="3252" ht="20" customHeight="1">
      <x:c r="A3252" s="1" t="str">
        <x:v>22457</x:v>
      </x:c>
      <x:c r="B3252" s="9" t="d">
        <x:v>2011-10-23T00:00:00.000Z</x:v>
      </x:c>
      <x:c r="C3252" s="13" t="n">
        <x:v>8</x:v>
      </x:c>
    </x:row>
    <x:row r="3253" ht="20" customHeight="1">
      <x:c r="A3253" s="1" t="str">
        <x:v>22457</x:v>
      </x:c>
      <x:c r="B3253" s="9" t="d">
        <x:v>2011-10-24T00:00:00.000Z</x:v>
      </x:c>
      <x:c r="C3253" s="13" t="n">
        <x:v>16</x:v>
      </x:c>
    </x:row>
    <x:row r="3254" ht="20" customHeight="1">
      <x:c r="A3254" s="1" t="str">
        <x:v>22457</x:v>
      </x:c>
      <x:c r="B3254" s="9" t="d">
        <x:v>2011-10-25T00:00:00.000Z</x:v>
      </x:c>
      <x:c r="C3254" s="13" t="n">
        <x:v>0</x:v>
      </x:c>
    </x:row>
    <x:row r="3255" ht="20" customHeight="1">
      <x:c r="A3255" s="1" t="str">
        <x:v>22457</x:v>
      </x:c>
      <x:c r="B3255" s="9" t="d">
        <x:v>2011-10-26T00:00:00.000Z</x:v>
      </x:c>
      <x:c r="C3255" s="13" t="n">
        <x:v>18</x:v>
      </x:c>
    </x:row>
    <x:row r="3256" ht="20" customHeight="1">
      <x:c r="A3256" s="1" t="str">
        <x:v>22457</x:v>
      </x:c>
      <x:c r="B3256" s="9" t="d">
        <x:v>2011-10-27T00:00:00.000Z</x:v>
      </x:c>
      <x:c r="C3256" s="13" t="n">
        <x:v>22</x:v>
      </x:c>
    </x:row>
    <x:row r="3257" ht="20" customHeight="1">
      <x:c r="A3257" s="1" t="str">
        <x:v>22457</x:v>
      </x:c>
      <x:c r="B3257" s="9" t="d">
        <x:v>2011-10-28T00:00:00.000Z</x:v>
      </x:c>
      <x:c r="C3257" s="13" t="n">
        <x:v>66</x:v>
      </x:c>
    </x:row>
    <x:row r="3258" ht="20" customHeight="1">
      <x:c r="A3258" s="1" t="str">
        <x:v>22457</x:v>
      </x:c>
      <x:c r="B3258" s="9" t="d">
        <x:v>2011-10-29T00:00:00.000Z</x:v>
      </x:c>
      <x:c r="C3258" s="13" t="n">
        <x:v>0</x:v>
      </x:c>
    </x:row>
    <x:row r="3259" ht="20" customHeight="1">
      <x:c r="A3259" s="1" t="str">
        <x:v>22457</x:v>
      </x:c>
      <x:c r="B3259" s="9" t="d">
        <x:v>2011-10-30T00:00:00.000Z</x:v>
      </x:c>
      <x:c r="C3259" s="13" t="n">
        <x:v>11</x:v>
      </x:c>
    </x:row>
    <x:row r="3260" ht="20" customHeight="1">
      <x:c r="A3260" s="1" t="str">
        <x:v>22457</x:v>
      </x:c>
      <x:c r="B3260" s="9" t="d">
        <x:v>2011-10-31T00:00:00.000Z</x:v>
      </x:c>
      <x:c r="C3260" s="13" t="n">
        <x:v>29</x:v>
      </x:c>
    </x:row>
    <x:row r="3261" ht="20" customHeight="1">
      <x:c r="A3261" s="1" t="str">
        <x:v>22457</x:v>
      </x:c>
      <x:c r="B3261" s="9" t="d">
        <x:v>2011-11-01T00:00:00.000Z</x:v>
      </x:c>
      <x:c r="C3261" s="13" t="n">
        <x:v>12</x:v>
      </x:c>
    </x:row>
    <x:row r="3262" ht="20" customHeight="1">
      <x:c r="A3262" s="1" t="str">
        <x:v>22457</x:v>
      </x:c>
      <x:c r="B3262" s="9" t="d">
        <x:v>2011-11-02T00:00:00.000Z</x:v>
      </x:c>
      <x:c r="C3262" s="13" t="n">
        <x:v>8</x:v>
      </x:c>
    </x:row>
    <x:row r="3263" ht="20" customHeight="1">
      <x:c r="A3263" s="1" t="str">
        <x:v>22457</x:v>
      </x:c>
      <x:c r="B3263" s="9" t="d">
        <x:v>2011-11-03T00:00:00.000Z</x:v>
      </x:c>
      <x:c r="C3263" s="13" t="n">
        <x:v>29</x:v>
      </x:c>
    </x:row>
    <x:row r="3264" ht="20" customHeight="1">
      <x:c r="A3264" s="1" t="str">
        <x:v>22457</x:v>
      </x:c>
      <x:c r="B3264" s="9" t="d">
        <x:v>2011-11-04T00:00:00.000Z</x:v>
      </x:c>
      <x:c r="C3264" s="13" t="n">
        <x:v>22</x:v>
      </x:c>
    </x:row>
    <x:row r="3265" ht="20" customHeight="1">
      <x:c r="A3265" s="1" t="str">
        <x:v>22457</x:v>
      </x:c>
      <x:c r="B3265" s="9" t="d">
        <x:v>2011-11-05T00:00:00.000Z</x:v>
      </x:c>
      <x:c r="C3265" s="13" t="n">
        <x:v>0</x:v>
      </x:c>
    </x:row>
    <x:row r="3266" ht="20" customHeight="1">
      <x:c r="A3266" s="1" t="str">
        <x:v>22457</x:v>
      </x:c>
      <x:c r="B3266" s="9" t="d">
        <x:v>2011-11-06T00:00:00.000Z</x:v>
      </x:c>
      <x:c r="C3266" s="13" t="n">
        <x:v>39</x:v>
      </x:c>
    </x:row>
    <x:row r="3267" ht="20" customHeight="1">
      <x:c r="A3267" s="1" t="str">
        <x:v>22457</x:v>
      </x:c>
      <x:c r="B3267" s="9" t="d">
        <x:v>2011-11-07T00:00:00.000Z</x:v>
      </x:c>
      <x:c r="C3267" s="13" t="n">
        <x:v>20</x:v>
      </x:c>
    </x:row>
    <x:row r="3268" ht="20" customHeight="1">
      <x:c r="A3268" s="1" t="str">
        <x:v>22457</x:v>
      </x:c>
      <x:c r="B3268" s="9" t="d">
        <x:v>2011-11-08T00:00:00.000Z</x:v>
      </x:c>
      <x:c r="C3268" s="13" t="n">
        <x:v>49</x:v>
      </x:c>
    </x:row>
    <x:row r="3269" ht="20" customHeight="1">
      <x:c r="A3269" s="1" t="str">
        <x:v>22457</x:v>
      </x:c>
      <x:c r="B3269" s="9" t="d">
        <x:v>2011-11-09T00:00:00.000Z</x:v>
      </x:c>
      <x:c r="C3269" s="13" t="n">
        <x:v>30</x:v>
      </x:c>
    </x:row>
    <x:row r="3270" ht="20" customHeight="1">
      <x:c r="A3270" s="1" t="str">
        <x:v>22457</x:v>
      </x:c>
      <x:c r="B3270" s="9" t="d">
        <x:v>2011-11-10T00:00:00.000Z</x:v>
      </x:c>
      <x:c r="C3270" s="13" t="n">
        <x:v>81</x:v>
      </x:c>
    </x:row>
    <x:row r="3271" ht="20" customHeight="1">
      <x:c r="A3271" s="1" t="str">
        <x:v>22457</x:v>
      </x:c>
      <x:c r="B3271" s="9" t="d">
        <x:v>2011-11-11T00:00:00.000Z</x:v>
      </x:c>
      <x:c r="C3271" s="13" t="n">
        <x:v>44</x:v>
      </x:c>
    </x:row>
    <x:row r="3272" ht="20" customHeight="1">
      <x:c r="A3272" s="1" t="str">
        <x:v>22457</x:v>
      </x:c>
      <x:c r="B3272" s="9" t="d">
        <x:v>2011-11-12T00:00:00.000Z</x:v>
      </x:c>
      <x:c r="C3272" s="13" t="n">
        <x:v>0</x:v>
      </x:c>
    </x:row>
    <x:row r="3273" ht="20" customHeight="1">
      <x:c r="A3273" s="1" t="str">
        <x:v>22457</x:v>
      </x:c>
      <x:c r="B3273" s="9" t="d">
        <x:v>2011-11-13T00:00:00.000Z</x:v>
      </x:c>
      <x:c r="C3273" s="13" t="n">
        <x:v>27</x:v>
      </x:c>
    </x:row>
    <x:row r="3274" ht="20" customHeight="1">
      <x:c r="A3274" s="1" t="str">
        <x:v>22457</x:v>
      </x:c>
      <x:c r="B3274" s="9" t="d">
        <x:v>2011-11-14T00:00:00.000Z</x:v>
      </x:c>
      <x:c r="C3274" s="13" t="n">
        <x:v>25</x:v>
      </x:c>
    </x:row>
    <x:row r="3275" ht="20" customHeight="1">
      <x:c r="A3275" s="1" t="str">
        <x:v>22457</x:v>
      </x:c>
      <x:c r="B3275" s="9" t="d">
        <x:v>2011-11-15T00:00:00.000Z</x:v>
      </x:c>
      <x:c r="C3275" s="13" t="n">
        <x:v>39</x:v>
      </x:c>
    </x:row>
    <x:row r="3276" ht="20" customHeight="1">
      <x:c r="A3276" s="1" t="str">
        <x:v>22457</x:v>
      </x:c>
      <x:c r="B3276" s="9" t="d">
        <x:v>2011-11-16T00:00:00.000Z</x:v>
      </x:c>
      <x:c r="C3276" s="13" t="n">
        <x:v>31</x:v>
      </x:c>
    </x:row>
    <x:row r="3277" ht="20" customHeight="1">
      <x:c r="A3277" s="1" t="str">
        <x:v>22457</x:v>
      </x:c>
      <x:c r="B3277" s="9" t="d">
        <x:v>2011-11-17T00:00:00.000Z</x:v>
      </x:c>
      <x:c r="C3277" s="13" t="n">
        <x:v>22</x:v>
      </x:c>
    </x:row>
    <x:row r="3278" ht="20" customHeight="1">
      <x:c r="A3278" s="1" t="str">
        <x:v>22457</x:v>
      </x:c>
      <x:c r="B3278" s="9" t="d">
        <x:v>2011-11-18T00:00:00.000Z</x:v>
      </x:c>
      <x:c r="C3278" s="13" t="n">
        <x:v>39</x:v>
      </x:c>
    </x:row>
    <x:row r="3279" ht="20" customHeight="1">
      <x:c r="A3279" s="1" t="str">
        <x:v>22457</x:v>
      </x:c>
      <x:c r="B3279" s="9" t="d">
        <x:v>2011-11-19T00:00:00.000Z</x:v>
      </x:c>
      <x:c r="C3279" s="13" t="n">
        <x:v>0</x:v>
      </x:c>
    </x:row>
    <x:row r="3280" ht="20" customHeight="1">
      <x:c r="A3280" s="1" t="str">
        <x:v>22457</x:v>
      </x:c>
      <x:c r="B3280" s="9" t="d">
        <x:v>2011-11-20T00:00:00.000Z</x:v>
      </x:c>
      <x:c r="C3280" s="13" t="n">
        <x:v>5</x:v>
      </x:c>
    </x:row>
    <x:row r="3281" ht="20" customHeight="1">
      <x:c r="A3281" s="1" t="str">
        <x:v>22457</x:v>
      </x:c>
      <x:c r="B3281" s="9" t="d">
        <x:v>2011-11-21T00:00:00.000Z</x:v>
      </x:c>
      <x:c r="C3281" s="13" t="n">
        <x:v>6</x:v>
      </x:c>
    </x:row>
    <x:row r="3282" ht="20" customHeight="1">
      <x:c r="A3282" s="1" t="str">
        <x:v>22457</x:v>
      </x:c>
      <x:c r="B3282" s="9" t="d">
        <x:v>2011-11-22T00:00:00.000Z</x:v>
      </x:c>
      <x:c r="C3282" s="13" t="n">
        <x:v>15</x:v>
      </x:c>
    </x:row>
    <x:row r="3283" ht="20" customHeight="1">
      <x:c r="A3283" s="1" t="str">
        <x:v>22457</x:v>
      </x:c>
      <x:c r="B3283" s="9" t="d">
        <x:v>2011-11-23T00:00:00.000Z</x:v>
      </x:c>
      <x:c r="C3283" s="13" t="n">
        <x:v>23</x:v>
      </x:c>
    </x:row>
    <x:row r="3284" ht="20" customHeight="1">
      <x:c r="A3284" s="1" t="str">
        <x:v>22457</x:v>
      </x:c>
      <x:c r="B3284" s="9" t="d">
        <x:v>2011-11-24T00:00:00.000Z</x:v>
      </x:c>
      <x:c r="C3284" s="13" t="n">
        <x:v>53</x:v>
      </x:c>
    </x:row>
    <x:row r="3285" ht="20" customHeight="1">
      <x:c r="A3285" s="1" t="str">
        <x:v>22457</x:v>
      </x:c>
      <x:c r="B3285" s="9" t="d">
        <x:v>2011-11-25T00:00:00.000Z</x:v>
      </x:c>
      <x:c r="C3285" s="13" t="n">
        <x:v>83</x:v>
      </x:c>
    </x:row>
    <x:row r="3286" ht="20" customHeight="1">
      <x:c r="A3286" s="1" t="str">
        <x:v>22457</x:v>
      </x:c>
      <x:c r="B3286" s="9" t="d">
        <x:v>2011-11-26T00:00:00.000Z</x:v>
      </x:c>
      <x:c r="C3286" s="13" t="n">
        <x:v>0</x:v>
      </x:c>
    </x:row>
    <x:row r="3287" ht="20" customHeight="1">
      <x:c r="A3287" s="1" t="str">
        <x:v>22457</x:v>
      </x:c>
      <x:c r="B3287" s="9" t="d">
        <x:v>2011-11-27T00:00:00.000Z</x:v>
      </x:c>
      <x:c r="C3287" s="13" t="n">
        <x:v>14</x:v>
      </x:c>
    </x:row>
    <x:row r="3288" ht="20" customHeight="1">
      <x:c r="A3288" s="1" t="str">
        <x:v>22457</x:v>
      </x:c>
      <x:c r="B3288" s="9" t="d">
        <x:v>2011-11-28T00:00:00.000Z</x:v>
      </x:c>
      <x:c r="C3288" s="13" t="n">
        <x:v>19</x:v>
      </x:c>
    </x:row>
    <x:row r="3289" ht="20" customHeight="1">
      <x:c r="A3289" s="1" t="str">
        <x:v>22457</x:v>
      </x:c>
      <x:c r="B3289" s="9" t="d">
        <x:v>2011-11-29T00:00:00.000Z</x:v>
      </x:c>
      <x:c r="C3289" s="13" t="n">
        <x:v>39</x:v>
      </x:c>
    </x:row>
    <x:row r="3290" ht="20" customHeight="1">
      <x:c r="A3290" s="1" t="str">
        <x:v>22457</x:v>
      </x:c>
      <x:c r="B3290" s="9" t="d">
        <x:v>2011-11-30T00:00:00.000Z</x:v>
      </x:c>
      <x:c r="C3290" s="13" t="n">
        <x:v>30</x:v>
      </x:c>
    </x:row>
    <x:row r="3291" ht="20" customHeight="1">
      <x:c r="A3291" s="1" t="str">
        <x:v>22469</x:v>
      </x:c>
      <x:c r="B3291" s="9" t="d">
        <x:v>2010-12-01T00:00:00.000Z</x:v>
      </x:c>
      <x:c r="C3291" s="13" t="n">
        <x:v>111</x:v>
      </x:c>
    </x:row>
    <x:row r="3292" ht="20" customHeight="1">
      <x:c r="A3292" s="1" t="str">
        <x:v>22469</x:v>
      </x:c>
      <x:c r="B3292" s="9" t="d">
        <x:v>2010-12-02T00:00:00.000Z</x:v>
      </x:c>
      <x:c r="C3292" s="13" t="n">
        <x:v>92</x:v>
      </x:c>
    </x:row>
    <x:row r="3293" ht="20" customHeight="1">
      <x:c r="A3293" s="1" t="str">
        <x:v>22469</x:v>
      </x:c>
      <x:c r="B3293" s="9" t="d">
        <x:v>2010-12-03T00:00:00.000Z</x:v>
      </x:c>
      <x:c r="C3293" s="13" t="n">
        <x:v>55</x:v>
      </x:c>
    </x:row>
    <x:row r="3294" ht="20" customHeight="1">
      <x:c r="A3294" s="1" t="str">
        <x:v>22469</x:v>
      </x:c>
      <x:c r="B3294" s="9" t="d">
        <x:v>2010-12-04T00:00:00.000Z</x:v>
      </x:c>
      <x:c r="C3294" s="13" t="n">
        <x:v>0</x:v>
      </x:c>
    </x:row>
    <x:row r="3295" ht="20" customHeight="1">
      <x:c r="A3295" s="1" t="str">
        <x:v>22469</x:v>
      </x:c>
      <x:c r="B3295" s="9" t="d">
        <x:v>2010-12-05T00:00:00.000Z</x:v>
      </x:c>
      <x:c r="C3295" s="13" t="n">
        <x:v>64</x:v>
      </x:c>
    </x:row>
    <x:row r="3296" ht="20" customHeight="1">
      <x:c r="A3296" s="1" t="str">
        <x:v>22469</x:v>
      </x:c>
      <x:c r="B3296" s="9" t="d">
        <x:v>2010-12-06T00:00:00.000Z</x:v>
      </x:c>
      <x:c r="C3296" s="13" t="n">
        <x:v>87</x:v>
      </x:c>
    </x:row>
    <x:row r="3297" ht="20" customHeight="1">
      <x:c r="A3297" s="1" t="str">
        <x:v>22469</x:v>
      </x:c>
      <x:c r="B3297" s="9" t="d">
        <x:v>2010-12-07T00:00:00.000Z</x:v>
      </x:c>
      <x:c r="C3297" s="13" t="n">
        <x:v>542</x:v>
      </x:c>
    </x:row>
    <x:row r="3298" ht="20" customHeight="1">
      <x:c r="A3298" s="1" t="str">
        <x:v>22469</x:v>
      </x:c>
      <x:c r="B3298" s="9" t="d">
        <x:v>2010-12-08T00:00:00.000Z</x:v>
      </x:c>
      <x:c r="C3298" s="13" t="n">
        <x:v>59</x:v>
      </x:c>
    </x:row>
    <x:row r="3299" ht="20" customHeight="1">
      <x:c r="A3299" s="1" t="str">
        <x:v>22469</x:v>
      </x:c>
      <x:c r="B3299" s="9" t="d">
        <x:v>2010-12-09T00:00:00.000Z</x:v>
      </x:c>
      <x:c r="C3299" s="13" t="n">
        <x:v>95</x:v>
      </x:c>
    </x:row>
    <x:row r="3300" ht="20" customHeight="1">
      <x:c r="A3300" s="1" t="str">
        <x:v>22469</x:v>
      </x:c>
      <x:c r="B3300" s="9" t="d">
        <x:v>2010-12-10T00:00:00.000Z</x:v>
      </x:c>
      <x:c r="C3300" s="13" t="n">
        <x:v>43</x:v>
      </x:c>
    </x:row>
    <x:row r="3301" ht="20" customHeight="1">
      <x:c r="A3301" s="1" t="str">
        <x:v>22469</x:v>
      </x:c>
      <x:c r="B3301" s="9" t="d">
        <x:v>2010-12-11T00:00:00.000Z</x:v>
      </x:c>
      <x:c r="C3301" s="13" t="n">
        <x:v>0</x:v>
      </x:c>
    </x:row>
    <x:row r="3302" ht="20" customHeight="1">
      <x:c r="A3302" s="1" t="str">
        <x:v>22469</x:v>
      </x:c>
      <x:c r="B3302" s="9" t="d">
        <x:v>2010-12-12T00:00:00.000Z</x:v>
      </x:c>
      <x:c r="C3302" s="13" t="n">
        <x:v>43</x:v>
      </x:c>
    </x:row>
    <x:row r="3303" ht="20" customHeight="1">
      <x:c r="A3303" s="1" t="str">
        <x:v>22469</x:v>
      </x:c>
      <x:c r="B3303" s="9" t="d">
        <x:v>2010-12-13T00:00:00.000Z</x:v>
      </x:c>
      <x:c r="C3303" s="13" t="n">
        <x:v>156</x:v>
      </x:c>
    </x:row>
    <x:row r="3304" ht="20" customHeight="1">
      <x:c r="A3304" s="1" t="str">
        <x:v>22469</x:v>
      </x:c>
      <x:c r="B3304" s="9" t="d">
        <x:v>2010-12-14T00:00:00.000Z</x:v>
      </x:c>
      <x:c r="C3304" s="13" t="n">
        <x:v>31</x:v>
      </x:c>
    </x:row>
    <x:row r="3305" ht="20" customHeight="1">
      <x:c r="A3305" s="1" t="str">
        <x:v>22469</x:v>
      </x:c>
      <x:c r="B3305" s="9" t="d">
        <x:v>2010-12-15T00:00:00.000Z</x:v>
      </x:c>
      <x:c r="C3305" s="13" t="n">
        <x:v>117</x:v>
      </x:c>
    </x:row>
    <x:row r="3306" ht="20" customHeight="1">
      <x:c r="A3306" s="1" t="str">
        <x:v>22469</x:v>
      </x:c>
      <x:c r="B3306" s="9" t="d">
        <x:v>2010-12-16T00:00:00.000Z</x:v>
      </x:c>
      <x:c r="C3306" s="13" t="n">
        <x:v>52</x:v>
      </x:c>
    </x:row>
    <x:row r="3307" ht="20" customHeight="1">
      <x:c r="A3307" s="1" t="str">
        <x:v>22469</x:v>
      </x:c>
      <x:c r="B3307" s="9" t="d">
        <x:v>2010-12-17T00:00:00.000Z</x:v>
      </x:c>
      <x:c r="C3307" s="13" t="n">
        <x:v>48</x:v>
      </x:c>
    </x:row>
    <x:row r="3308" ht="20" customHeight="1">
      <x:c r="A3308" s="1" t="str">
        <x:v>22469</x:v>
      </x:c>
      <x:c r="B3308" s="9" t="d">
        <x:v>2010-12-18T00:00:00.000Z</x:v>
      </x:c>
      <x:c r="C3308" s="13" t="n">
        <x:v>0</x:v>
      </x:c>
    </x:row>
    <x:row r="3309" ht="20" customHeight="1">
      <x:c r="A3309" s="1" t="str">
        <x:v>22469</x:v>
      </x:c>
      <x:c r="B3309" s="9" t="d">
        <x:v>2010-12-19T00:00:00.000Z</x:v>
      </x:c>
      <x:c r="C3309" s="13" t="n">
        <x:v>0</x:v>
      </x:c>
    </x:row>
    <x:row r="3310" ht="20" customHeight="1">
      <x:c r="A3310" s="1" t="str">
        <x:v>22469</x:v>
      </x:c>
      <x:c r="B3310" s="9" t="d">
        <x:v>2010-12-20T00:00:00.000Z</x:v>
      </x:c>
      <x:c r="C3310" s="13" t="n">
        <x:v>96</x:v>
      </x:c>
    </x:row>
    <x:row r="3311" ht="20" customHeight="1">
      <x:c r="A3311" s="1" t="str">
        <x:v>22469</x:v>
      </x:c>
      <x:c r="B3311" s="9" t="d">
        <x:v>2010-12-21T00:00:00.000Z</x:v>
      </x:c>
      <x:c r="C3311" s="13" t="n">
        <x:v>41</x:v>
      </x:c>
    </x:row>
    <x:row r="3312" ht="20" customHeight="1">
      <x:c r="A3312" s="1" t="str">
        <x:v>22469</x:v>
      </x:c>
      <x:c r="B3312" s="9" t="d">
        <x:v>2010-12-22T00:00:00.000Z</x:v>
      </x:c>
      <x:c r="C3312" s="13" t="n">
        <x:v>24</x:v>
      </x:c>
    </x:row>
    <x:row r="3313" ht="20" customHeight="1">
      <x:c r="A3313" s="1" t="str">
        <x:v>22469</x:v>
      </x:c>
      <x:c r="B3313" s="9" t="d">
        <x:v>2010-12-23T00:00:00.000Z</x:v>
      </x:c>
      <x:c r="C3313" s="13" t="n">
        <x:v>43</x:v>
      </x:c>
    </x:row>
    <x:row r="3314" ht="20" customHeight="1">
      <x:c r="A3314" s="1" t="str">
        <x:v>22469</x:v>
      </x:c>
      <x:c r="B3314" s="9" t="d">
        <x:v>2010-12-24T00:00:00.000Z</x:v>
      </x:c>
      <x:c r="C3314" s="13" t="n">
        <x:v>0</x:v>
      </x:c>
    </x:row>
    <x:row r="3315" ht="20" customHeight="1">
      <x:c r="A3315" s="1" t="str">
        <x:v>22469</x:v>
      </x:c>
      <x:c r="B3315" s="9" t="d">
        <x:v>2010-12-25T00:00:00.000Z</x:v>
      </x:c>
      <x:c r="C3315" s="13" t="n">
        <x:v>0</x:v>
      </x:c>
    </x:row>
    <x:row r="3316" ht="20" customHeight="1">
      <x:c r="A3316" s="1" t="str">
        <x:v>22469</x:v>
      </x:c>
      <x:c r="B3316" s="9" t="d">
        <x:v>2010-12-26T00:00:00.000Z</x:v>
      </x:c>
      <x:c r="C3316" s="13" t="n">
        <x:v>0</x:v>
      </x:c>
    </x:row>
    <x:row r="3317" ht="20" customHeight="1">
      <x:c r="A3317" s="1" t="str">
        <x:v>22469</x:v>
      </x:c>
      <x:c r="B3317" s="9" t="d">
        <x:v>2010-12-27T00:00:00.000Z</x:v>
      </x:c>
      <x:c r="C3317" s="13" t="n">
        <x:v>0</x:v>
      </x:c>
    </x:row>
    <x:row r="3318" ht="20" customHeight="1">
      <x:c r="A3318" s="1" t="str">
        <x:v>22469</x:v>
      </x:c>
      <x:c r="B3318" s="9" t="d">
        <x:v>2010-12-28T00:00:00.000Z</x:v>
      </x:c>
      <x:c r="C3318" s="13" t="n">
        <x:v>0</x:v>
      </x:c>
    </x:row>
    <x:row r="3319" ht="20" customHeight="1">
      <x:c r="A3319" s="1" t="str">
        <x:v>22469</x:v>
      </x:c>
      <x:c r="B3319" s="9" t="d">
        <x:v>2010-12-29T00:00:00.000Z</x:v>
      </x:c>
      <x:c r="C3319" s="13" t="n">
        <x:v>0</x:v>
      </x:c>
    </x:row>
    <x:row r="3320" ht="20" customHeight="1">
      <x:c r="A3320" s="1" t="str">
        <x:v>22469</x:v>
      </x:c>
      <x:c r="B3320" s="9" t="d">
        <x:v>2010-12-30T00:00:00.000Z</x:v>
      </x:c>
      <x:c r="C3320" s="13" t="n">
        <x:v>0</x:v>
      </x:c>
    </x:row>
    <x:row r="3321" ht="20" customHeight="1">
      <x:c r="A3321" s="1" t="str">
        <x:v>22469</x:v>
      </x:c>
      <x:c r="B3321" s="9" t="d">
        <x:v>2010-12-31T00:00:00.000Z</x:v>
      </x:c>
      <x:c r="C3321" s="13" t="n">
        <x:v>0</x:v>
      </x:c>
    </x:row>
    <x:row r="3322" ht="20" customHeight="1">
      <x:c r="A3322" s="1" t="str">
        <x:v>22469</x:v>
      </x:c>
      <x:c r="B3322" s="9" t="d">
        <x:v>2011-01-01T00:00:00.000Z</x:v>
      </x:c>
      <x:c r="C3322" s="13" t="n">
        <x:v>0</x:v>
      </x:c>
    </x:row>
    <x:row r="3323" ht="20" customHeight="1">
      <x:c r="A3323" s="1" t="str">
        <x:v>22469</x:v>
      </x:c>
      <x:c r="B3323" s="9" t="d">
        <x:v>2011-01-02T00:00:00.000Z</x:v>
      </x:c>
      <x:c r="C3323" s="13" t="n">
        <x:v>0</x:v>
      </x:c>
    </x:row>
    <x:row r="3324" ht="20" customHeight="1">
      <x:c r="A3324" s="1" t="str">
        <x:v>22469</x:v>
      </x:c>
      <x:c r="B3324" s="9" t="d">
        <x:v>2011-01-03T00:00:00.000Z</x:v>
      </x:c>
      <x:c r="C3324" s="13" t="n">
        <x:v>0</x:v>
      </x:c>
    </x:row>
    <x:row r="3325" ht="20" customHeight="1">
      <x:c r="A3325" s="1" t="str">
        <x:v>22469</x:v>
      </x:c>
      <x:c r="B3325" s="9" t="d">
        <x:v>2011-01-04T00:00:00.000Z</x:v>
      </x:c>
      <x:c r="C3325" s="13" t="n">
        <x:v>74</x:v>
      </x:c>
    </x:row>
    <x:row r="3326" ht="20" customHeight="1">
      <x:c r="A3326" s="1" t="str">
        <x:v>22469</x:v>
      </x:c>
      <x:c r="B3326" s="9" t="d">
        <x:v>2011-01-05T00:00:00.000Z</x:v>
      </x:c>
      <x:c r="C3326" s="13" t="n">
        <x:v>151</x:v>
      </x:c>
    </x:row>
    <x:row r="3327" ht="20" customHeight="1">
      <x:c r="A3327" s="1" t="str">
        <x:v>22469</x:v>
      </x:c>
      <x:c r="B3327" s="9" t="d">
        <x:v>2011-01-06T00:00:00.000Z</x:v>
      </x:c>
      <x:c r="C3327" s="13" t="n">
        <x:v>62</x:v>
      </x:c>
    </x:row>
    <x:row r="3328" ht="20" customHeight="1">
      <x:c r="A3328" s="1" t="str">
        <x:v>22469</x:v>
      </x:c>
      <x:c r="B3328" s="9" t="d">
        <x:v>2011-01-07T00:00:00.000Z</x:v>
      </x:c>
      <x:c r="C3328" s="13" t="n">
        <x:v>52</x:v>
      </x:c>
    </x:row>
    <x:row r="3329" ht="20" customHeight="1">
      <x:c r="A3329" s="1" t="str">
        <x:v>22469</x:v>
      </x:c>
      <x:c r="B3329" s="9" t="d">
        <x:v>2011-01-08T00:00:00.000Z</x:v>
      </x:c>
      <x:c r="C3329" s="13" t="n">
        <x:v>0</x:v>
      </x:c>
    </x:row>
    <x:row r="3330" ht="20" customHeight="1">
      <x:c r="A3330" s="1" t="str">
        <x:v>22469</x:v>
      </x:c>
      <x:c r="B3330" s="9" t="d">
        <x:v>2011-01-09T00:00:00.000Z</x:v>
      </x:c>
      <x:c r="C3330" s="13" t="n">
        <x:v>26</x:v>
      </x:c>
    </x:row>
    <x:row r="3331" ht="20" customHeight="1">
      <x:c r="A3331" s="1" t="str">
        <x:v>22469</x:v>
      </x:c>
      <x:c r="B3331" s="9" t="d">
        <x:v>2011-01-10T00:00:00.000Z</x:v>
      </x:c>
      <x:c r="C3331" s="13" t="n">
        <x:v>49</x:v>
      </x:c>
    </x:row>
    <x:row r="3332" ht="20" customHeight="1">
      <x:c r="A3332" s="1" t="str">
        <x:v>22469</x:v>
      </x:c>
      <x:c r="B3332" s="9" t="d">
        <x:v>2011-01-11T00:00:00.000Z</x:v>
      </x:c>
      <x:c r="C3332" s="13" t="n">
        <x:v>1405</x:v>
      </x:c>
    </x:row>
    <x:row r="3333" ht="20" customHeight="1">
      <x:c r="A3333" s="1" t="str">
        <x:v>22469</x:v>
      </x:c>
      <x:c r="B3333" s="9" t="d">
        <x:v>2011-01-12T00:00:00.000Z</x:v>
      </x:c>
      <x:c r="C3333" s="13" t="n">
        <x:v>19</x:v>
      </x:c>
    </x:row>
    <x:row r="3334" ht="20" customHeight="1">
      <x:c r="A3334" s="1" t="str">
        <x:v>22469</x:v>
      </x:c>
      <x:c r="B3334" s="9" t="d">
        <x:v>2011-01-13T00:00:00.000Z</x:v>
      </x:c>
      <x:c r="C3334" s="13" t="n">
        <x:v>46</x:v>
      </x:c>
    </x:row>
    <x:row r="3335" ht="20" customHeight="1">
      <x:c r="A3335" s="1" t="str">
        <x:v>22469</x:v>
      </x:c>
      <x:c r="B3335" s="9" t="d">
        <x:v>2011-01-14T00:00:00.000Z</x:v>
      </x:c>
      <x:c r="C3335" s="13" t="n">
        <x:v>18</x:v>
      </x:c>
    </x:row>
    <x:row r="3336" ht="20" customHeight="1">
      <x:c r="A3336" s="1" t="str">
        <x:v>22469</x:v>
      </x:c>
      <x:c r="B3336" s="9" t="d">
        <x:v>2011-01-15T00:00:00.000Z</x:v>
      </x:c>
      <x:c r="C3336" s="13" t="n">
        <x:v>0</x:v>
      </x:c>
    </x:row>
    <x:row r="3337" ht="20" customHeight="1">
      <x:c r="A3337" s="1" t="str">
        <x:v>22469</x:v>
      </x:c>
      <x:c r="B3337" s="9" t="d">
        <x:v>2011-01-16T00:00:00.000Z</x:v>
      </x:c>
      <x:c r="C3337" s="13" t="n">
        <x:v>37</x:v>
      </x:c>
    </x:row>
    <x:row r="3338" ht="20" customHeight="1">
      <x:c r="A3338" s="1" t="str">
        <x:v>22469</x:v>
      </x:c>
      <x:c r="B3338" s="9" t="d">
        <x:v>2011-01-17T00:00:00.000Z</x:v>
      </x:c>
      <x:c r="C3338" s="13" t="n">
        <x:v>197</x:v>
      </x:c>
    </x:row>
    <x:row r="3339" ht="20" customHeight="1">
      <x:c r="A3339" s="1" t="str">
        <x:v>22469</x:v>
      </x:c>
      <x:c r="B3339" s="9" t="d">
        <x:v>2011-01-18T00:00:00.000Z</x:v>
      </x:c>
      <x:c r="C3339" s="13" t="n">
        <x:v>42</x:v>
      </x:c>
    </x:row>
    <x:row r="3340" ht="20" customHeight="1">
      <x:c r="A3340" s="1" t="str">
        <x:v>22469</x:v>
      </x:c>
      <x:c r="B3340" s="9" t="d">
        <x:v>2011-01-19T00:00:00.000Z</x:v>
      </x:c>
      <x:c r="C3340" s="13" t="n">
        <x:v>54</x:v>
      </x:c>
    </x:row>
    <x:row r="3341" ht="20" customHeight="1">
      <x:c r="A3341" s="1" t="str">
        <x:v>22469</x:v>
      </x:c>
      <x:c r="B3341" s="9" t="d">
        <x:v>2011-01-20T00:00:00.000Z</x:v>
      </x:c>
      <x:c r="C3341" s="13" t="n">
        <x:v>19</x:v>
      </x:c>
    </x:row>
    <x:row r="3342" ht="20" customHeight="1">
      <x:c r="A3342" s="1" t="str">
        <x:v>22469</x:v>
      </x:c>
      <x:c r="B3342" s="9" t="d">
        <x:v>2011-01-21T00:00:00.000Z</x:v>
      </x:c>
      <x:c r="C3342" s="13" t="n">
        <x:v>62</x:v>
      </x:c>
    </x:row>
    <x:row r="3343" ht="20" customHeight="1">
      <x:c r="A3343" s="1" t="str">
        <x:v>22469</x:v>
      </x:c>
      <x:c r="B3343" s="9" t="d">
        <x:v>2011-01-22T00:00:00.000Z</x:v>
      </x:c>
      <x:c r="C3343" s="13" t="n">
        <x:v>0</x:v>
      </x:c>
    </x:row>
    <x:row r="3344" ht="20" customHeight="1">
      <x:c r="A3344" s="1" t="str">
        <x:v>22469</x:v>
      </x:c>
      <x:c r="B3344" s="9" t="d">
        <x:v>2011-01-23T00:00:00.000Z</x:v>
      </x:c>
      <x:c r="C3344" s="13" t="n">
        <x:v>31</x:v>
      </x:c>
    </x:row>
    <x:row r="3345" ht="20" customHeight="1">
      <x:c r="A3345" s="1" t="str">
        <x:v>22469</x:v>
      </x:c>
      <x:c r="B3345" s="9" t="d">
        <x:v>2011-01-24T00:00:00.000Z</x:v>
      </x:c>
      <x:c r="C3345" s="13" t="n">
        <x:v>130</x:v>
      </x:c>
    </x:row>
    <x:row r="3346" ht="20" customHeight="1">
      <x:c r="A3346" s="1" t="str">
        <x:v>22469</x:v>
      </x:c>
      <x:c r="B3346" s="9" t="d">
        <x:v>2011-01-25T00:00:00.000Z</x:v>
      </x:c>
      <x:c r="C3346" s="13" t="n">
        <x:v>148</x:v>
      </x:c>
    </x:row>
    <x:row r="3347" ht="20" customHeight="1">
      <x:c r="A3347" s="1" t="str">
        <x:v>22469</x:v>
      </x:c>
      <x:c r="B3347" s="9" t="d">
        <x:v>2011-01-26T00:00:00.000Z</x:v>
      </x:c>
      <x:c r="C3347" s="13" t="n">
        <x:v>183</x:v>
      </x:c>
    </x:row>
    <x:row r="3348" ht="20" customHeight="1">
      <x:c r="A3348" s="1" t="str">
        <x:v>22469</x:v>
      </x:c>
      <x:c r="B3348" s="9" t="d">
        <x:v>2011-01-27T00:00:00.000Z</x:v>
      </x:c>
      <x:c r="C3348" s="13" t="n">
        <x:v>28</x:v>
      </x:c>
    </x:row>
    <x:row r="3349" ht="20" customHeight="1">
      <x:c r="A3349" s="1" t="str">
        <x:v>22469</x:v>
      </x:c>
      <x:c r="B3349" s="9" t="d">
        <x:v>2011-01-28T00:00:00.000Z</x:v>
      </x:c>
      <x:c r="C3349" s="13" t="n">
        <x:v>21</x:v>
      </x:c>
    </x:row>
    <x:row r="3350" ht="20" customHeight="1">
      <x:c r="A3350" s="1" t="str">
        <x:v>22469</x:v>
      </x:c>
      <x:c r="B3350" s="9" t="d">
        <x:v>2011-01-29T00:00:00.000Z</x:v>
      </x:c>
      <x:c r="C3350" s="13" t="n">
        <x:v>0</x:v>
      </x:c>
    </x:row>
    <x:row r="3351" ht="20" customHeight="1">
      <x:c r="A3351" s="1" t="str">
        <x:v>22469</x:v>
      </x:c>
      <x:c r="B3351" s="9" t="d">
        <x:v>2011-01-30T00:00:00.000Z</x:v>
      </x:c>
      <x:c r="C3351" s="13" t="n">
        <x:v>44</x:v>
      </x:c>
    </x:row>
    <x:row r="3352" ht="20" customHeight="1">
      <x:c r="A3352" s="1" t="str">
        <x:v>22469</x:v>
      </x:c>
      <x:c r="B3352" s="9" t="d">
        <x:v>2011-01-31T00:00:00.000Z</x:v>
      </x:c>
      <x:c r="C3352" s="13" t="n">
        <x:v>20</x:v>
      </x:c>
    </x:row>
    <x:row r="3353" ht="20" customHeight="1">
      <x:c r="A3353" s="1" t="str">
        <x:v>22469</x:v>
      </x:c>
      <x:c r="B3353" s="9" t="d">
        <x:v>2011-02-01T00:00:00.000Z</x:v>
      </x:c>
      <x:c r="C3353" s="13" t="n">
        <x:v>87</x:v>
      </x:c>
    </x:row>
    <x:row r="3354" ht="20" customHeight="1">
      <x:c r="A3354" s="1" t="str">
        <x:v>22469</x:v>
      </x:c>
      <x:c r="B3354" s="9" t="d">
        <x:v>2011-02-02T00:00:00.000Z</x:v>
      </x:c>
      <x:c r="C3354" s="13" t="n">
        <x:v>86</x:v>
      </x:c>
    </x:row>
    <x:row r="3355" ht="20" customHeight="1">
      <x:c r="A3355" s="1" t="str">
        <x:v>22469</x:v>
      </x:c>
      <x:c r="B3355" s="9" t="d">
        <x:v>2011-02-03T00:00:00.000Z</x:v>
      </x:c>
      <x:c r="C3355" s="13" t="n">
        <x:v>117</x:v>
      </x:c>
    </x:row>
    <x:row r="3356" ht="20" customHeight="1">
      <x:c r="A3356" s="1" t="str">
        <x:v>22469</x:v>
      </x:c>
      <x:c r="B3356" s="9" t="d">
        <x:v>2011-02-04T00:00:00.000Z</x:v>
      </x:c>
      <x:c r="C3356" s="13" t="n">
        <x:v>55</x:v>
      </x:c>
    </x:row>
    <x:row r="3357" ht="20" customHeight="1">
      <x:c r="A3357" s="1" t="str">
        <x:v>22469</x:v>
      </x:c>
      <x:c r="B3357" s="9" t="d">
        <x:v>2011-02-05T00:00:00.000Z</x:v>
      </x:c>
      <x:c r="C3357" s="13" t="n">
        <x:v>0</x:v>
      </x:c>
    </x:row>
    <x:row r="3358" ht="20" customHeight="1">
      <x:c r="A3358" s="1" t="str">
        <x:v>22469</x:v>
      </x:c>
      <x:c r="B3358" s="9" t="d">
        <x:v>2011-02-06T00:00:00.000Z</x:v>
      </x:c>
      <x:c r="C3358" s="13" t="n">
        <x:v>3</x:v>
      </x:c>
    </x:row>
    <x:row r="3359" ht="20" customHeight="1">
      <x:c r="A3359" s="1" t="str">
        <x:v>22469</x:v>
      </x:c>
      <x:c r="B3359" s="9" t="d">
        <x:v>2011-02-07T00:00:00.000Z</x:v>
      </x:c>
      <x:c r="C3359" s="13" t="n">
        <x:v>13</x:v>
      </x:c>
    </x:row>
    <x:row r="3360" ht="20" customHeight="1">
      <x:c r="A3360" s="1" t="str">
        <x:v>22469</x:v>
      </x:c>
      <x:c r="B3360" s="9" t="d">
        <x:v>2011-02-08T00:00:00.000Z</x:v>
      </x:c>
      <x:c r="C3360" s="13" t="n">
        <x:v>62</x:v>
      </x:c>
    </x:row>
    <x:row r="3361" ht="20" customHeight="1">
      <x:c r="A3361" s="1" t="str">
        <x:v>22469</x:v>
      </x:c>
      <x:c r="B3361" s="9" t="d">
        <x:v>2011-02-09T00:00:00.000Z</x:v>
      </x:c>
      <x:c r="C3361" s="13" t="n">
        <x:v>27</x:v>
      </x:c>
    </x:row>
    <x:row r="3362" ht="20" customHeight="1">
      <x:c r="A3362" s="1" t="str">
        <x:v>22469</x:v>
      </x:c>
      <x:c r="B3362" s="9" t="d">
        <x:v>2011-02-10T00:00:00.000Z</x:v>
      </x:c>
      <x:c r="C3362" s="13" t="n">
        <x:v>43</x:v>
      </x:c>
    </x:row>
    <x:row r="3363" ht="20" customHeight="1">
      <x:c r="A3363" s="1" t="str">
        <x:v>22469</x:v>
      </x:c>
      <x:c r="B3363" s="9" t="d">
        <x:v>2011-02-11T00:00:00.000Z</x:v>
      </x:c>
      <x:c r="C3363" s="13" t="n">
        <x:v>47</x:v>
      </x:c>
    </x:row>
    <x:row r="3364" ht="20" customHeight="1">
      <x:c r="A3364" s="1" t="str">
        <x:v>22469</x:v>
      </x:c>
      <x:c r="B3364" s="9" t="d">
        <x:v>2011-02-12T00:00:00.000Z</x:v>
      </x:c>
      <x:c r="C3364" s="13" t="n">
        <x:v>0</x:v>
      </x:c>
    </x:row>
    <x:row r="3365" ht="20" customHeight="1">
      <x:c r="A3365" s="1" t="str">
        <x:v>22469</x:v>
      </x:c>
      <x:c r="B3365" s="9" t="d">
        <x:v>2011-02-13T00:00:00.000Z</x:v>
      </x:c>
      <x:c r="C3365" s="13" t="n">
        <x:v>14</x:v>
      </x:c>
    </x:row>
    <x:row r="3366" ht="20" customHeight="1">
      <x:c r="A3366" s="1" t="str">
        <x:v>22469</x:v>
      </x:c>
      <x:c r="B3366" s="9" t="d">
        <x:v>2011-02-14T00:00:00.000Z</x:v>
      </x:c>
      <x:c r="C3366" s="13" t="n">
        <x:v>28</x:v>
      </x:c>
    </x:row>
    <x:row r="3367" ht="20" customHeight="1">
      <x:c r="A3367" s="1" t="str">
        <x:v>22469</x:v>
      </x:c>
      <x:c r="B3367" s="9" t="d">
        <x:v>2011-02-15T00:00:00.000Z</x:v>
      </x:c>
      <x:c r="C3367" s="13" t="n">
        <x:v>38</x:v>
      </x:c>
    </x:row>
    <x:row r="3368" ht="20" customHeight="1">
      <x:c r="A3368" s="1" t="str">
        <x:v>22469</x:v>
      </x:c>
      <x:c r="B3368" s="9" t="d">
        <x:v>2011-02-16T00:00:00.000Z</x:v>
      </x:c>
      <x:c r="C3368" s="13" t="n">
        <x:v>120</x:v>
      </x:c>
    </x:row>
    <x:row r="3369" ht="20" customHeight="1">
      <x:c r="A3369" s="1" t="str">
        <x:v>22469</x:v>
      </x:c>
      <x:c r="B3369" s="9" t="d">
        <x:v>2011-02-17T00:00:00.000Z</x:v>
      </x:c>
      <x:c r="C3369" s="13" t="n">
        <x:v>42</x:v>
      </x:c>
    </x:row>
    <x:row r="3370" ht="20" customHeight="1">
      <x:c r="A3370" s="1" t="str">
        <x:v>22469</x:v>
      </x:c>
      <x:c r="B3370" s="9" t="d">
        <x:v>2011-02-18T00:00:00.000Z</x:v>
      </x:c>
      <x:c r="C3370" s="13" t="n">
        <x:v>1</x:v>
      </x:c>
    </x:row>
    <x:row r="3371" ht="20" customHeight="1">
      <x:c r="A3371" s="1" t="str">
        <x:v>22469</x:v>
      </x:c>
      <x:c r="B3371" s="9" t="d">
        <x:v>2011-02-19T00:00:00.000Z</x:v>
      </x:c>
      <x:c r="C3371" s="13" t="n">
        <x:v>0</x:v>
      </x:c>
    </x:row>
    <x:row r="3372" ht="20" customHeight="1">
      <x:c r="A3372" s="1" t="str">
        <x:v>22469</x:v>
      </x:c>
      <x:c r="B3372" s="9" t="d">
        <x:v>2011-02-20T00:00:00.000Z</x:v>
      </x:c>
      <x:c r="C3372" s="13" t="n">
        <x:v>10</x:v>
      </x:c>
    </x:row>
    <x:row r="3373" ht="20" customHeight="1">
      <x:c r="A3373" s="1" t="str">
        <x:v>22469</x:v>
      </x:c>
      <x:c r="B3373" s="9" t="d">
        <x:v>2011-02-21T00:00:00.000Z</x:v>
      </x:c>
      <x:c r="C3373" s="13" t="n">
        <x:v>15</x:v>
      </x:c>
    </x:row>
    <x:row r="3374" ht="20" customHeight="1">
      <x:c r="A3374" s="1" t="str">
        <x:v>22469</x:v>
      </x:c>
      <x:c r="B3374" s="9" t="d">
        <x:v>2011-02-22T00:00:00.000Z</x:v>
      </x:c>
      <x:c r="C3374" s="13" t="n">
        <x:v>21</x:v>
      </x:c>
    </x:row>
    <x:row r="3375" ht="20" customHeight="1">
      <x:c r="A3375" s="1" t="str">
        <x:v>22469</x:v>
      </x:c>
      <x:c r="B3375" s="9" t="d">
        <x:v>2011-02-23T00:00:00.000Z</x:v>
      </x:c>
      <x:c r="C3375" s="13" t="n">
        <x:v>105</x:v>
      </x:c>
    </x:row>
    <x:row r="3376" ht="20" customHeight="1">
      <x:c r="A3376" s="1" t="str">
        <x:v>22469</x:v>
      </x:c>
      <x:c r="B3376" s="9" t="d">
        <x:v>2011-02-24T00:00:00.000Z</x:v>
      </x:c>
      <x:c r="C3376" s="13" t="n">
        <x:v>124</x:v>
      </x:c>
    </x:row>
    <x:row r="3377" ht="20" customHeight="1">
      <x:c r="A3377" s="1" t="str">
        <x:v>22469</x:v>
      </x:c>
      <x:c r="B3377" s="9" t="d">
        <x:v>2011-02-25T00:00:00.000Z</x:v>
      </x:c>
      <x:c r="C3377" s="13" t="n">
        <x:v>86</x:v>
      </x:c>
    </x:row>
    <x:row r="3378" ht="20" customHeight="1">
      <x:c r="A3378" s="1" t="str">
        <x:v>22469</x:v>
      </x:c>
      <x:c r="B3378" s="9" t="d">
        <x:v>2011-02-26T00:00:00.000Z</x:v>
      </x:c>
      <x:c r="C3378" s="13" t="n">
        <x:v>0</x:v>
      </x:c>
    </x:row>
    <x:row r="3379" ht="20" customHeight="1">
      <x:c r="A3379" s="1" t="str">
        <x:v>22469</x:v>
      </x:c>
      <x:c r="B3379" s="9" t="d">
        <x:v>2011-02-27T00:00:00.000Z</x:v>
      </x:c>
      <x:c r="C3379" s="13" t="n">
        <x:v>103</x:v>
      </x:c>
    </x:row>
    <x:row r="3380" ht="20" customHeight="1">
      <x:c r="A3380" s="1" t="str">
        <x:v>22469</x:v>
      </x:c>
      <x:c r="B3380" s="9" t="d">
        <x:v>2011-02-28T00:00:00.000Z</x:v>
      </x:c>
      <x:c r="C3380" s="13" t="n">
        <x:v>48</x:v>
      </x:c>
    </x:row>
    <x:row r="3381" ht="20" customHeight="1">
      <x:c r="A3381" s="1" t="str">
        <x:v>22469</x:v>
      </x:c>
      <x:c r="B3381" s="9" t="d">
        <x:v>2011-03-01T00:00:00.000Z</x:v>
      </x:c>
      <x:c r="C3381" s="13" t="n">
        <x:v>65</x:v>
      </x:c>
    </x:row>
    <x:row r="3382" ht="20" customHeight="1">
      <x:c r="A3382" s="1" t="str">
        <x:v>22469</x:v>
      </x:c>
      <x:c r="B3382" s="9" t="d">
        <x:v>2011-03-02T00:00:00.000Z</x:v>
      </x:c>
      <x:c r="C3382" s="13" t="n">
        <x:v>36</x:v>
      </x:c>
    </x:row>
    <x:row r="3383" ht="20" customHeight="1">
      <x:c r="A3383" s="1" t="str">
        <x:v>22469</x:v>
      </x:c>
      <x:c r="B3383" s="9" t="d">
        <x:v>2011-03-03T00:00:00.000Z</x:v>
      </x:c>
      <x:c r="C3383" s="13" t="n">
        <x:v>45</x:v>
      </x:c>
    </x:row>
    <x:row r="3384" ht="20" customHeight="1">
      <x:c r="A3384" s="1" t="str">
        <x:v>22469</x:v>
      </x:c>
      <x:c r="B3384" s="9" t="d">
        <x:v>2011-03-04T00:00:00.000Z</x:v>
      </x:c>
      <x:c r="C3384" s="13" t="n">
        <x:v>16</x:v>
      </x:c>
    </x:row>
    <x:row r="3385" ht="20" customHeight="1">
      <x:c r="A3385" s="1" t="str">
        <x:v>22469</x:v>
      </x:c>
      <x:c r="B3385" s="9" t="d">
        <x:v>2011-03-05T00:00:00.000Z</x:v>
      </x:c>
      <x:c r="C3385" s="13" t="n">
        <x:v>0</x:v>
      </x:c>
    </x:row>
    <x:row r="3386" ht="20" customHeight="1">
      <x:c r="A3386" s="1" t="str">
        <x:v>22469</x:v>
      </x:c>
      <x:c r="B3386" s="9" t="d">
        <x:v>2011-03-06T00:00:00.000Z</x:v>
      </x:c>
      <x:c r="C3386" s="13" t="n">
        <x:v>10</x:v>
      </x:c>
    </x:row>
    <x:row r="3387" ht="20" customHeight="1">
      <x:c r="A3387" s="1" t="str">
        <x:v>22469</x:v>
      </x:c>
      <x:c r="B3387" s="9" t="d">
        <x:v>2011-03-07T00:00:00.000Z</x:v>
      </x:c>
      <x:c r="C3387" s="13" t="n">
        <x:v>40</x:v>
      </x:c>
    </x:row>
    <x:row r="3388" ht="20" customHeight="1">
      <x:c r="A3388" s="1" t="str">
        <x:v>22469</x:v>
      </x:c>
      <x:c r="B3388" s="9" t="d">
        <x:v>2011-03-08T00:00:00.000Z</x:v>
      </x:c>
      <x:c r="C3388" s="13" t="n">
        <x:v>29</x:v>
      </x:c>
    </x:row>
    <x:row r="3389" ht="20" customHeight="1">
      <x:c r="A3389" s="1" t="str">
        <x:v>22469</x:v>
      </x:c>
      <x:c r="B3389" s="9" t="d">
        <x:v>2011-03-09T00:00:00.000Z</x:v>
      </x:c>
      <x:c r="C3389" s="13" t="n">
        <x:v>606</x:v>
      </x:c>
    </x:row>
    <x:row r="3390" ht="20" customHeight="1">
      <x:c r="A3390" s="1" t="str">
        <x:v>22469</x:v>
      </x:c>
      <x:c r="B3390" s="9" t="d">
        <x:v>2011-03-10T00:00:00.000Z</x:v>
      </x:c>
      <x:c r="C3390" s="13" t="n">
        <x:v>32</x:v>
      </x:c>
    </x:row>
    <x:row r="3391" ht="20" customHeight="1">
      <x:c r="A3391" s="1" t="str">
        <x:v>22469</x:v>
      </x:c>
      <x:c r="B3391" s="9" t="d">
        <x:v>2011-03-11T00:00:00.000Z</x:v>
      </x:c>
      <x:c r="C3391" s="13" t="n">
        <x:v>1</x:v>
      </x:c>
    </x:row>
    <x:row r="3392" ht="20" customHeight="1">
      <x:c r="A3392" s="1" t="str">
        <x:v>22469</x:v>
      </x:c>
      <x:c r="B3392" s="9" t="d">
        <x:v>2011-03-12T00:00:00.000Z</x:v>
      </x:c>
      <x:c r="C3392" s="13" t="n">
        <x:v>0</x:v>
      </x:c>
    </x:row>
    <x:row r="3393" ht="20" customHeight="1">
      <x:c r="A3393" s="1" t="str">
        <x:v>22469</x:v>
      </x:c>
      <x:c r="B3393" s="9" t="d">
        <x:v>2011-03-13T00:00:00.000Z</x:v>
      </x:c>
      <x:c r="C3393" s="13" t="n">
        <x:v>0</x:v>
      </x:c>
    </x:row>
    <x:row r="3394" ht="20" customHeight="1">
      <x:c r="A3394" s="1" t="str">
        <x:v>22469</x:v>
      </x:c>
      <x:c r="B3394" s="9" t="d">
        <x:v>2011-03-14T00:00:00.000Z</x:v>
      </x:c>
      <x:c r="C3394" s="13" t="n">
        <x:v>0</x:v>
      </x:c>
    </x:row>
    <x:row r="3395" ht="20" customHeight="1">
      <x:c r="A3395" s="1" t="str">
        <x:v>22469</x:v>
      </x:c>
      <x:c r="B3395" s="9" t="d">
        <x:v>2011-03-15T00:00:00.000Z</x:v>
      </x:c>
      <x:c r="C3395" s="13" t="n">
        <x:v>1</x:v>
      </x:c>
    </x:row>
    <x:row r="3396" ht="20" customHeight="1">
      <x:c r="A3396" s="1" t="str">
        <x:v>22469</x:v>
      </x:c>
      <x:c r="B3396" s="9" t="d">
        <x:v>2011-03-16T00:00:00.000Z</x:v>
      </x:c>
      <x:c r="C3396" s="13" t="n">
        <x:v>0</x:v>
      </x:c>
    </x:row>
    <x:row r="3397" ht="20" customHeight="1">
      <x:c r="A3397" s="1" t="str">
        <x:v>22469</x:v>
      </x:c>
      <x:c r="B3397" s="9" t="d">
        <x:v>2011-03-17T00:00:00.000Z</x:v>
      </x:c>
      <x:c r="C3397" s="13" t="n">
        <x:v>4</x:v>
      </x:c>
    </x:row>
    <x:row r="3398" ht="20" customHeight="1">
      <x:c r="A3398" s="1" t="str">
        <x:v>22469</x:v>
      </x:c>
      <x:c r="B3398" s="9" t="d">
        <x:v>2011-03-18T00:00:00.000Z</x:v>
      </x:c>
      <x:c r="C3398" s="13" t="n">
        <x:v>0</x:v>
      </x:c>
    </x:row>
    <x:row r="3399" ht="20" customHeight="1">
      <x:c r="A3399" s="1" t="str">
        <x:v>22469</x:v>
      </x:c>
      <x:c r="B3399" s="9" t="d">
        <x:v>2011-03-19T00:00:00.000Z</x:v>
      </x:c>
      <x:c r="C3399" s="13" t="n">
        <x:v>0</x:v>
      </x:c>
    </x:row>
    <x:row r="3400" ht="20" customHeight="1">
      <x:c r="A3400" s="1" t="str">
        <x:v>22469</x:v>
      </x:c>
      <x:c r="B3400" s="9" t="d">
        <x:v>2011-03-20T00:00:00.000Z</x:v>
      </x:c>
      <x:c r="C3400" s="13" t="n">
        <x:v>3</x:v>
      </x:c>
    </x:row>
    <x:row r="3401" ht="20" customHeight="1">
      <x:c r="A3401" s="1" t="str">
        <x:v>22469</x:v>
      </x:c>
      <x:c r="B3401" s="9" t="d">
        <x:v>2011-03-21T00:00:00.000Z</x:v>
      </x:c>
      <x:c r="C3401" s="13" t="n">
        <x:v>0</x:v>
      </x:c>
    </x:row>
    <x:row r="3402" ht="20" customHeight="1">
      <x:c r="A3402" s="1" t="str">
        <x:v>22469</x:v>
      </x:c>
      <x:c r="B3402" s="9" t="d">
        <x:v>2011-03-22T00:00:00.000Z</x:v>
      </x:c>
      <x:c r="C3402" s="13" t="n">
        <x:v>0</x:v>
      </x:c>
    </x:row>
    <x:row r="3403" ht="20" customHeight="1">
      <x:c r="A3403" s="1" t="str">
        <x:v>22469</x:v>
      </x:c>
      <x:c r="B3403" s="9" t="d">
        <x:v>2011-03-23T00:00:00.000Z</x:v>
      </x:c>
      <x:c r="C3403" s="13" t="n">
        <x:v>0</x:v>
      </x:c>
    </x:row>
    <x:row r="3404" ht="20" customHeight="1">
      <x:c r="A3404" s="1" t="str">
        <x:v>22469</x:v>
      </x:c>
      <x:c r="B3404" s="9" t="d">
        <x:v>2011-03-24T00:00:00.000Z</x:v>
      </x:c>
      <x:c r="C3404" s="13" t="n">
        <x:v>0</x:v>
      </x:c>
    </x:row>
    <x:row r="3405" ht="20" customHeight="1">
      <x:c r="A3405" s="1" t="str">
        <x:v>22469</x:v>
      </x:c>
      <x:c r="B3405" s="9" t="d">
        <x:v>2011-03-25T00:00:00.000Z</x:v>
      </x:c>
      <x:c r="C3405" s="13" t="n">
        <x:v>0</x:v>
      </x:c>
    </x:row>
    <x:row r="3406" ht="20" customHeight="1">
      <x:c r="A3406" s="1" t="str">
        <x:v>22469</x:v>
      </x:c>
      <x:c r="B3406" s="9" t="d">
        <x:v>2011-03-26T00:00:00.000Z</x:v>
      </x:c>
      <x:c r="C3406" s="13" t="n">
        <x:v>0</x:v>
      </x:c>
    </x:row>
    <x:row r="3407" ht="20" customHeight="1">
      <x:c r="A3407" s="1" t="str">
        <x:v>22469</x:v>
      </x:c>
      <x:c r="B3407" s="9" t="d">
        <x:v>2011-03-27T00:00:00.000Z</x:v>
      </x:c>
      <x:c r="C3407" s="13" t="n">
        <x:v>0</x:v>
      </x:c>
    </x:row>
    <x:row r="3408" ht="20" customHeight="1">
      <x:c r="A3408" s="1" t="str">
        <x:v>22469</x:v>
      </x:c>
      <x:c r="B3408" s="9" t="d">
        <x:v>2011-03-28T00:00:00.000Z</x:v>
      </x:c>
      <x:c r="C3408" s="13" t="n">
        <x:v>0</x:v>
      </x:c>
    </x:row>
    <x:row r="3409" ht="20" customHeight="1">
      <x:c r="A3409" s="1" t="str">
        <x:v>22469</x:v>
      </x:c>
      <x:c r="B3409" s="9" t="d">
        <x:v>2011-03-29T00:00:00.000Z</x:v>
      </x:c>
      <x:c r="C3409" s="13" t="n">
        <x:v>66</x:v>
      </x:c>
    </x:row>
    <x:row r="3410" ht="20" customHeight="1">
      <x:c r="A3410" s="1" t="str">
        <x:v>22469</x:v>
      </x:c>
      <x:c r="B3410" s="9" t="d">
        <x:v>2011-03-30T00:00:00.000Z</x:v>
      </x:c>
      <x:c r="C3410" s="13" t="n">
        <x:v>1</x:v>
      </x:c>
    </x:row>
    <x:row r="3411" ht="20" customHeight="1">
      <x:c r="A3411" s="1" t="str">
        <x:v>22469</x:v>
      </x:c>
      <x:c r="B3411" s="9" t="d">
        <x:v>2011-03-31T00:00:00.000Z</x:v>
      </x:c>
      <x:c r="C3411" s="13" t="n">
        <x:v>1</x:v>
      </x:c>
    </x:row>
    <x:row r="3412" ht="20" customHeight="1">
      <x:c r="A3412" s="1" t="str">
        <x:v>22469</x:v>
      </x:c>
      <x:c r="B3412" s="9" t="d">
        <x:v>2011-04-01T00:00:00.000Z</x:v>
      </x:c>
      <x:c r="C3412" s="13" t="n">
        <x:v>0</x:v>
      </x:c>
    </x:row>
    <x:row r="3413" ht="20" customHeight="1">
      <x:c r="A3413" s="1" t="str">
        <x:v>22469</x:v>
      </x:c>
      <x:c r="B3413" s="9" t="d">
        <x:v>2011-04-02T00:00:00.000Z</x:v>
      </x:c>
      <x:c r="C3413" s="13" t="n">
        <x:v>0</x:v>
      </x:c>
    </x:row>
    <x:row r="3414" ht="20" customHeight="1">
      <x:c r="A3414" s="1" t="str">
        <x:v>22469</x:v>
      </x:c>
      <x:c r="B3414" s="9" t="d">
        <x:v>2011-04-03T00:00:00.000Z</x:v>
      </x:c>
      <x:c r="C3414" s="13" t="n">
        <x:v>0</x:v>
      </x:c>
    </x:row>
    <x:row r="3415" ht="20" customHeight="1">
      <x:c r="A3415" s="1" t="str">
        <x:v>22469</x:v>
      </x:c>
      <x:c r="B3415" s="9" t="d">
        <x:v>2011-04-04T00:00:00.000Z</x:v>
      </x:c>
      <x:c r="C3415" s="13" t="n">
        <x:v>5</x:v>
      </x:c>
    </x:row>
    <x:row r="3416" ht="20" customHeight="1">
      <x:c r="A3416" s="1" t="str">
        <x:v>22469</x:v>
      </x:c>
      <x:c r="B3416" s="9" t="d">
        <x:v>2011-04-05T00:00:00.000Z</x:v>
      </x:c>
      <x:c r="C3416" s="13" t="n">
        <x:v>2</x:v>
      </x:c>
    </x:row>
    <x:row r="3417" ht="20" customHeight="1">
      <x:c r="A3417" s="1" t="str">
        <x:v>22469</x:v>
      </x:c>
      <x:c r="B3417" s="9" t="d">
        <x:v>2011-04-06T00:00:00.000Z</x:v>
      </x:c>
      <x:c r="C3417" s="13" t="n">
        <x:v>0</x:v>
      </x:c>
    </x:row>
    <x:row r="3418" ht="20" customHeight="1">
      <x:c r="A3418" s="1" t="str">
        <x:v>22469</x:v>
      </x:c>
      <x:c r="B3418" s="9" t="d">
        <x:v>2011-04-07T00:00:00.000Z</x:v>
      </x:c>
      <x:c r="C3418" s="13" t="n">
        <x:v>0</x:v>
      </x:c>
    </x:row>
    <x:row r="3419" ht="20" customHeight="1">
      <x:c r="A3419" s="1" t="str">
        <x:v>22469</x:v>
      </x:c>
      <x:c r="B3419" s="9" t="d">
        <x:v>2011-04-08T00:00:00.000Z</x:v>
      </x:c>
      <x:c r="C3419" s="13" t="n">
        <x:v>5</x:v>
      </x:c>
    </x:row>
    <x:row r="3420" ht="20" customHeight="1">
      <x:c r="A3420" s="1" t="str">
        <x:v>22469</x:v>
      </x:c>
      <x:c r="B3420" s="9" t="d">
        <x:v>2011-04-09T00:00:00.000Z</x:v>
      </x:c>
      <x:c r="C3420" s="13" t="n">
        <x:v>0</x:v>
      </x:c>
    </x:row>
    <x:row r="3421" ht="20" customHeight="1">
      <x:c r="A3421" s="1" t="str">
        <x:v>22469</x:v>
      </x:c>
      <x:c r="B3421" s="9" t="d">
        <x:v>2011-04-10T00:00:00.000Z</x:v>
      </x:c>
      <x:c r="C3421" s="13" t="n">
        <x:v>0</x:v>
      </x:c>
    </x:row>
    <x:row r="3422" ht="20" customHeight="1">
      <x:c r="A3422" s="1" t="str">
        <x:v>22469</x:v>
      </x:c>
      <x:c r="B3422" s="9" t="d">
        <x:v>2011-04-11T00:00:00.000Z</x:v>
      </x:c>
      <x:c r="C3422" s="13" t="n">
        <x:v>0</x:v>
      </x:c>
    </x:row>
    <x:row r="3423" ht="20" customHeight="1">
      <x:c r="A3423" s="1" t="str">
        <x:v>22469</x:v>
      </x:c>
      <x:c r="B3423" s="9" t="d">
        <x:v>2011-04-12T00:00:00.000Z</x:v>
      </x:c>
      <x:c r="C3423" s="13" t="n">
        <x:v>0</x:v>
      </x:c>
    </x:row>
    <x:row r="3424" ht="20" customHeight="1">
      <x:c r="A3424" s="1" t="str">
        <x:v>22469</x:v>
      </x:c>
      <x:c r="B3424" s="9" t="d">
        <x:v>2011-04-13T00:00:00.000Z</x:v>
      </x:c>
      <x:c r="C3424" s="13" t="n">
        <x:v>0</x:v>
      </x:c>
    </x:row>
    <x:row r="3425" ht="20" customHeight="1">
      <x:c r="A3425" s="1" t="str">
        <x:v>22469</x:v>
      </x:c>
      <x:c r="B3425" s="9" t="d">
        <x:v>2011-04-14T00:00:00.000Z</x:v>
      </x:c>
      <x:c r="C3425" s="13" t="n">
        <x:v>0</x:v>
      </x:c>
    </x:row>
    <x:row r="3426" ht="20" customHeight="1">
      <x:c r="A3426" s="1" t="str">
        <x:v>22469</x:v>
      </x:c>
      <x:c r="B3426" s="9" t="d">
        <x:v>2011-04-15T00:00:00.000Z</x:v>
      </x:c>
      <x:c r="C3426" s="13" t="n">
        <x:v>0</x:v>
      </x:c>
    </x:row>
    <x:row r="3427" ht="20" customHeight="1">
      <x:c r="A3427" s="1" t="str">
        <x:v>22469</x:v>
      </x:c>
      <x:c r="B3427" s="9" t="d">
        <x:v>2011-04-16T00:00:00.000Z</x:v>
      </x:c>
      <x:c r="C3427" s="13" t="n">
        <x:v>0</x:v>
      </x:c>
    </x:row>
    <x:row r="3428" ht="20" customHeight="1">
      <x:c r="A3428" s="1" t="str">
        <x:v>22469</x:v>
      </x:c>
      <x:c r="B3428" s="9" t="d">
        <x:v>2011-04-17T00:00:00.000Z</x:v>
      </x:c>
      <x:c r="C3428" s="13" t="n">
        <x:v>0</x:v>
      </x:c>
    </x:row>
    <x:row r="3429" ht="20" customHeight="1">
      <x:c r="A3429" s="1" t="str">
        <x:v>22469</x:v>
      </x:c>
      <x:c r="B3429" s="9" t="d">
        <x:v>2011-04-18T00:00:00.000Z</x:v>
      </x:c>
      <x:c r="C3429" s="13" t="n">
        <x:v>30</x:v>
      </x:c>
    </x:row>
    <x:row r="3430" ht="20" customHeight="1">
      <x:c r="A3430" s="1" t="str">
        <x:v>22469</x:v>
      </x:c>
      <x:c r="B3430" s="9" t="d">
        <x:v>2011-04-19T00:00:00.000Z</x:v>
      </x:c>
      <x:c r="C3430" s="13" t="n">
        <x:v>0</x:v>
      </x:c>
    </x:row>
    <x:row r="3431" ht="20" customHeight="1">
      <x:c r="A3431" s="1" t="str">
        <x:v>22469</x:v>
      </x:c>
      <x:c r="B3431" s="9" t="d">
        <x:v>2011-04-20T00:00:00.000Z</x:v>
      </x:c>
      <x:c r="C3431" s="13" t="n">
        <x:v>0</x:v>
      </x:c>
    </x:row>
    <x:row r="3432" ht="20" customHeight="1">
      <x:c r="A3432" s="1" t="str">
        <x:v>22469</x:v>
      </x:c>
      <x:c r="B3432" s="9" t="d">
        <x:v>2011-04-21T00:00:00.000Z</x:v>
      </x:c>
      <x:c r="C3432" s="13" t="n">
        <x:v>0</x:v>
      </x:c>
    </x:row>
    <x:row r="3433" ht="20" customHeight="1">
      <x:c r="A3433" s="1" t="str">
        <x:v>22469</x:v>
      </x:c>
      <x:c r="B3433" s="9" t="d">
        <x:v>2011-04-22T00:00:00.000Z</x:v>
      </x:c>
      <x:c r="C3433" s="13" t="n">
        <x:v>0</x:v>
      </x:c>
    </x:row>
    <x:row r="3434" ht="20" customHeight="1">
      <x:c r="A3434" s="1" t="str">
        <x:v>22469</x:v>
      </x:c>
      <x:c r="B3434" s="9" t="d">
        <x:v>2011-04-23T00:00:00.000Z</x:v>
      </x:c>
      <x:c r="C3434" s="13" t="n">
        <x:v>0</x:v>
      </x:c>
    </x:row>
    <x:row r="3435" ht="20" customHeight="1">
      <x:c r="A3435" s="1" t="str">
        <x:v>22469</x:v>
      </x:c>
      <x:c r="B3435" s="9" t="d">
        <x:v>2011-04-24T00:00:00.000Z</x:v>
      </x:c>
      <x:c r="C3435" s="13" t="n">
        <x:v>0</x:v>
      </x:c>
    </x:row>
    <x:row r="3436" ht="20" customHeight="1">
      <x:c r="A3436" s="1" t="str">
        <x:v>22469</x:v>
      </x:c>
      <x:c r="B3436" s="9" t="d">
        <x:v>2011-04-25T00:00:00.000Z</x:v>
      </x:c>
      <x:c r="C3436" s="13" t="n">
        <x:v>0</x:v>
      </x:c>
    </x:row>
    <x:row r="3437" ht="20" customHeight="1">
      <x:c r="A3437" s="1" t="str">
        <x:v>22469</x:v>
      </x:c>
      <x:c r="B3437" s="9" t="d">
        <x:v>2011-04-26T00:00:00.000Z</x:v>
      </x:c>
      <x:c r="C3437" s="13" t="n">
        <x:v>0</x:v>
      </x:c>
    </x:row>
    <x:row r="3438" ht="20" customHeight="1">
      <x:c r="A3438" s="1" t="str">
        <x:v>22469</x:v>
      </x:c>
      <x:c r="B3438" s="9" t="d">
        <x:v>2011-04-27T00:00:00.000Z</x:v>
      </x:c>
      <x:c r="C3438" s="13" t="n">
        <x:v>0</x:v>
      </x:c>
    </x:row>
    <x:row r="3439" ht="20" customHeight="1">
      <x:c r="A3439" s="1" t="str">
        <x:v>22469</x:v>
      </x:c>
      <x:c r="B3439" s="9" t="d">
        <x:v>2011-04-28T00:00:00.000Z</x:v>
      </x:c>
      <x:c r="C3439" s="13" t="n">
        <x:v>0</x:v>
      </x:c>
    </x:row>
    <x:row r="3440" ht="20" customHeight="1">
      <x:c r="A3440" s="1" t="str">
        <x:v>22469</x:v>
      </x:c>
      <x:c r="B3440" s="9" t="d">
        <x:v>2011-04-29T00:00:00.000Z</x:v>
      </x:c>
      <x:c r="C3440" s="13" t="n">
        <x:v>0</x:v>
      </x:c>
    </x:row>
    <x:row r="3441" ht="20" customHeight="1">
      <x:c r="A3441" s="1" t="str">
        <x:v>22469</x:v>
      </x:c>
      <x:c r="B3441" s="9" t="d">
        <x:v>2011-04-30T00:00:00.000Z</x:v>
      </x:c>
      <x:c r="C3441" s="13" t="n">
        <x:v>0</x:v>
      </x:c>
    </x:row>
    <x:row r="3442" ht="20" customHeight="1">
      <x:c r="A3442" s="1" t="str">
        <x:v>22469</x:v>
      </x:c>
      <x:c r="B3442" s="9" t="d">
        <x:v>2011-05-01T00:00:00.000Z</x:v>
      </x:c>
      <x:c r="C3442" s="13" t="n">
        <x:v>0</x:v>
      </x:c>
    </x:row>
    <x:row r="3443" ht="20" customHeight="1">
      <x:c r="A3443" s="1" t="str">
        <x:v>22469</x:v>
      </x:c>
      <x:c r="B3443" s="9" t="d">
        <x:v>2011-05-02T00:00:00.000Z</x:v>
      </x:c>
      <x:c r="C3443" s="13" t="n">
        <x:v>0</x:v>
      </x:c>
    </x:row>
    <x:row r="3444" ht="20" customHeight="1">
      <x:c r="A3444" s="1" t="str">
        <x:v>22469</x:v>
      </x:c>
      <x:c r="B3444" s="9" t="d">
        <x:v>2011-05-03T00:00:00.000Z</x:v>
      </x:c>
      <x:c r="C3444" s="13" t="n">
        <x:v>0</x:v>
      </x:c>
    </x:row>
    <x:row r="3445" ht="20" customHeight="1">
      <x:c r="A3445" s="1" t="str">
        <x:v>22469</x:v>
      </x:c>
      <x:c r="B3445" s="9" t="d">
        <x:v>2011-05-04T00:00:00.000Z</x:v>
      </x:c>
      <x:c r="C3445" s="13" t="n">
        <x:v>0</x:v>
      </x:c>
    </x:row>
    <x:row r="3446" ht="20" customHeight="1">
      <x:c r="A3446" s="1" t="str">
        <x:v>22469</x:v>
      </x:c>
      <x:c r="B3446" s="9" t="d">
        <x:v>2011-05-05T00:00:00.000Z</x:v>
      </x:c>
      <x:c r="C3446" s="13" t="n">
        <x:v>0</x:v>
      </x:c>
    </x:row>
    <x:row r="3447" ht="20" customHeight="1">
      <x:c r="A3447" s="1" t="str">
        <x:v>22469</x:v>
      </x:c>
      <x:c r="B3447" s="9" t="d">
        <x:v>2011-05-06T00:00:00.000Z</x:v>
      </x:c>
      <x:c r="C3447" s="13" t="n">
        <x:v>0</x:v>
      </x:c>
    </x:row>
    <x:row r="3448" ht="20" customHeight="1">
      <x:c r="A3448" s="1" t="str">
        <x:v>22469</x:v>
      </x:c>
      <x:c r="B3448" s="9" t="d">
        <x:v>2011-05-07T00:00:00.000Z</x:v>
      </x:c>
      <x:c r="C3448" s="13" t="n">
        <x:v>0</x:v>
      </x:c>
    </x:row>
    <x:row r="3449" ht="20" customHeight="1">
      <x:c r="A3449" s="1" t="str">
        <x:v>22469</x:v>
      </x:c>
      <x:c r="B3449" s="9" t="d">
        <x:v>2011-05-08T00:00:00.000Z</x:v>
      </x:c>
      <x:c r="C3449" s="13" t="n">
        <x:v>0</x:v>
      </x:c>
    </x:row>
    <x:row r="3450" ht="20" customHeight="1">
      <x:c r="A3450" s="1" t="str">
        <x:v>22469</x:v>
      </x:c>
      <x:c r="B3450" s="9" t="d">
        <x:v>2011-05-09T00:00:00.000Z</x:v>
      </x:c>
      <x:c r="C3450" s="13" t="n">
        <x:v>0</x:v>
      </x:c>
    </x:row>
    <x:row r="3451" ht="20" customHeight="1">
      <x:c r="A3451" s="1" t="str">
        <x:v>22469</x:v>
      </x:c>
      <x:c r="B3451" s="9" t="d">
        <x:v>2011-05-10T00:00:00.000Z</x:v>
      </x:c>
      <x:c r="C3451" s="13" t="n">
        <x:v>0</x:v>
      </x:c>
    </x:row>
    <x:row r="3452" ht="20" customHeight="1">
      <x:c r="A3452" s="1" t="str">
        <x:v>22469</x:v>
      </x:c>
      <x:c r="B3452" s="9" t="d">
        <x:v>2011-05-11T00:00:00.000Z</x:v>
      </x:c>
      <x:c r="C3452" s="13" t="n">
        <x:v>0</x:v>
      </x:c>
    </x:row>
    <x:row r="3453" ht="20" customHeight="1">
      <x:c r="A3453" s="1" t="str">
        <x:v>22469</x:v>
      </x:c>
      <x:c r="B3453" s="9" t="d">
        <x:v>2011-05-12T00:00:00.000Z</x:v>
      </x:c>
      <x:c r="C3453" s="13" t="n">
        <x:v>0</x:v>
      </x:c>
    </x:row>
    <x:row r="3454" ht="20" customHeight="1">
      <x:c r="A3454" s="1" t="str">
        <x:v>22469</x:v>
      </x:c>
      <x:c r="B3454" s="9" t="d">
        <x:v>2011-05-13T00:00:00.000Z</x:v>
      </x:c>
      <x:c r="C3454" s="13" t="n">
        <x:v>0</x:v>
      </x:c>
    </x:row>
    <x:row r="3455" ht="20" customHeight="1">
      <x:c r="A3455" s="1" t="str">
        <x:v>22469</x:v>
      </x:c>
      <x:c r="B3455" s="9" t="d">
        <x:v>2011-05-14T00:00:00.000Z</x:v>
      </x:c>
      <x:c r="C3455" s="13" t="n">
        <x:v>0</x:v>
      </x:c>
    </x:row>
    <x:row r="3456" ht="20" customHeight="1">
      <x:c r="A3456" s="1" t="str">
        <x:v>22469</x:v>
      </x:c>
      <x:c r="B3456" s="9" t="d">
        <x:v>2011-05-15T00:00:00.000Z</x:v>
      </x:c>
      <x:c r="C3456" s="13" t="n">
        <x:v>0</x:v>
      </x:c>
    </x:row>
    <x:row r="3457" ht="20" customHeight="1">
      <x:c r="A3457" s="1" t="str">
        <x:v>22469</x:v>
      </x:c>
      <x:c r="B3457" s="9" t="d">
        <x:v>2011-05-16T00:00:00.000Z</x:v>
      </x:c>
      <x:c r="C3457" s="13" t="n">
        <x:v>0</x:v>
      </x:c>
    </x:row>
    <x:row r="3458" ht="20" customHeight="1">
      <x:c r="A3458" s="1" t="str">
        <x:v>22469</x:v>
      </x:c>
      <x:c r="B3458" s="9" t="d">
        <x:v>2011-05-17T00:00:00.000Z</x:v>
      </x:c>
      <x:c r="C3458" s="13" t="n">
        <x:v>350</x:v>
      </x:c>
    </x:row>
    <x:row r="3459" ht="20" customHeight="1">
      <x:c r="A3459" s="1" t="str">
        <x:v>22469</x:v>
      </x:c>
      <x:c r="B3459" s="9" t="d">
        <x:v>2011-05-18T00:00:00.000Z</x:v>
      </x:c>
      <x:c r="C3459" s="13" t="n">
        <x:v>29</x:v>
      </x:c>
    </x:row>
    <x:row r="3460" ht="20" customHeight="1">
      <x:c r="A3460" s="1" t="str">
        <x:v>22469</x:v>
      </x:c>
      <x:c r="B3460" s="9" t="d">
        <x:v>2011-05-19T00:00:00.000Z</x:v>
      </x:c>
      <x:c r="C3460" s="13" t="n">
        <x:v>208</x:v>
      </x:c>
    </x:row>
    <x:row r="3461" ht="20" customHeight="1">
      <x:c r="A3461" s="1" t="str">
        <x:v>22469</x:v>
      </x:c>
      <x:c r="B3461" s="9" t="d">
        <x:v>2011-05-20T00:00:00.000Z</x:v>
      </x:c>
      <x:c r="C3461" s="13" t="n">
        <x:v>95</x:v>
      </x:c>
    </x:row>
    <x:row r="3462" ht="20" customHeight="1">
      <x:c r="A3462" s="1" t="str">
        <x:v>22469</x:v>
      </x:c>
      <x:c r="B3462" s="9" t="d">
        <x:v>2011-05-21T00:00:00.000Z</x:v>
      </x:c>
      <x:c r="C3462" s="13" t="n">
        <x:v>0</x:v>
      </x:c>
    </x:row>
    <x:row r="3463" ht="20" customHeight="1">
      <x:c r="A3463" s="1" t="str">
        <x:v>22469</x:v>
      </x:c>
      <x:c r="B3463" s="9" t="d">
        <x:v>2011-05-22T00:00:00.000Z</x:v>
      </x:c>
      <x:c r="C3463" s="13" t="n">
        <x:v>101</x:v>
      </x:c>
    </x:row>
    <x:row r="3464" ht="20" customHeight="1">
      <x:c r="A3464" s="1" t="str">
        <x:v>22469</x:v>
      </x:c>
      <x:c r="B3464" s="9" t="d">
        <x:v>2011-05-23T00:00:00.000Z</x:v>
      </x:c>
      <x:c r="C3464" s="13" t="n">
        <x:v>89</x:v>
      </x:c>
    </x:row>
    <x:row r="3465" ht="20" customHeight="1">
      <x:c r="A3465" s="1" t="str">
        <x:v>22469</x:v>
      </x:c>
      <x:c r="B3465" s="9" t="d">
        <x:v>2011-05-24T00:00:00.000Z</x:v>
      </x:c>
      <x:c r="C3465" s="13" t="n">
        <x:v>148</x:v>
      </x:c>
    </x:row>
    <x:row r="3466" ht="20" customHeight="1">
      <x:c r="A3466" s="1" t="str">
        <x:v>22469</x:v>
      </x:c>
      <x:c r="B3466" s="9" t="d">
        <x:v>2011-05-25T00:00:00.000Z</x:v>
      </x:c>
      <x:c r="C3466" s="13" t="n">
        <x:v>123</x:v>
      </x:c>
    </x:row>
    <x:row r="3467" ht="20" customHeight="1">
      <x:c r="A3467" s="1" t="str">
        <x:v>22469</x:v>
      </x:c>
      <x:c r="B3467" s="9" t="d">
        <x:v>2011-05-26T00:00:00.000Z</x:v>
      </x:c>
      <x:c r="C3467" s="13" t="n">
        <x:v>801</x:v>
      </x:c>
    </x:row>
    <x:row r="3468" ht="20" customHeight="1">
      <x:c r="A3468" s="1" t="str">
        <x:v>22469</x:v>
      </x:c>
      <x:c r="B3468" s="9" t="d">
        <x:v>2011-05-27T00:00:00.000Z</x:v>
      </x:c>
      <x:c r="C3468" s="13" t="n">
        <x:v>24</x:v>
      </x:c>
    </x:row>
    <x:row r="3469" ht="20" customHeight="1">
      <x:c r="A3469" s="1" t="str">
        <x:v>22469</x:v>
      </x:c>
      <x:c r="B3469" s="9" t="d">
        <x:v>2011-05-28T00:00:00.000Z</x:v>
      </x:c>
      <x:c r="C3469" s="13" t="n">
        <x:v>0</x:v>
      </x:c>
    </x:row>
    <x:row r="3470" ht="20" customHeight="1">
      <x:c r="A3470" s="1" t="str">
        <x:v>22469</x:v>
      </x:c>
      <x:c r="B3470" s="9" t="d">
        <x:v>2011-05-29T00:00:00.000Z</x:v>
      </x:c>
      <x:c r="C3470" s="13" t="n">
        <x:v>20</x:v>
      </x:c>
    </x:row>
    <x:row r="3471" ht="20" customHeight="1">
      <x:c r="A3471" s="1" t="str">
        <x:v>22469</x:v>
      </x:c>
      <x:c r="B3471" s="9" t="d">
        <x:v>2011-05-30T00:00:00.000Z</x:v>
      </x:c>
      <x:c r="C3471" s="13" t="n">
        <x:v>0</x:v>
      </x:c>
    </x:row>
    <x:row r="3472" ht="20" customHeight="1">
      <x:c r="A3472" s="1" t="str">
        <x:v>22469</x:v>
      </x:c>
      <x:c r="B3472" s="9" t="d">
        <x:v>2011-05-31T00:00:00.000Z</x:v>
      </x:c>
      <x:c r="C3472" s="13" t="n">
        <x:v>45</x:v>
      </x:c>
    </x:row>
    <x:row r="3473" ht="20" customHeight="1">
      <x:c r="A3473" s="1" t="str">
        <x:v>22469</x:v>
      </x:c>
      <x:c r="B3473" s="9" t="d">
        <x:v>2011-06-01T00:00:00.000Z</x:v>
      </x:c>
      <x:c r="C3473" s="13" t="n">
        <x:v>78</x:v>
      </x:c>
    </x:row>
    <x:row r="3474" ht="20" customHeight="1">
      <x:c r="A3474" s="1" t="str">
        <x:v>22469</x:v>
      </x:c>
      <x:c r="B3474" s="9" t="d">
        <x:v>2011-06-02T00:00:00.000Z</x:v>
      </x:c>
      <x:c r="C3474" s="13" t="n">
        <x:v>106</x:v>
      </x:c>
    </x:row>
    <x:row r="3475" ht="20" customHeight="1">
      <x:c r="A3475" s="1" t="str">
        <x:v>22469</x:v>
      </x:c>
      <x:c r="B3475" s="9" t="d">
        <x:v>2011-06-03T00:00:00.000Z</x:v>
      </x:c>
      <x:c r="C3475" s="13" t="n">
        <x:v>94</x:v>
      </x:c>
    </x:row>
    <x:row r="3476" ht="20" customHeight="1">
      <x:c r="A3476" s="1" t="str">
        <x:v>22469</x:v>
      </x:c>
      <x:c r="B3476" s="9" t="d">
        <x:v>2011-06-04T00:00:00.000Z</x:v>
      </x:c>
      <x:c r="C3476" s="13" t="n">
        <x:v>0</x:v>
      </x:c>
    </x:row>
    <x:row r="3477" ht="20" customHeight="1">
      <x:c r="A3477" s="1" t="str">
        <x:v>22469</x:v>
      </x:c>
      <x:c r="B3477" s="9" t="d">
        <x:v>2011-06-05T00:00:00.000Z</x:v>
      </x:c>
      <x:c r="C3477" s="13" t="n">
        <x:v>98</x:v>
      </x:c>
    </x:row>
    <x:row r="3478" ht="20" customHeight="1">
      <x:c r="A3478" s="1" t="str">
        <x:v>22469</x:v>
      </x:c>
      <x:c r="B3478" s="9" t="d">
        <x:v>2011-06-06T00:00:00.000Z</x:v>
      </x:c>
      <x:c r="C3478" s="13" t="n">
        <x:v>99</x:v>
      </x:c>
    </x:row>
    <x:row r="3479" ht="20" customHeight="1">
      <x:c r="A3479" s="1" t="str">
        <x:v>22469</x:v>
      </x:c>
      <x:c r="B3479" s="9" t="d">
        <x:v>2011-06-07T00:00:00.000Z</x:v>
      </x:c>
      <x:c r="C3479" s="13" t="n">
        <x:v>64</x:v>
      </x:c>
    </x:row>
    <x:row r="3480" ht="20" customHeight="1">
      <x:c r="A3480" s="1" t="str">
        <x:v>22469</x:v>
      </x:c>
      <x:c r="B3480" s="9" t="d">
        <x:v>2011-06-08T00:00:00.000Z</x:v>
      </x:c>
      <x:c r="C3480" s="13" t="n">
        <x:v>118</x:v>
      </x:c>
    </x:row>
    <x:row r="3481" ht="20" customHeight="1">
      <x:c r="A3481" s="1" t="str">
        <x:v>22469</x:v>
      </x:c>
      <x:c r="B3481" s="9" t="d">
        <x:v>2011-06-09T00:00:00.000Z</x:v>
      </x:c>
      <x:c r="C3481" s="13" t="n">
        <x:v>47</x:v>
      </x:c>
    </x:row>
    <x:row r="3482" ht="20" customHeight="1">
      <x:c r="A3482" s="1" t="str">
        <x:v>22469</x:v>
      </x:c>
      <x:c r="B3482" s="9" t="d">
        <x:v>2011-06-10T00:00:00.000Z</x:v>
      </x:c>
      <x:c r="C3482" s="13" t="n">
        <x:v>3</x:v>
      </x:c>
    </x:row>
    <x:row r="3483" ht="20" customHeight="1">
      <x:c r="A3483" s="1" t="str">
        <x:v>22469</x:v>
      </x:c>
      <x:c r="B3483" s="9" t="d">
        <x:v>2011-06-11T00:00:00.000Z</x:v>
      </x:c>
      <x:c r="C3483" s="13" t="n">
        <x:v>0</x:v>
      </x:c>
    </x:row>
    <x:row r="3484" ht="20" customHeight="1">
      <x:c r="A3484" s="1" t="str">
        <x:v>22469</x:v>
      </x:c>
      <x:c r="B3484" s="9" t="d">
        <x:v>2011-06-12T00:00:00.000Z</x:v>
      </x:c>
      <x:c r="C3484" s="13" t="n">
        <x:v>35</x:v>
      </x:c>
    </x:row>
    <x:row r="3485" ht="20" customHeight="1">
      <x:c r="A3485" s="1" t="str">
        <x:v>22469</x:v>
      </x:c>
      <x:c r="B3485" s="9" t="d">
        <x:v>2011-06-13T00:00:00.000Z</x:v>
      </x:c>
      <x:c r="C3485" s="13" t="n">
        <x:v>36</x:v>
      </x:c>
    </x:row>
    <x:row r="3486" ht="20" customHeight="1">
      <x:c r="A3486" s="1" t="str">
        <x:v>22469</x:v>
      </x:c>
      <x:c r="B3486" s="9" t="d">
        <x:v>2011-06-14T00:00:00.000Z</x:v>
      </x:c>
      <x:c r="C3486" s="13" t="n">
        <x:v>74</x:v>
      </x:c>
    </x:row>
    <x:row r="3487" ht="20" customHeight="1">
      <x:c r="A3487" s="1" t="str">
        <x:v>22469</x:v>
      </x:c>
      <x:c r="B3487" s="9" t="d">
        <x:v>2011-06-15T00:00:00.000Z</x:v>
      </x:c>
      <x:c r="C3487" s="13" t="n">
        <x:v>57</x:v>
      </x:c>
    </x:row>
    <x:row r="3488" ht="20" customHeight="1">
      <x:c r="A3488" s="1" t="str">
        <x:v>22469</x:v>
      </x:c>
      <x:c r="B3488" s="9" t="d">
        <x:v>2011-06-16T00:00:00.000Z</x:v>
      </x:c>
      <x:c r="C3488" s="13" t="n">
        <x:v>68</x:v>
      </x:c>
    </x:row>
    <x:row r="3489" ht="20" customHeight="1">
      <x:c r="A3489" s="1" t="str">
        <x:v>22469</x:v>
      </x:c>
      <x:c r="B3489" s="9" t="d">
        <x:v>2011-06-17T00:00:00.000Z</x:v>
      </x:c>
      <x:c r="C3489" s="13" t="n">
        <x:v>0</x:v>
      </x:c>
    </x:row>
    <x:row r="3490" ht="20" customHeight="1">
      <x:c r="A3490" s="1" t="str">
        <x:v>22469</x:v>
      </x:c>
      <x:c r="B3490" s="9" t="d">
        <x:v>2011-06-18T00:00:00.000Z</x:v>
      </x:c>
      <x:c r="C3490" s="13" t="n">
        <x:v>0</x:v>
      </x:c>
    </x:row>
    <x:row r="3491" ht="20" customHeight="1">
      <x:c r="A3491" s="1" t="str">
        <x:v>22469</x:v>
      </x:c>
      <x:c r="B3491" s="9" t="d">
        <x:v>2011-06-19T00:00:00.000Z</x:v>
      </x:c>
      <x:c r="C3491" s="13" t="n">
        <x:v>26</x:v>
      </x:c>
    </x:row>
    <x:row r="3492" ht="20" customHeight="1">
      <x:c r="A3492" s="1" t="str">
        <x:v>22469</x:v>
      </x:c>
      <x:c r="B3492" s="9" t="d">
        <x:v>2011-06-20T00:00:00.000Z</x:v>
      </x:c>
      <x:c r="C3492" s="13" t="n">
        <x:v>43</x:v>
      </x:c>
    </x:row>
    <x:row r="3493" ht="20" customHeight="1">
      <x:c r="A3493" s="1" t="str">
        <x:v>22469</x:v>
      </x:c>
      <x:c r="B3493" s="9" t="d">
        <x:v>2011-06-21T00:00:00.000Z</x:v>
      </x:c>
      <x:c r="C3493" s="13" t="n">
        <x:v>0</x:v>
      </x:c>
    </x:row>
    <x:row r="3494" ht="20" customHeight="1">
      <x:c r="A3494" s="1" t="str">
        <x:v>22469</x:v>
      </x:c>
      <x:c r="B3494" s="9" t="d">
        <x:v>2011-06-22T00:00:00.000Z</x:v>
      </x:c>
      <x:c r="C3494" s="13" t="n">
        <x:v>43</x:v>
      </x:c>
    </x:row>
    <x:row r="3495" ht="20" customHeight="1">
      <x:c r="A3495" s="1" t="str">
        <x:v>22469</x:v>
      </x:c>
      <x:c r="B3495" s="9" t="d">
        <x:v>2011-06-23T00:00:00.000Z</x:v>
      </x:c>
      <x:c r="C3495" s="13" t="n">
        <x:v>36</x:v>
      </x:c>
    </x:row>
    <x:row r="3496" ht="20" customHeight="1">
      <x:c r="A3496" s="1" t="str">
        <x:v>22469</x:v>
      </x:c>
      <x:c r="B3496" s="9" t="d">
        <x:v>2011-06-24T00:00:00.000Z</x:v>
      </x:c>
      <x:c r="C3496" s="13" t="n">
        <x:v>29</x:v>
      </x:c>
    </x:row>
    <x:row r="3497" ht="20" customHeight="1">
      <x:c r="A3497" s="1" t="str">
        <x:v>22469</x:v>
      </x:c>
      <x:c r="B3497" s="9" t="d">
        <x:v>2011-06-25T00:00:00.000Z</x:v>
      </x:c>
      <x:c r="C3497" s="13" t="n">
        <x:v>0</x:v>
      </x:c>
    </x:row>
    <x:row r="3498" ht="20" customHeight="1">
      <x:c r="A3498" s="1" t="str">
        <x:v>22469</x:v>
      </x:c>
      <x:c r="B3498" s="9" t="d">
        <x:v>2011-06-26T00:00:00.000Z</x:v>
      </x:c>
      <x:c r="C3498" s="13" t="n">
        <x:v>3</x:v>
      </x:c>
    </x:row>
    <x:row r="3499" ht="20" customHeight="1">
      <x:c r="A3499" s="1" t="str">
        <x:v>22469</x:v>
      </x:c>
      <x:c r="B3499" s="9" t="d">
        <x:v>2011-06-27T00:00:00.000Z</x:v>
      </x:c>
      <x:c r="C3499" s="13" t="n">
        <x:v>53</x:v>
      </x:c>
    </x:row>
    <x:row r="3500" ht="20" customHeight="1">
      <x:c r="A3500" s="1" t="str">
        <x:v>22469</x:v>
      </x:c>
      <x:c r="B3500" s="9" t="d">
        <x:v>2011-06-28T00:00:00.000Z</x:v>
      </x:c>
      <x:c r="C3500" s="13" t="n">
        <x:v>27</x:v>
      </x:c>
    </x:row>
    <x:row r="3501" ht="20" customHeight="1">
      <x:c r="A3501" s="1" t="str">
        <x:v>22469</x:v>
      </x:c>
      <x:c r="B3501" s="9" t="d">
        <x:v>2011-06-29T00:00:00.000Z</x:v>
      </x:c>
      <x:c r="C3501" s="13" t="n">
        <x:v>68</x:v>
      </x:c>
    </x:row>
    <x:row r="3502" ht="20" customHeight="1">
      <x:c r="A3502" s="1" t="str">
        <x:v>22469</x:v>
      </x:c>
      <x:c r="B3502" s="9" t="d">
        <x:v>2011-06-30T00:00:00.000Z</x:v>
      </x:c>
      <x:c r="C3502" s="13" t="n">
        <x:v>80</x:v>
      </x:c>
    </x:row>
    <x:row r="3503" ht="20" customHeight="1">
      <x:c r="A3503" s="1" t="str">
        <x:v>22469</x:v>
      </x:c>
      <x:c r="B3503" s="9" t="d">
        <x:v>2011-07-01T00:00:00.000Z</x:v>
      </x:c>
      <x:c r="C3503" s="13" t="n">
        <x:v>2</x:v>
      </x:c>
    </x:row>
    <x:row r="3504" ht="20" customHeight="1">
      <x:c r="A3504" s="1" t="str">
        <x:v>22469</x:v>
      </x:c>
      <x:c r="B3504" s="9" t="d">
        <x:v>2011-07-02T00:00:00.000Z</x:v>
      </x:c>
      <x:c r="C3504" s="13" t="n">
        <x:v>0</x:v>
      </x:c>
    </x:row>
    <x:row r="3505" ht="20" customHeight="1">
      <x:c r="A3505" s="1" t="str">
        <x:v>22469</x:v>
      </x:c>
      <x:c r="B3505" s="9" t="d">
        <x:v>2011-07-03T00:00:00.000Z</x:v>
      </x:c>
      <x:c r="C3505" s="13" t="n">
        <x:v>6</x:v>
      </x:c>
    </x:row>
    <x:row r="3506" ht="20" customHeight="1">
      <x:c r="A3506" s="1" t="str">
        <x:v>22469</x:v>
      </x:c>
      <x:c r="B3506" s="9" t="d">
        <x:v>2011-07-04T00:00:00.000Z</x:v>
      </x:c>
      <x:c r="C3506" s="13" t="n">
        <x:v>8</x:v>
      </x:c>
    </x:row>
    <x:row r="3507" ht="20" customHeight="1">
      <x:c r="A3507" s="1" t="str">
        <x:v>22469</x:v>
      </x:c>
      <x:c r="B3507" s="9" t="d">
        <x:v>2011-07-05T00:00:00.000Z</x:v>
      </x:c>
      <x:c r="C3507" s="13" t="n">
        <x:v>254</x:v>
      </x:c>
    </x:row>
    <x:row r="3508" ht="20" customHeight="1">
      <x:c r="A3508" s="1" t="str">
        <x:v>22469</x:v>
      </x:c>
      <x:c r="B3508" s="9" t="d">
        <x:v>2011-07-06T00:00:00.000Z</x:v>
      </x:c>
      <x:c r="C3508" s="13" t="n">
        <x:v>6</x:v>
      </x:c>
    </x:row>
    <x:row r="3509" ht="20" customHeight="1">
      <x:c r="A3509" s="1" t="str">
        <x:v>22469</x:v>
      </x:c>
      <x:c r="B3509" s="9" t="d">
        <x:v>2011-07-07T00:00:00.000Z</x:v>
      </x:c>
      <x:c r="C3509" s="13" t="n">
        <x:v>26</x:v>
      </x:c>
    </x:row>
    <x:row r="3510" ht="20" customHeight="1">
      <x:c r="A3510" s="1" t="str">
        <x:v>22469</x:v>
      </x:c>
      <x:c r="B3510" s="9" t="d">
        <x:v>2011-07-08T00:00:00.000Z</x:v>
      </x:c>
      <x:c r="C3510" s="13" t="n">
        <x:v>30</x:v>
      </x:c>
    </x:row>
    <x:row r="3511" ht="20" customHeight="1">
      <x:c r="A3511" s="1" t="str">
        <x:v>22469</x:v>
      </x:c>
      <x:c r="B3511" s="9" t="d">
        <x:v>2011-07-09T00:00:00.000Z</x:v>
      </x:c>
      <x:c r="C3511" s="13" t="n">
        <x:v>0</x:v>
      </x:c>
    </x:row>
    <x:row r="3512" ht="20" customHeight="1">
      <x:c r="A3512" s="1" t="str">
        <x:v>22469</x:v>
      </x:c>
      <x:c r="B3512" s="9" t="d">
        <x:v>2011-07-10T00:00:00.000Z</x:v>
      </x:c>
      <x:c r="C3512" s="13" t="n">
        <x:v>12</x:v>
      </x:c>
    </x:row>
    <x:row r="3513" ht="20" customHeight="1">
      <x:c r="A3513" s="1" t="str">
        <x:v>22469</x:v>
      </x:c>
      <x:c r="B3513" s="9" t="d">
        <x:v>2011-07-11T00:00:00.000Z</x:v>
      </x:c>
      <x:c r="C3513" s="13" t="n">
        <x:v>31</x:v>
      </x:c>
    </x:row>
    <x:row r="3514" ht="20" customHeight="1">
      <x:c r="A3514" s="1" t="str">
        <x:v>22469</x:v>
      </x:c>
      <x:c r="B3514" s="9" t="d">
        <x:v>2011-07-12T00:00:00.000Z</x:v>
      </x:c>
      <x:c r="C3514" s="13" t="n">
        <x:v>149</x:v>
      </x:c>
    </x:row>
    <x:row r="3515" ht="20" customHeight="1">
      <x:c r="A3515" s="1" t="str">
        <x:v>22469</x:v>
      </x:c>
      <x:c r="B3515" s="9" t="d">
        <x:v>2011-07-13T00:00:00.000Z</x:v>
      </x:c>
      <x:c r="C3515" s="13" t="n">
        <x:v>81</x:v>
      </x:c>
    </x:row>
    <x:row r="3516" ht="20" customHeight="1">
      <x:c r="A3516" s="1" t="str">
        <x:v>22469</x:v>
      </x:c>
      <x:c r="B3516" s="9" t="d">
        <x:v>2011-07-14T00:00:00.000Z</x:v>
      </x:c>
      <x:c r="C3516" s="13" t="n">
        <x:v>15</x:v>
      </x:c>
    </x:row>
    <x:row r="3517" ht="20" customHeight="1">
      <x:c r="A3517" s="1" t="str">
        <x:v>22469</x:v>
      </x:c>
      <x:c r="B3517" s="9" t="d">
        <x:v>2011-07-15T00:00:00.000Z</x:v>
      </x:c>
      <x:c r="C3517" s="13" t="n">
        <x:v>12</x:v>
      </x:c>
    </x:row>
    <x:row r="3518" ht="20" customHeight="1">
      <x:c r="A3518" s="1" t="str">
        <x:v>22469</x:v>
      </x:c>
      <x:c r="B3518" s="9" t="d">
        <x:v>2011-07-16T00:00:00.000Z</x:v>
      </x:c>
      <x:c r="C3518" s="13" t="n">
        <x:v>0</x:v>
      </x:c>
    </x:row>
    <x:row r="3519" ht="20" customHeight="1">
      <x:c r="A3519" s="1" t="str">
        <x:v>22469</x:v>
      </x:c>
      <x:c r="B3519" s="9" t="d">
        <x:v>2011-07-17T00:00:00.000Z</x:v>
      </x:c>
      <x:c r="C3519" s="13" t="n">
        <x:v>27</x:v>
      </x:c>
    </x:row>
    <x:row r="3520" ht="20" customHeight="1">
      <x:c r="A3520" s="1" t="str">
        <x:v>22469</x:v>
      </x:c>
      <x:c r="B3520" s="9" t="d">
        <x:v>2011-07-18T00:00:00.000Z</x:v>
      </x:c>
      <x:c r="C3520" s="13" t="n">
        <x:v>54</x:v>
      </x:c>
    </x:row>
    <x:row r="3521" ht="20" customHeight="1">
      <x:c r="A3521" s="1" t="str">
        <x:v>22469</x:v>
      </x:c>
      <x:c r="B3521" s="9" t="d">
        <x:v>2011-07-19T00:00:00.000Z</x:v>
      </x:c>
      <x:c r="C3521" s="13" t="n">
        <x:v>19</x:v>
      </x:c>
    </x:row>
    <x:row r="3522" ht="20" customHeight="1">
      <x:c r="A3522" s="1" t="str">
        <x:v>22469</x:v>
      </x:c>
      <x:c r="B3522" s="9" t="d">
        <x:v>2011-07-20T00:00:00.000Z</x:v>
      </x:c>
      <x:c r="C3522" s="13" t="n">
        <x:v>31</x:v>
      </x:c>
    </x:row>
    <x:row r="3523" ht="20" customHeight="1">
      <x:c r="A3523" s="1" t="str">
        <x:v>22469</x:v>
      </x:c>
      <x:c r="B3523" s="9" t="d">
        <x:v>2011-07-21T00:00:00.000Z</x:v>
      </x:c>
      <x:c r="C3523" s="13" t="n">
        <x:v>77</x:v>
      </x:c>
    </x:row>
    <x:row r="3524" ht="20" customHeight="1">
      <x:c r="A3524" s="1" t="str">
        <x:v>22469</x:v>
      </x:c>
      <x:c r="B3524" s="9" t="d">
        <x:v>2011-07-22T00:00:00.000Z</x:v>
      </x:c>
      <x:c r="C3524" s="13" t="n">
        <x:v>23</x:v>
      </x:c>
    </x:row>
    <x:row r="3525" ht="20" customHeight="1">
      <x:c r="A3525" s="1" t="str">
        <x:v>22469</x:v>
      </x:c>
      <x:c r="B3525" s="9" t="d">
        <x:v>2011-07-23T00:00:00.000Z</x:v>
      </x:c>
      <x:c r="C3525" s="13" t="n">
        <x:v>0</x:v>
      </x:c>
    </x:row>
    <x:row r="3526" ht="20" customHeight="1">
      <x:c r="A3526" s="1" t="str">
        <x:v>22469</x:v>
      </x:c>
      <x:c r="B3526" s="9" t="d">
        <x:v>2011-07-24T00:00:00.000Z</x:v>
      </x:c>
      <x:c r="C3526" s="13" t="n">
        <x:v>98</x:v>
      </x:c>
    </x:row>
    <x:row r="3527" ht="20" customHeight="1">
      <x:c r="A3527" s="1" t="str">
        <x:v>22469</x:v>
      </x:c>
      <x:c r="B3527" s="9" t="d">
        <x:v>2011-07-25T00:00:00.000Z</x:v>
      </x:c>
      <x:c r="C3527" s="13" t="n">
        <x:v>7</x:v>
      </x:c>
    </x:row>
    <x:row r="3528" ht="20" customHeight="1">
      <x:c r="A3528" s="1" t="str">
        <x:v>22469</x:v>
      </x:c>
      <x:c r="B3528" s="9" t="d">
        <x:v>2011-07-26T00:00:00.000Z</x:v>
      </x:c>
      <x:c r="C3528" s="13" t="n">
        <x:v>19</x:v>
      </x:c>
    </x:row>
    <x:row r="3529" ht="20" customHeight="1">
      <x:c r="A3529" s="1" t="str">
        <x:v>22469</x:v>
      </x:c>
      <x:c r="B3529" s="9" t="d">
        <x:v>2011-07-27T00:00:00.000Z</x:v>
      </x:c>
      <x:c r="C3529" s="13" t="n">
        <x:v>2</x:v>
      </x:c>
    </x:row>
    <x:row r="3530" ht="20" customHeight="1">
      <x:c r="A3530" s="1" t="str">
        <x:v>22469</x:v>
      </x:c>
      <x:c r="B3530" s="9" t="d">
        <x:v>2011-07-28T00:00:00.000Z</x:v>
      </x:c>
      <x:c r="C3530" s="13" t="n">
        <x:v>91</x:v>
      </x:c>
    </x:row>
    <x:row r="3531" ht="20" customHeight="1">
      <x:c r="A3531" s="1" t="str">
        <x:v>22469</x:v>
      </x:c>
      <x:c r="B3531" s="9" t="d">
        <x:v>2011-07-29T00:00:00.000Z</x:v>
      </x:c>
      <x:c r="C3531" s="13" t="n">
        <x:v>4</x:v>
      </x:c>
    </x:row>
    <x:row r="3532" ht="20" customHeight="1">
      <x:c r="A3532" s="1" t="str">
        <x:v>22469</x:v>
      </x:c>
      <x:c r="B3532" s="9" t="d">
        <x:v>2011-07-30T00:00:00.000Z</x:v>
      </x:c>
      <x:c r="C3532" s="13" t="n">
        <x:v>0</x:v>
      </x:c>
    </x:row>
    <x:row r="3533" ht="20" customHeight="1">
      <x:c r="A3533" s="1" t="str">
        <x:v>22469</x:v>
      </x:c>
      <x:c r="B3533" s="9" t="d">
        <x:v>2011-07-31T00:00:00.000Z</x:v>
      </x:c>
      <x:c r="C3533" s="13" t="n">
        <x:v>2</x:v>
      </x:c>
    </x:row>
    <x:row r="3534" ht="20" customHeight="1">
      <x:c r="A3534" s="1" t="str">
        <x:v>22469</x:v>
      </x:c>
      <x:c r="B3534" s="9" t="d">
        <x:v>2011-08-01T00:00:00.000Z</x:v>
      </x:c>
      <x:c r="C3534" s="13" t="n">
        <x:v>12</x:v>
      </x:c>
    </x:row>
    <x:row r="3535" ht="20" customHeight="1">
      <x:c r="A3535" s="1" t="str">
        <x:v>22469</x:v>
      </x:c>
      <x:c r="B3535" s="9" t="d">
        <x:v>2011-08-02T00:00:00.000Z</x:v>
      </x:c>
      <x:c r="C3535" s="13" t="n">
        <x:v>0</x:v>
      </x:c>
    </x:row>
    <x:row r="3536" ht="20" customHeight="1">
      <x:c r="A3536" s="1" t="str">
        <x:v>22469</x:v>
      </x:c>
      <x:c r="B3536" s="9" t="d">
        <x:v>2011-08-03T00:00:00.000Z</x:v>
      </x:c>
      <x:c r="C3536" s="13" t="n">
        <x:v>39</x:v>
      </x:c>
    </x:row>
    <x:row r="3537" ht="20" customHeight="1">
      <x:c r="A3537" s="1" t="str">
        <x:v>22469</x:v>
      </x:c>
      <x:c r="B3537" s="9" t="d">
        <x:v>2011-08-04T00:00:00.000Z</x:v>
      </x:c>
      <x:c r="C3537" s="13" t="n">
        <x:v>103</x:v>
      </x:c>
    </x:row>
    <x:row r="3538" ht="20" customHeight="1">
      <x:c r="A3538" s="1" t="str">
        <x:v>22469</x:v>
      </x:c>
      <x:c r="B3538" s="9" t="d">
        <x:v>2011-08-05T00:00:00.000Z</x:v>
      </x:c>
      <x:c r="C3538" s="13" t="n">
        <x:v>38</x:v>
      </x:c>
    </x:row>
    <x:row r="3539" ht="20" customHeight="1">
      <x:c r="A3539" s="1" t="str">
        <x:v>22469</x:v>
      </x:c>
      <x:c r="B3539" s="9" t="d">
        <x:v>2011-08-06T00:00:00.000Z</x:v>
      </x:c>
      <x:c r="C3539" s="13" t="n">
        <x:v>0</x:v>
      </x:c>
    </x:row>
    <x:row r="3540" ht="20" customHeight="1">
      <x:c r="A3540" s="1" t="str">
        <x:v>22469</x:v>
      </x:c>
      <x:c r="B3540" s="9" t="d">
        <x:v>2011-08-07T00:00:00.000Z</x:v>
      </x:c>
      <x:c r="C3540" s="13" t="n">
        <x:v>7</x:v>
      </x:c>
    </x:row>
    <x:row r="3541" ht="20" customHeight="1">
      <x:c r="A3541" s="1" t="str">
        <x:v>22469</x:v>
      </x:c>
      <x:c r="B3541" s="9" t="d">
        <x:v>2011-08-08T00:00:00.000Z</x:v>
      </x:c>
      <x:c r="C3541" s="13" t="n">
        <x:v>34</x:v>
      </x:c>
    </x:row>
    <x:row r="3542" ht="20" customHeight="1">
      <x:c r="A3542" s="1" t="str">
        <x:v>22469</x:v>
      </x:c>
      <x:c r="B3542" s="9" t="d">
        <x:v>2011-08-09T00:00:00.000Z</x:v>
      </x:c>
      <x:c r="C3542" s="13" t="n">
        <x:v>36</x:v>
      </x:c>
    </x:row>
    <x:row r="3543" ht="20" customHeight="1">
      <x:c r="A3543" s="1" t="str">
        <x:v>22469</x:v>
      </x:c>
      <x:c r="B3543" s="9" t="d">
        <x:v>2011-08-10T00:00:00.000Z</x:v>
      </x:c>
      <x:c r="C3543" s="13" t="n">
        <x:v>0</x:v>
      </x:c>
    </x:row>
    <x:row r="3544" ht="20" customHeight="1">
      <x:c r="A3544" s="1" t="str">
        <x:v>22469</x:v>
      </x:c>
      <x:c r="B3544" s="9" t="d">
        <x:v>2011-08-11T00:00:00.000Z</x:v>
      </x:c>
      <x:c r="C3544" s="13" t="n">
        <x:v>56</x:v>
      </x:c>
    </x:row>
    <x:row r="3545" ht="20" customHeight="1">
      <x:c r="A3545" s="1" t="str">
        <x:v>22469</x:v>
      </x:c>
      <x:c r="B3545" s="9" t="d">
        <x:v>2011-08-12T00:00:00.000Z</x:v>
      </x:c>
      <x:c r="C3545" s="13" t="n">
        <x:v>13</x:v>
      </x:c>
    </x:row>
    <x:row r="3546" ht="20" customHeight="1">
      <x:c r="A3546" s="1" t="str">
        <x:v>22469</x:v>
      </x:c>
      <x:c r="B3546" s="9" t="d">
        <x:v>2011-08-13T00:00:00.000Z</x:v>
      </x:c>
      <x:c r="C3546" s="13" t="n">
        <x:v>0</x:v>
      </x:c>
    </x:row>
    <x:row r="3547" ht="20" customHeight="1">
      <x:c r="A3547" s="1" t="str">
        <x:v>22469</x:v>
      </x:c>
      <x:c r="B3547" s="9" t="d">
        <x:v>2011-08-14T00:00:00.000Z</x:v>
      </x:c>
      <x:c r="C3547" s="13" t="n">
        <x:v>10</x:v>
      </x:c>
    </x:row>
    <x:row r="3548" ht="20" customHeight="1">
      <x:c r="A3548" s="1" t="str">
        <x:v>22469</x:v>
      </x:c>
      <x:c r="B3548" s="9" t="d">
        <x:v>2011-08-15T00:00:00.000Z</x:v>
      </x:c>
      <x:c r="C3548" s="13" t="n">
        <x:v>12</x:v>
      </x:c>
    </x:row>
    <x:row r="3549" ht="20" customHeight="1">
      <x:c r="A3549" s="1" t="str">
        <x:v>22469</x:v>
      </x:c>
      <x:c r="B3549" s="9" t="d">
        <x:v>2011-08-16T00:00:00.000Z</x:v>
      </x:c>
      <x:c r="C3549" s="13" t="n">
        <x:v>12</x:v>
      </x:c>
    </x:row>
    <x:row r="3550" ht="20" customHeight="1">
      <x:c r="A3550" s="1" t="str">
        <x:v>22469</x:v>
      </x:c>
      <x:c r="B3550" s="9" t="d">
        <x:v>2011-08-17T00:00:00.000Z</x:v>
      </x:c>
      <x:c r="C3550" s="13" t="n">
        <x:v>12</x:v>
      </x:c>
    </x:row>
    <x:row r="3551" ht="20" customHeight="1">
      <x:c r="A3551" s="1" t="str">
        <x:v>22469</x:v>
      </x:c>
      <x:c r="B3551" s="9" t="d">
        <x:v>2011-08-18T00:00:00.000Z</x:v>
      </x:c>
      <x:c r="C3551" s="13" t="n">
        <x:v>26</x:v>
      </x:c>
    </x:row>
    <x:row r="3552" ht="20" customHeight="1">
      <x:c r="A3552" s="1" t="str">
        <x:v>22469</x:v>
      </x:c>
      <x:c r="B3552" s="9" t="d">
        <x:v>2011-08-19T00:00:00.000Z</x:v>
      </x:c>
      <x:c r="C3552" s="13" t="n">
        <x:v>12</x:v>
      </x:c>
    </x:row>
    <x:row r="3553" ht="20" customHeight="1">
      <x:c r="A3553" s="1" t="str">
        <x:v>22469</x:v>
      </x:c>
      <x:c r="B3553" s="9" t="d">
        <x:v>2011-08-20T00:00:00.000Z</x:v>
      </x:c>
      <x:c r="C3553" s="13" t="n">
        <x:v>0</x:v>
      </x:c>
    </x:row>
    <x:row r="3554" ht="20" customHeight="1">
      <x:c r="A3554" s="1" t="str">
        <x:v>22469</x:v>
      </x:c>
      <x:c r="B3554" s="9" t="d">
        <x:v>2011-08-21T00:00:00.000Z</x:v>
      </x:c>
      <x:c r="C3554" s="13" t="n">
        <x:v>4</x:v>
      </x:c>
    </x:row>
    <x:row r="3555" ht="20" customHeight="1">
      <x:c r="A3555" s="1" t="str">
        <x:v>22469</x:v>
      </x:c>
      <x:c r="B3555" s="9" t="d">
        <x:v>2011-08-22T00:00:00.000Z</x:v>
      </x:c>
      <x:c r="C3555" s="13" t="n">
        <x:v>36</x:v>
      </x:c>
    </x:row>
    <x:row r="3556" ht="20" customHeight="1">
      <x:c r="A3556" s="1" t="str">
        <x:v>22469</x:v>
      </x:c>
      <x:c r="B3556" s="9" t="d">
        <x:v>2011-08-23T00:00:00.000Z</x:v>
      </x:c>
      <x:c r="C3556" s="13" t="n">
        <x:v>12</x:v>
      </x:c>
    </x:row>
    <x:row r="3557" ht="20" customHeight="1">
      <x:c r="A3557" s="1" t="str">
        <x:v>22469</x:v>
      </x:c>
      <x:c r="B3557" s="9" t="d">
        <x:v>2011-08-24T00:00:00.000Z</x:v>
      </x:c>
      <x:c r="C3557" s="13" t="n">
        <x:v>45</x:v>
      </x:c>
    </x:row>
    <x:row r="3558" ht="20" customHeight="1">
      <x:c r="A3558" s="1" t="str">
        <x:v>22469</x:v>
      </x:c>
      <x:c r="B3558" s="9" t="d">
        <x:v>2011-08-25T00:00:00.000Z</x:v>
      </x:c>
      <x:c r="C3558" s="13" t="n">
        <x:v>12</x:v>
      </x:c>
    </x:row>
    <x:row r="3559" ht="20" customHeight="1">
      <x:c r="A3559" s="1" t="str">
        <x:v>22469</x:v>
      </x:c>
      <x:c r="B3559" s="9" t="d">
        <x:v>2011-08-26T00:00:00.000Z</x:v>
      </x:c>
      <x:c r="C3559" s="13" t="n">
        <x:v>12</x:v>
      </x:c>
    </x:row>
    <x:row r="3560" ht="20" customHeight="1">
      <x:c r="A3560" s="1" t="str">
        <x:v>22469</x:v>
      </x:c>
      <x:c r="B3560" s="9" t="d">
        <x:v>2011-08-27T00:00:00.000Z</x:v>
      </x:c>
      <x:c r="C3560" s="13" t="n">
        <x:v>0</x:v>
      </x:c>
    </x:row>
    <x:row r="3561" ht="20" customHeight="1">
      <x:c r="A3561" s="1" t="str">
        <x:v>22469</x:v>
      </x:c>
      <x:c r="B3561" s="9" t="d">
        <x:v>2011-08-28T00:00:00.000Z</x:v>
      </x:c>
      <x:c r="C3561" s="13" t="n">
        <x:v>0</x:v>
      </x:c>
    </x:row>
    <x:row r="3562" ht="20" customHeight="1">
      <x:c r="A3562" s="1" t="str">
        <x:v>22469</x:v>
      </x:c>
      <x:c r="B3562" s="9" t="d">
        <x:v>2011-08-29T00:00:00.000Z</x:v>
      </x:c>
      <x:c r="C3562" s="13" t="n">
        <x:v>0</x:v>
      </x:c>
    </x:row>
    <x:row r="3563" ht="20" customHeight="1">
      <x:c r="A3563" s="1" t="str">
        <x:v>22469</x:v>
      </x:c>
      <x:c r="B3563" s="9" t="d">
        <x:v>2011-08-30T00:00:00.000Z</x:v>
      </x:c>
      <x:c r="C3563" s="13" t="n">
        <x:v>56</x:v>
      </x:c>
    </x:row>
    <x:row r="3564" ht="20" customHeight="1">
      <x:c r="A3564" s="1" t="str">
        <x:v>22469</x:v>
      </x:c>
      <x:c r="B3564" s="9" t="d">
        <x:v>2011-08-31T00:00:00.000Z</x:v>
      </x:c>
      <x:c r="C3564" s="13" t="n">
        <x:v>1</x:v>
      </x:c>
    </x:row>
    <x:row r="3565" ht="20" customHeight="1">
      <x:c r="A3565" s="1" t="str">
        <x:v>22469</x:v>
      </x:c>
      <x:c r="B3565" s="9" t="d">
        <x:v>2011-09-01T00:00:00.000Z</x:v>
      </x:c>
      <x:c r="C3565" s="13" t="n">
        <x:v>56</x:v>
      </x:c>
    </x:row>
    <x:row r="3566" ht="20" customHeight="1">
      <x:c r="A3566" s="1" t="str">
        <x:v>22469</x:v>
      </x:c>
      <x:c r="B3566" s="9" t="d">
        <x:v>2011-09-02T00:00:00.000Z</x:v>
      </x:c>
      <x:c r="C3566" s="13" t="n">
        <x:v>15</x:v>
      </x:c>
    </x:row>
    <x:row r="3567" ht="20" customHeight="1">
      <x:c r="A3567" s="1" t="str">
        <x:v>22469</x:v>
      </x:c>
      <x:c r="B3567" s="9" t="d">
        <x:v>2011-09-03T00:00:00.000Z</x:v>
      </x:c>
      <x:c r="C3567" s="13" t="n">
        <x:v>0</x:v>
      </x:c>
    </x:row>
    <x:row r="3568" ht="20" customHeight="1">
      <x:c r="A3568" s="1" t="str">
        <x:v>22469</x:v>
      </x:c>
      <x:c r="B3568" s="9" t="d">
        <x:v>2011-09-04T00:00:00.000Z</x:v>
      </x:c>
      <x:c r="C3568" s="13" t="n">
        <x:v>2</x:v>
      </x:c>
    </x:row>
    <x:row r="3569" ht="20" customHeight="1">
      <x:c r="A3569" s="1" t="str">
        <x:v>22469</x:v>
      </x:c>
      <x:c r="B3569" s="9" t="d">
        <x:v>2011-09-05T00:00:00.000Z</x:v>
      </x:c>
      <x:c r="C3569" s="13" t="n">
        <x:v>27</x:v>
      </x:c>
    </x:row>
    <x:row r="3570" ht="20" customHeight="1">
      <x:c r="A3570" s="1" t="str">
        <x:v>22469</x:v>
      </x:c>
      <x:c r="B3570" s="9" t="d">
        <x:v>2011-09-06T00:00:00.000Z</x:v>
      </x:c>
      <x:c r="C3570" s="13" t="n">
        <x:v>36</x:v>
      </x:c>
    </x:row>
    <x:row r="3571" ht="20" customHeight="1">
      <x:c r="A3571" s="1" t="str">
        <x:v>22469</x:v>
      </x:c>
      <x:c r="B3571" s="9" t="d">
        <x:v>2011-09-07T00:00:00.000Z</x:v>
      </x:c>
      <x:c r="C3571" s="13" t="n">
        <x:v>31</x:v>
      </x:c>
    </x:row>
    <x:row r="3572" ht="20" customHeight="1">
      <x:c r="A3572" s="1" t="str">
        <x:v>22469</x:v>
      </x:c>
      <x:c r="B3572" s="9" t="d">
        <x:v>2011-09-08T00:00:00.000Z</x:v>
      </x:c>
      <x:c r="C3572" s="13" t="n">
        <x:v>17</x:v>
      </x:c>
    </x:row>
    <x:row r="3573" ht="20" customHeight="1">
      <x:c r="A3573" s="1" t="str">
        <x:v>22469</x:v>
      </x:c>
      <x:c r="B3573" s="9" t="d">
        <x:v>2011-09-09T00:00:00.000Z</x:v>
      </x:c>
      <x:c r="C3573" s="13" t="n">
        <x:v>68</x:v>
      </x:c>
    </x:row>
    <x:row r="3574" ht="20" customHeight="1">
      <x:c r="A3574" s="1" t="str">
        <x:v>22469</x:v>
      </x:c>
      <x:c r="B3574" s="9" t="d">
        <x:v>2011-09-10T00:00:00.000Z</x:v>
      </x:c>
      <x:c r="C3574" s="13" t="n">
        <x:v>0</x:v>
      </x:c>
    </x:row>
    <x:row r="3575" ht="20" customHeight="1">
      <x:c r="A3575" s="1" t="str">
        <x:v>22469</x:v>
      </x:c>
      <x:c r="B3575" s="9" t="d">
        <x:v>2011-09-11T00:00:00.000Z</x:v>
      </x:c>
      <x:c r="C3575" s="13" t="n">
        <x:v>58</x:v>
      </x:c>
    </x:row>
    <x:row r="3576" ht="20" customHeight="1">
      <x:c r="A3576" s="1" t="str">
        <x:v>22469</x:v>
      </x:c>
      <x:c r="B3576" s="9" t="d">
        <x:v>2011-09-12T00:00:00.000Z</x:v>
      </x:c>
      <x:c r="C3576" s="13" t="n">
        <x:v>72</x:v>
      </x:c>
    </x:row>
    <x:row r="3577" ht="20" customHeight="1">
      <x:c r="A3577" s="1" t="str">
        <x:v>22469</x:v>
      </x:c>
      <x:c r="B3577" s="9" t="d">
        <x:v>2011-09-13T00:00:00.000Z</x:v>
      </x:c>
      <x:c r="C3577" s="13" t="n">
        <x:v>141</x:v>
      </x:c>
    </x:row>
    <x:row r="3578" ht="20" customHeight="1">
      <x:c r="A3578" s="1" t="str">
        <x:v>22469</x:v>
      </x:c>
      <x:c r="B3578" s="9" t="d">
        <x:v>2011-09-14T00:00:00.000Z</x:v>
      </x:c>
      <x:c r="C3578" s="13" t="n">
        <x:v>52</x:v>
      </x:c>
    </x:row>
    <x:row r="3579" ht="20" customHeight="1">
      <x:c r="A3579" s="1" t="str">
        <x:v>22469</x:v>
      </x:c>
      <x:c r="B3579" s="9" t="d">
        <x:v>2011-09-15T00:00:00.000Z</x:v>
      </x:c>
      <x:c r="C3579" s="13" t="n">
        <x:v>77</x:v>
      </x:c>
    </x:row>
    <x:row r="3580" ht="20" customHeight="1">
      <x:c r="A3580" s="1" t="str">
        <x:v>22469</x:v>
      </x:c>
      <x:c r="B3580" s="9" t="d">
        <x:v>2011-09-16T00:00:00.000Z</x:v>
      </x:c>
      <x:c r="C3580" s="13" t="n">
        <x:v>14</x:v>
      </x:c>
    </x:row>
    <x:row r="3581" ht="20" customHeight="1">
      <x:c r="A3581" s="1" t="str">
        <x:v>22469</x:v>
      </x:c>
      <x:c r="B3581" s="9" t="d">
        <x:v>2011-09-17T00:00:00.000Z</x:v>
      </x:c>
      <x:c r="C3581" s="13" t="n">
        <x:v>0</x:v>
      </x:c>
    </x:row>
    <x:row r="3582" ht="20" customHeight="1">
      <x:c r="A3582" s="1" t="str">
        <x:v>22469</x:v>
      </x:c>
      <x:c r="B3582" s="9" t="d">
        <x:v>2011-09-18T00:00:00.000Z</x:v>
      </x:c>
      <x:c r="C3582" s="13" t="n">
        <x:v>3</x:v>
      </x:c>
    </x:row>
    <x:row r="3583" ht="20" customHeight="1">
      <x:c r="A3583" s="1" t="str">
        <x:v>22469</x:v>
      </x:c>
      <x:c r="B3583" s="9" t="d">
        <x:v>2011-09-19T00:00:00.000Z</x:v>
      </x:c>
      <x:c r="C3583" s="13" t="n">
        <x:v>5</x:v>
      </x:c>
    </x:row>
    <x:row r="3584" ht="20" customHeight="1">
      <x:c r="A3584" s="1" t="str">
        <x:v>22469</x:v>
      </x:c>
      <x:c r="B3584" s="9" t="d">
        <x:v>2011-09-20T00:00:00.000Z</x:v>
      </x:c>
      <x:c r="C3584" s="13" t="n">
        <x:v>902</x:v>
      </x:c>
    </x:row>
    <x:row r="3585" ht="20" customHeight="1">
      <x:c r="A3585" s="1" t="str">
        <x:v>22469</x:v>
      </x:c>
      <x:c r="B3585" s="9" t="d">
        <x:v>2011-09-21T00:00:00.000Z</x:v>
      </x:c>
      <x:c r="C3585" s="13" t="n">
        <x:v>27</x:v>
      </x:c>
    </x:row>
    <x:row r="3586" ht="20" customHeight="1">
      <x:c r="A3586" s="1" t="str">
        <x:v>22469</x:v>
      </x:c>
      <x:c r="B3586" s="9" t="d">
        <x:v>2011-09-22T00:00:00.000Z</x:v>
      </x:c>
      <x:c r="C3586" s="13" t="n">
        <x:v>64</x:v>
      </x:c>
    </x:row>
    <x:row r="3587" ht="20" customHeight="1">
      <x:c r="A3587" s="1" t="str">
        <x:v>22469</x:v>
      </x:c>
      <x:c r="B3587" s="9" t="d">
        <x:v>2011-09-23T00:00:00.000Z</x:v>
      </x:c>
      <x:c r="C3587" s="13" t="n">
        <x:v>18</x:v>
      </x:c>
    </x:row>
    <x:row r="3588" ht="20" customHeight="1">
      <x:c r="A3588" s="1" t="str">
        <x:v>22469</x:v>
      </x:c>
      <x:c r="B3588" s="9" t="d">
        <x:v>2011-09-24T00:00:00.000Z</x:v>
      </x:c>
      <x:c r="C3588" s="13" t="n">
        <x:v>0</x:v>
      </x:c>
    </x:row>
    <x:row r="3589" ht="20" customHeight="1">
      <x:c r="A3589" s="1" t="str">
        <x:v>22469</x:v>
      </x:c>
      <x:c r="B3589" s="9" t="d">
        <x:v>2011-09-25T00:00:00.000Z</x:v>
      </x:c>
      <x:c r="C3589" s="13" t="n">
        <x:v>39</x:v>
      </x:c>
    </x:row>
    <x:row r="3590" ht="20" customHeight="1">
      <x:c r="A3590" s="1" t="str">
        <x:v>22469</x:v>
      </x:c>
      <x:c r="B3590" s="9" t="d">
        <x:v>2011-09-26T00:00:00.000Z</x:v>
      </x:c>
      <x:c r="C3590" s="13" t="n">
        <x:v>13</x:v>
      </x:c>
    </x:row>
    <x:row r="3591" ht="20" customHeight="1">
      <x:c r="A3591" s="1" t="str">
        <x:v>22469</x:v>
      </x:c>
      <x:c r="B3591" s="9" t="d">
        <x:v>2011-09-27T00:00:00.000Z</x:v>
      </x:c>
      <x:c r="C3591" s="13" t="n">
        <x:v>24</x:v>
      </x:c>
    </x:row>
    <x:row r="3592" ht="20" customHeight="1">
      <x:c r="A3592" s="1" t="str">
        <x:v>22469</x:v>
      </x:c>
      <x:c r="B3592" s="9" t="d">
        <x:v>2011-09-28T00:00:00.000Z</x:v>
      </x:c>
      <x:c r="C3592" s="13" t="n">
        <x:v>80</x:v>
      </x:c>
    </x:row>
    <x:row r="3593" ht="20" customHeight="1">
      <x:c r="A3593" s="1" t="str">
        <x:v>22469</x:v>
      </x:c>
      <x:c r="B3593" s="9" t="d">
        <x:v>2011-09-29T00:00:00.000Z</x:v>
      </x:c>
      <x:c r="C3593" s="13" t="n">
        <x:v>53</x:v>
      </x:c>
    </x:row>
    <x:row r="3594" ht="20" customHeight="1">
      <x:c r="A3594" s="1" t="str">
        <x:v>22469</x:v>
      </x:c>
      <x:c r="B3594" s="9" t="d">
        <x:v>2011-09-30T00:00:00.000Z</x:v>
      </x:c>
      <x:c r="C3594" s="13" t="n">
        <x:v>29</x:v>
      </x:c>
    </x:row>
    <x:row r="3595" ht="20" customHeight="1">
      <x:c r="A3595" s="1" t="str">
        <x:v>22469</x:v>
      </x:c>
      <x:c r="B3595" s="9" t="d">
        <x:v>2011-10-01T00:00:00.000Z</x:v>
      </x:c>
      <x:c r="C3595" s="13" t="n">
        <x:v>0</x:v>
      </x:c>
    </x:row>
    <x:row r="3596" ht="20" customHeight="1">
      <x:c r="A3596" s="1" t="str">
        <x:v>22469</x:v>
      </x:c>
      <x:c r="B3596" s="9" t="d">
        <x:v>2011-10-02T00:00:00.000Z</x:v>
      </x:c>
      <x:c r="C3596" s="13" t="n">
        <x:v>27</x:v>
      </x:c>
    </x:row>
    <x:row r="3597" ht="20" customHeight="1">
      <x:c r="A3597" s="1" t="str">
        <x:v>22469</x:v>
      </x:c>
      <x:c r="B3597" s="9" t="d">
        <x:v>2011-10-03T00:00:00.000Z</x:v>
      </x:c>
      <x:c r="C3597" s="13" t="n">
        <x:v>153</x:v>
      </x:c>
    </x:row>
    <x:row r="3598" ht="20" customHeight="1">
      <x:c r="A3598" s="1" t="str">
        <x:v>22469</x:v>
      </x:c>
      <x:c r="B3598" s="9" t="d">
        <x:v>2011-10-04T00:00:00.000Z</x:v>
      </x:c>
      <x:c r="C3598" s="13" t="n">
        <x:v>17</x:v>
      </x:c>
    </x:row>
    <x:row r="3599" ht="20" customHeight="1">
      <x:c r="A3599" s="1" t="str">
        <x:v>22469</x:v>
      </x:c>
      <x:c r="B3599" s="9" t="d">
        <x:v>2011-10-05T00:00:00.000Z</x:v>
      </x:c>
      <x:c r="C3599" s="13" t="n">
        <x:v>51</x:v>
      </x:c>
    </x:row>
    <x:row r="3600" ht="20" customHeight="1">
      <x:c r="A3600" s="1" t="str">
        <x:v>22469</x:v>
      </x:c>
      <x:c r="B3600" s="9" t="d">
        <x:v>2011-10-06T00:00:00.000Z</x:v>
      </x:c>
      <x:c r="C3600" s="13" t="n">
        <x:v>15</x:v>
      </x:c>
    </x:row>
    <x:row r="3601" ht="20" customHeight="1">
      <x:c r="A3601" s="1" t="str">
        <x:v>22469</x:v>
      </x:c>
      <x:c r="B3601" s="9" t="d">
        <x:v>2011-10-07T00:00:00.000Z</x:v>
      </x:c>
      <x:c r="C3601" s="13" t="n">
        <x:v>12</x:v>
      </x:c>
    </x:row>
    <x:row r="3602" ht="20" customHeight="1">
      <x:c r="A3602" s="1" t="str">
        <x:v>22469</x:v>
      </x:c>
      <x:c r="B3602" s="9" t="d">
        <x:v>2011-10-08T00:00:00.000Z</x:v>
      </x:c>
      <x:c r="C3602" s="13" t="n">
        <x:v>0</x:v>
      </x:c>
    </x:row>
    <x:row r="3603" ht="20" customHeight="1">
      <x:c r="A3603" s="1" t="str">
        <x:v>22469</x:v>
      </x:c>
      <x:c r="B3603" s="9" t="d">
        <x:v>2011-10-09T00:00:00.000Z</x:v>
      </x:c>
      <x:c r="C3603" s="13" t="n">
        <x:v>6</x:v>
      </x:c>
    </x:row>
    <x:row r="3604" ht="20" customHeight="1">
      <x:c r="A3604" s="1" t="str">
        <x:v>22469</x:v>
      </x:c>
      <x:c r="B3604" s="9" t="d">
        <x:v>2011-10-10T00:00:00.000Z</x:v>
      </x:c>
      <x:c r="C3604" s="13" t="n">
        <x:v>13</x:v>
      </x:c>
    </x:row>
    <x:row r="3605" ht="20" customHeight="1">
      <x:c r="A3605" s="1" t="str">
        <x:v>22469</x:v>
      </x:c>
      <x:c r="B3605" s="9" t="d">
        <x:v>2011-10-11T00:00:00.000Z</x:v>
      </x:c>
      <x:c r="C3605" s="13" t="n">
        <x:v>24</x:v>
      </x:c>
    </x:row>
    <x:row r="3606" ht="20" customHeight="1">
      <x:c r="A3606" s="1" t="str">
        <x:v>22469</x:v>
      </x:c>
      <x:c r="B3606" s="9" t="d">
        <x:v>2011-10-12T00:00:00.000Z</x:v>
      </x:c>
      <x:c r="C3606" s="13" t="n">
        <x:v>6</x:v>
      </x:c>
    </x:row>
    <x:row r="3607" ht="20" customHeight="1">
      <x:c r="A3607" s="1" t="str">
        <x:v>22469</x:v>
      </x:c>
      <x:c r="B3607" s="9" t="d">
        <x:v>2011-10-13T00:00:00.000Z</x:v>
      </x:c>
      <x:c r="C3607" s="13" t="n">
        <x:v>1</x:v>
      </x:c>
    </x:row>
    <x:row r="3608" ht="20" customHeight="1">
      <x:c r="A3608" s="1" t="str">
        <x:v>22469</x:v>
      </x:c>
      <x:c r="B3608" s="9" t="d">
        <x:v>2011-10-14T00:00:00.000Z</x:v>
      </x:c>
      <x:c r="C3608" s="13" t="n">
        <x:v>26</x:v>
      </x:c>
    </x:row>
    <x:row r="3609" ht="20" customHeight="1">
      <x:c r="A3609" s="1" t="str">
        <x:v>22469</x:v>
      </x:c>
      <x:c r="B3609" s="9" t="d">
        <x:v>2011-10-15T00:00:00.000Z</x:v>
      </x:c>
      <x:c r="C3609" s="13" t="n">
        <x:v>0</x:v>
      </x:c>
    </x:row>
    <x:row r="3610" ht="20" customHeight="1">
      <x:c r="A3610" s="1" t="str">
        <x:v>22469</x:v>
      </x:c>
      <x:c r="B3610" s="9" t="d">
        <x:v>2011-10-16T00:00:00.000Z</x:v>
      </x:c>
      <x:c r="C3610" s="13" t="n">
        <x:v>30</x:v>
      </x:c>
    </x:row>
    <x:row r="3611" ht="20" customHeight="1">
      <x:c r="A3611" s="1" t="str">
        <x:v>22469</x:v>
      </x:c>
      <x:c r="B3611" s="9" t="d">
        <x:v>2011-10-17T00:00:00.000Z</x:v>
      </x:c>
      <x:c r="C3611" s="13" t="n">
        <x:v>46</x:v>
      </x:c>
    </x:row>
    <x:row r="3612" ht="20" customHeight="1">
      <x:c r="A3612" s="1" t="str">
        <x:v>22469</x:v>
      </x:c>
      <x:c r="B3612" s="9" t="d">
        <x:v>2011-10-18T00:00:00.000Z</x:v>
      </x:c>
      <x:c r="C3612" s="13" t="n">
        <x:v>28</x:v>
      </x:c>
    </x:row>
    <x:row r="3613" ht="20" customHeight="1">
      <x:c r="A3613" s="1" t="str">
        <x:v>22469</x:v>
      </x:c>
      <x:c r="B3613" s="9" t="d">
        <x:v>2011-10-19T00:00:00.000Z</x:v>
      </x:c>
      <x:c r="C3613" s="13" t="n">
        <x:v>17</x:v>
      </x:c>
    </x:row>
    <x:row r="3614" ht="20" customHeight="1">
      <x:c r="A3614" s="1" t="str">
        <x:v>22469</x:v>
      </x:c>
      <x:c r="B3614" s="9" t="d">
        <x:v>2011-10-20T00:00:00.000Z</x:v>
      </x:c>
      <x:c r="C3614" s="13" t="n">
        <x:v>65</x:v>
      </x:c>
    </x:row>
    <x:row r="3615" ht="20" customHeight="1">
      <x:c r="A3615" s="1" t="str">
        <x:v>22469</x:v>
      </x:c>
      <x:c r="B3615" s="9" t="d">
        <x:v>2011-10-21T00:00:00.000Z</x:v>
      </x:c>
      <x:c r="C3615" s="13" t="n">
        <x:v>162</x:v>
      </x:c>
    </x:row>
    <x:row r="3616" ht="20" customHeight="1">
      <x:c r="A3616" s="1" t="str">
        <x:v>22469</x:v>
      </x:c>
      <x:c r="B3616" s="9" t="d">
        <x:v>2011-10-22T00:00:00.000Z</x:v>
      </x:c>
      <x:c r="C3616" s="13" t="n">
        <x:v>0</x:v>
      </x:c>
    </x:row>
    <x:row r="3617" ht="20" customHeight="1">
      <x:c r="A3617" s="1" t="str">
        <x:v>22469</x:v>
      </x:c>
      <x:c r="B3617" s="9" t="d">
        <x:v>2011-10-23T00:00:00.000Z</x:v>
      </x:c>
      <x:c r="C3617" s="13" t="n">
        <x:v>17</x:v>
      </x:c>
    </x:row>
    <x:row r="3618" ht="20" customHeight="1">
      <x:c r="A3618" s="1" t="str">
        <x:v>22469</x:v>
      </x:c>
      <x:c r="B3618" s="9" t="d">
        <x:v>2011-10-24T00:00:00.000Z</x:v>
      </x:c>
      <x:c r="C3618" s="13" t="n">
        <x:v>72</x:v>
      </x:c>
    </x:row>
    <x:row r="3619" ht="20" customHeight="1">
      <x:c r="A3619" s="1" t="str">
        <x:v>22469</x:v>
      </x:c>
      <x:c r="B3619" s="9" t="d">
        <x:v>2011-10-25T00:00:00.000Z</x:v>
      </x:c>
      <x:c r="C3619" s="13" t="n">
        <x:v>17</x:v>
      </x:c>
    </x:row>
    <x:row r="3620" ht="20" customHeight="1">
      <x:c r="A3620" s="1" t="str">
        <x:v>22469</x:v>
      </x:c>
      <x:c r="B3620" s="9" t="d">
        <x:v>2011-10-26T00:00:00.000Z</x:v>
      </x:c>
      <x:c r="C3620" s="13" t="n">
        <x:v>61</x:v>
      </x:c>
    </x:row>
    <x:row r="3621" ht="20" customHeight="1">
      <x:c r="A3621" s="1" t="str">
        <x:v>22469</x:v>
      </x:c>
      <x:c r="B3621" s="9" t="d">
        <x:v>2011-10-27T00:00:00.000Z</x:v>
      </x:c>
      <x:c r="C3621" s="13" t="n">
        <x:v>59</x:v>
      </x:c>
    </x:row>
    <x:row r="3622" ht="20" customHeight="1">
      <x:c r="A3622" s="1" t="str">
        <x:v>22469</x:v>
      </x:c>
      <x:c r="B3622" s="9" t="d">
        <x:v>2011-10-28T00:00:00.000Z</x:v>
      </x:c>
      <x:c r="C3622" s="13" t="n">
        <x:v>28</x:v>
      </x:c>
    </x:row>
    <x:row r="3623" ht="20" customHeight="1">
      <x:c r="A3623" s="1" t="str">
        <x:v>22469</x:v>
      </x:c>
      <x:c r="B3623" s="9" t="d">
        <x:v>2011-10-29T00:00:00.000Z</x:v>
      </x:c>
      <x:c r="C3623" s="13" t="n">
        <x:v>0</x:v>
      </x:c>
    </x:row>
    <x:row r="3624" ht="20" customHeight="1">
      <x:c r="A3624" s="1" t="str">
        <x:v>22469</x:v>
      </x:c>
      <x:c r="B3624" s="9" t="d">
        <x:v>2011-10-30T00:00:00.000Z</x:v>
      </x:c>
      <x:c r="C3624" s="13" t="n">
        <x:v>146</x:v>
      </x:c>
    </x:row>
    <x:row r="3625" ht="20" customHeight="1">
      <x:c r="A3625" s="1" t="str">
        <x:v>22469</x:v>
      </x:c>
      <x:c r="B3625" s="9" t="d">
        <x:v>2011-10-31T00:00:00.000Z</x:v>
      </x:c>
      <x:c r="C3625" s="13" t="n">
        <x:v>36</x:v>
      </x:c>
    </x:row>
    <x:row r="3626" ht="20" customHeight="1">
      <x:c r="A3626" s="1" t="str">
        <x:v>22469</x:v>
      </x:c>
      <x:c r="B3626" s="9" t="d">
        <x:v>2011-11-01T00:00:00.000Z</x:v>
      </x:c>
      <x:c r="C3626" s="13" t="n">
        <x:v>62</x:v>
      </x:c>
    </x:row>
    <x:row r="3627" ht="20" customHeight="1">
      <x:c r="A3627" s="1" t="str">
        <x:v>22469</x:v>
      </x:c>
      <x:c r="B3627" s="9" t="d">
        <x:v>2011-11-02T00:00:00.000Z</x:v>
      </x:c>
      <x:c r="C3627" s="13" t="n">
        <x:v>15</x:v>
      </x:c>
    </x:row>
    <x:row r="3628" ht="20" customHeight="1">
      <x:c r="A3628" s="1" t="str">
        <x:v>22469</x:v>
      </x:c>
      <x:c r="B3628" s="9" t="d">
        <x:v>2011-11-03T00:00:00.000Z</x:v>
      </x:c>
      <x:c r="C3628" s="13" t="n">
        <x:v>696</x:v>
      </x:c>
    </x:row>
    <x:row r="3629" ht="20" customHeight="1">
      <x:c r="A3629" s="1" t="str">
        <x:v>22469</x:v>
      </x:c>
      <x:c r="B3629" s="9" t="d">
        <x:v>2011-11-04T00:00:00.000Z</x:v>
      </x:c>
      <x:c r="C3629" s="13" t="n">
        <x:v>147</x:v>
      </x:c>
    </x:row>
    <x:row r="3630" ht="20" customHeight="1">
      <x:c r="A3630" s="1" t="str">
        <x:v>22469</x:v>
      </x:c>
      <x:c r="B3630" s="9" t="d">
        <x:v>2011-11-05T00:00:00.000Z</x:v>
      </x:c>
      <x:c r="C3630" s="13" t="n">
        <x:v>0</x:v>
      </x:c>
    </x:row>
    <x:row r="3631" ht="20" customHeight="1">
      <x:c r="A3631" s="1" t="str">
        <x:v>22469</x:v>
      </x:c>
      <x:c r="B3631" s="9" t="d">
        <x:v>2011-11-06T00:00:00.000Z</x:v>
      </x:c>
      <x:c r="C3631" s="13" t="n">
        <x:v>86</x:v>
      </x:c>
    </x:row>
    <x:row r="3632" ht="20" customHeight="1">
      <x:c r="A3632" s="1" t="str">
        <x:v>22469</x:v>
      </x:c>
      <x:c r="B3632" s="9" t="d">
        <x:v>2011-11-07T00:00:00.000Z</x:v>
      </x:c>
      <x:c r="C3632" s="13" t="n">
        <x:v>91</x:v>
      </x:c>
    </x:row>
    <x:row r="3633" ht="20" customHeight="1">
      <x:c r="A3633" s="1" t="str">
        <x:v>22469</x:v>
      </x:c>
      <x:c r="B3633" s="9" t="d">
        <x:v>2011-11-08T00:00:00.000Z</x:v>
      </x:c>
      <x:c r="C3633" s="13" t="n">
        <x:v>53</x:v>
      </x:c>
    </x:row>
    <x:row r="3634" ht="20" customHeight="1">
      <x:c r="A3634" s="1" t="str">
        <x:v>22469</x:v>
      </x:c>
      <x:c r="B3634" s="9" t="d">
        <x:v>2011-11-09T00:00:00.000Z</x:v>
      </x:c>
      <x:c r="C3634" s="13" t="n">
        <x:v>6</x:v>
      </x:c>
    </x:row>
    <x:row r="3635" ht="20" customHeight="1">
      <x:c r="A3635" s="1" t="str">
        <x:v>22469</x:v>
      </x:c>
      <x:c r="B3635" s="9" t="d">
        <x:v>2011-11-10T00:00:00.000Z</x:v>
      </x:c>
      <x:c r="C3635" s="13" t="n">
        <x:v>80</x:v>
      </x:c>
    </x:row>
    <x:row r="3636" ht="20" customHeight="1">
      <x:c r="A3636" s="1" t="str">
        <x:v>22469</x:v>
      </x:c>
      <x:c r="B3636" s="9" t="d">
        <x:v>2011-11-11T00:00:00.000Z</x:v>
      </x:c>
      <x:c r="C3636" s="13" t="n">
        <x:v>44</x:v>
      </x:c>
    </x:row>
    <x:row r="3637" ht="20" customHeight="1">
      <x:c r="A3637" s="1" t="str">
        <x:v>22469</x:v>
      </x:c>
      <x:c r="B3637" s="9" t="d">
        <x:v>2011-11-12T00:00:00.000Z</x:v>
      </x:c>
      <x:c r="C3637" s="13" t="n">
        <x:v>0</x:v>
      </x:c>
    </x:row>
    <x:row r="3638" ht="20" customHeight="1">
      <x:c r="A3638" s="1" t="str">
        <x:v>22469</x:v>
      </x:c>
      <x:c r="B3638" s="9" t="d">
        <x:v>2011-11-13T00:00:00.000Z</x:v>
      </x:c>
      <x:c r="C3638" s="13" t="n">
        <x:v>31</x:v>
      </x:c>
    </x:row>
    <x:row r="3639" ht="20" customHeight="1">
      <x:c r="A3639" s="1" t="str">
        <x:v>22469</x:v>
      </x:c>
      <x:c r="B3639" s="9" t="d">
        <x:v>2011-11-14T00:00:00.000Z</x:v>
      </x:c>
      <x:c r="C3639" s="13" t="n">
        <x:v>119</x:v>
      </x:c>
    </x:row>
    <x:row r="3640" ht="20" customHeight="1">
      <x:c r="A3640" s="1" t="str">
        <x:v>22469</x:v>
      </x:c>
      <x:c r="B3640" s="9" t="d">
        <x:v>2011-11-15T00:00:00.000Z</x:v>
      </x:c>
      <x:c r="C3640" s="13" t="n">
        <x:v>17</x:v>
      </x:c>
    </x:row>
    <x:row r="3641" ht="20" customHeight="1">
      <x:c r="A3641" s="1" t="str">
        <x:v>22469</x:v>
      </x:c>
      <x:c r="B3641" s="9" t="d">
        <x:v>2011-11-16T00:00:00.000Z</x:v>
      </x:c>
      <x:c r="C3641" s="13" t="n">
        <x:v>48</x:v>
      </x:c>
    </x:row>
    <x:row r="3642" ht="20" customHeight="1">
      <x:c r="A3642" s="1" t="str">
        <x:v>22469</x:v>
      </x:c>
      <x:c r="B3642" s="9" t="d">
        <x:v>2011-11-17T00:00:00.000Z</x:v>
      </x:c>
      <x:c r="C3642" s="13" t="n">
        <x:v>34</x:v>
      </x:c>
    </x:row>
    <x:row r="3643" ht="20" customHeight="1">
      <x:c r="A3643" s="1" t="str">
        <x:v>22469</x:v>
      </x:c>
      <x:c r="B3643" s="9" t="d">
        <x:v>2011-11-18T00:00:00.000Z</x:v>
      </x:c>
      <x:c r="C3643" s="13" t="n">
        <x:v>89</x:v>
      </x:c>
    </x:row>
    <x:row r="3644" ht="20" customHeight="1">
      <x:c r="A3644" s="1" t="str">
        <x:v>22469</x:v>
      </x:c>
      <x:c r="B3644" s="9" t="d">
        <x:v>2011-11-19T00:00:00.000Z</x:v>
      </x:c>
      <x:c r="C3644" s="13" t="n">
        <x:v>0</x:v>
      </x:c>
    </x:row>
    <x:row r="3645" ht="20" customHeight="1">
      <x:c r="A3645" s="1" t="str">
        <x:v>22469</x:v>
      </x:c>
      <x:c r="B3645" s="9" t="d">
        <x:v>2011-11-20T00:00:00.000Z</x:v>
      </x:c>
      <x:c r="C3645" s="13" t="n">
        <x:v>54</x:v>
      </x:c>
    </x:row>
    <x:row r="3646" ht="20" customHeight="1">
      <x:c r="A3646" s="1" t="str">
        <x:v>22469</x:v>
      </x:c>
      <x:c r="B3646" s="9" t="d">
        <x:v>2011-11-21T00:00:00.000Z</x:v>
      </x:c>
      <x:c r="C3646" s="13" t="n">
        <x:v>31</x:v>
      </x:c>
    </x:row>
    <x:row r="3647" ht="20" customHeight="1">
      <x:c r="A3647" s="1" t="str">
        <x:v>22469</x:v>
      </x:c>
      <x:c r="B3647" s="9" t="d">
        <x:v>2011-11-22T00:00:00.000Z</x:v>
      </x:c>
      <x:c r="C3647" s="13" t="n">
        <x:v>48</x:v>
      </x:c>
    </x:row>
    <x:row r="3648" ht="20" customHeight="1">
      <x:c r="A3648" s="1" t="str">
        <x:v>22469</x:v>
      </x:c>
      <x:c r="B3648" s="9" t="d">
        <x:v>2011-11-23T00:00:00.000Z</x:v>
      </x:c>
      <x:c r="C3648" s="13" t="n">
        <x:v>81</x:v>
      </x:c>
    </x:row>
    <x:row r="3649" ht="20" customHeight="1">
      <x:c r="A3649" s="1" t="str">
        <x:v>22469</x:v>
      </x:c>
      <x:c r="B3649" s="9" t="d">
        <x:v>2011-11-24T00:00:00.000Z</x:v>
      </x:c>
      <x:c r="C3649" s="13" t="n">
        <x:v>19</x:v>
      </x:c>
    </x:row>
    <x:row r="3650" ht="20" customHeight="1">
      <x:c r="A3650" s="1" t="str">
        <x:v>22469</x:v>
      </x:c>
      <x:c r="B3650" s="9" t="d">
        <x:v>2011-11-25T00:00:00.000Z</x:v>
      </x:c>
      <x:c r="C3650" s="13" t="n">
        <x:v>26</x:v>
      </x:c>
    </x:row>
    <x:row r="3651" ht="20" customHeight="1">
      <x:c r="A3651" s="1" t="str">
        <x:v>22469</x:v>
      </x:c>
      <x:c r="B3651" s="9" t="d">
        <x:v>2011-11-26T00:00:00.000Z</x:v>
      </x:c>
      <x:c r="C3651" s="13" t="n">
        <x:v>0</x:v>
      </x:c>
    </x:row>
    <x:row r="3652" ht="20" customHeight="1">
      <x:c r="A3652" s="1" t="str">
        <x:v>22469</x:v>
      </x:c>
      <x:c r="B3652" s="9" t="d">
        <x:v>2011-11-27T00:00:00.000Z</x:v>
      </x:c>
      <x:c r="C3652" s="13" t="n">
        <x:v>8</x:v>
      </x:c>
    </x:row>
    <x:row r="3653" ht="20" customHeight="1">
      <x:c r="A3653" s="1" t="str">
        <x:v>22469</x:v>
      </x:c>
      <x:c r="B3653" s="9" t="d">
        <x:v>2011-11-28T00:00:00.000Z</x:v>
      </x:c>
      <x:c r="C3653" s="13" t="n">
        <x:v>655</x:v>
      </x:c>
    </x:row>
    <x:row r="3654" ht="20" customHeight="1">
      <x:c r="A3654" s="1" t="str">
        <x:v>22469</x:v>
      </x:c>
      <x:c r="B3654" s="9" t="d">
        <x:v>2011-11-29T00:00:00.000Z</x:v>
      </x:c>
      <x:c r="C3654" s="13" t="n">
        <x:v>40</x:v>
      </x:c>
    </x:row>
    <x:row r="3655" ht="20" customHeight="1">
      <x:c r="A3655" s="1" t="str">
        <x:v>22469</x:v>
      </x:c>
      <x:c r="B3655" s="9" t="d">
        <x:v>2011-11-30T00:00:00.000Z</x:v>
      </x:c>
      <x:c r="C3655" s="13" t="n">
        <x:v>45</x:v>
      </x:c>
    </x:row>
    <x:row r="3656" ht="20" customHeight="1">
      <x:c r="A3656" s="1" t="str">
        <x:v>22470</x:v>
      </x:c>
      <x:c r="B3656" s="9" t="d">
        <x:v>2010-12-01T00:00:00.000Z</x:v>
      </x:c>
      <x:c r="C3656" s="13" t="n">
        <x:v>47</x:v>
      </x:c>
    </x:row>
    <x:row r="3657" ht="20" customHeight="1">
      <x:c r="A3657" s="1" t="str">
        <x:v>22470</x:v>
      </x:c>
      <x:c r="B3657" s="9" t="d">
        <x:v>2010-12-02T00:00:00.000Z</x:v>
      </x:c>
      <x:c r="C3657" s="13" t="n">
        <x:v>15</x:v>
      </x:c>
    </x:row>
    <x:row r="3658" ht="20" customHeight="1">
      <x:c r="A3658" s="1" t="str">
        <x:v>22470</x:v>
      </x:c>
      <x:c r="B3658" s="9" t="d">
        <x:v>2010-12-03T00:00:00.000Z</x:v>
      </x:c>
      <x:c r="C3658" s="13" t="n">
        <x:v>15</x:v>
      </x:c>
    </x:row>
    <x:row r="3659" ht="20" customHeight="1">
      <x:c r="A3659" s="1" t="str">
        <x:v>22470</x:v>
      </x:c>
      <x:c r="B3659" s="9" t="d">
        <x:v>2010-12-04T00:00:00.000Z</x:v>
      </x:c>
      <x:c r="C3659" s="13" t="n">
        <x:v>0</x:v>
      </x:c>
    </x:row>
    <x:row r="3660" ht="20" customHeight="1">
      <x:c r="A3660" s="1" t="str">
        <x:v>22470</x:v>
      </x:c>
      <x:c r="B3660" s="9" t="d">
        <x:v>2010-12-05T00:00:00.000Z</x:v>
      </x:c>
      <x:c r="C3660" s="13" t="n">
        <x:v>94</x:v>
      </x:c>
    </x:row>
    <x:row r="3661" ht="20" customHeight="1">
      <x:c r="A3661" s="1" t="str">
        <x:v>22470</x:v>
      </x:c>
      <x:c r="B3661" s="9" t="d">
        <x:v>2010-12-06T00:00:00.000Z</x:v>
      </x:c>
      <x:c r="C3661" s="13" t="n">
        <x:v>34</x:v>
      </x:c>
    </x:row>
    <x:row r="3662" ht="20" customHeight="1">
      <x:c r="A3662" s="1" t="str">
        <x:v>22470</x:v>
      </x:c>
      <x:c r="B3662" s="9" t="d">
        <x:v>2010-12-07T00:00:00.000Z</x:v>
      </x:c>
      <x:c r="C3662" s="13" t="n">
        <x:v>462</x:v>
      </x:c>
    </x:row>
    <x:row r="3663" ht="20" customHeight="1">
      <x:c r="A3663" s="1" t="str">
        <x:v>22470</x:v>
      </x:c>
      <x:c r="B3663" s="9" t="d">
        <x:v>2010-12-08T00:00:00.000Z</x:v>
      </x:c>
      <x:c r="C3663" s="13" t="n">
        <x:v>35</x:v>
      </x:c>
    </x:row>
    <x:row r="3664" ht="20" customHeight="1">
      <x:c r="A3664" s="1" t="str">
        <x:v>22470</x:v>
      </x:c>
      <x:c r="B3664" s="9" t="d">
        <x:v>2010-12-09T00:00:00.000Z</x:v>
      </x:c>
      <x:c r="C3664" s="13" t="n">
        <x:v>33</x:v>
      </x:c>
    </x:row>
    <x:row r="3665" ht="20" customHeight="1">
      <x:c r="A3665" s="1" t="str">
        <x:v>22470</x:v>
      </x:c>
      <x:c r="B3665" s="9" t="d">
        <x:v>2010-12-10T00:00:00.000Z</x:v>
      </x:c>
      <x:c r="C3665" s="13" t="n">
        <x:v>44</x:v>
      </x:c>
    </x:row>
    <x:row r="3666" ht="20" customHeight="1">
      <x:c r="A3666" s="1" t="str">
        <x:v>22470</x:v>
      </x:c>
      <x:c r="B3666" s="9" t="d">
        <x:v>2010-12-11T00:00:00.000Z</x:v>
      </x:c>
      <x:c r="C3666" s="13" t="n">
        <x:v>0</x:v>
      </x:c>
    </x:row>
    <x:row r="3667" ht="20" customHeight="1">
      <x:c r="A3667" s="1" t="str">
        <x:v>22470</x:v>
      </x:c>
      <x:c r="B3667" s="9" t="d">
        <x:v>2010-12-12T00:00:00.000Z</x:v>
      </x:c>
      <x:c r="C3667" s="13" t="n">
        <x:v>17</x:v>
      </x:c>
    </x:row>
    <x:row r="3668" ht="20" customHeight="1">
      <x:c r="A3668" s="1" t="str">
        <x:v>22470</x:v>
      </x:c>
      <x:c r="B3668" s="9" t="d">
        <x:v>2010-12-13T00:00:00.000Z</x:v>
      </x:c>
      <x:c r="C3668" s="13" t="n">
        <x:v>73</x:v>
      </x:c>
    </x:row>
    <x:row r="3669" ht="20" customHeight="1">
      <x:c r="A3669" s="1" t="str">
        <x:v>22470</x:v>
      </x:c>
      <x:c r="B3669" s="9" t="d">
        <x:v>2010-12-14T00:00:00.000Z</x:v>
      </x:c>
      <x:c r="C3669" s="13" t="n">
        <x:v>25</x:v>
      </x:c>
    </x:row>
    <x:row r="3670" ht="20" customHeight="1">
      <x:c r="A3670" s="1" t="str">
        <x:v>22470</x:v>
      </x:c>
      <x:c r="B3670" s="9" t="d">
        <x:v>2010-12-15T00:00:00.000Z</x:v>
      </x:c>
      <x:c r="C3670" s="13" t="n">
        <x:v>98</x:v>
      </x:c>
    </x:row>
    <x:row r="3671" ht="20" customHeight="1">
      <x:c r="A3671" s="1" t="str">
        <x:v>22470</x:v>
      </x:c>
      <x:c r="B3671" s="9" t="d">
        <x:v>2010-12-16T00:00:00.000Z</x:v>
      </x:c>
      <x:c r="C3671" s="13" t="n">
        <x:v>5</x:v>
      </x:c>
    </x:row>
    <x:row r="3672" ht="20" customHeight="1">
      <x:c r="A3672" s="1" t="str">
        <x:v>22470</x:v>
      </x:c>
      <x:c r="B3672" s="9" t="d">
        <x:v>2010-12-17T00:00:00.000Z</x:v>
      </x:c>
      <x:c r="C3672" s="13" t="n">
        <x:v>30</x:v>
      </x:c>
    </x:row>
    <x:row r="3673" ht="20" customHeight="1">
      <x:c r="A3673" s="1" t="str">
        <x:v>22470</x:v>
      </x:c>
      <x:c r="B3673" s="9" t="d">
        <x:v>2010-12-18T00:00:00.000Z</x:v>
      </x:c>
      <x:c r="C3673" s="13" t="n">
        <x:v>0</x:v>
      </x:c>
    </x:row>
    <x:row r="3674" ht="20" customHeight="1">
      <x:c r="A3674" s="1" t="str">
        <x:v>22470</x:v>
      </x:c>
      <x:c r="B3674" s="9" t="d">
        <x:v>2010-12-19T00:00:00.000Z</x:v>
      </x:c>
      <x:c r="C3674" s="13" t="n">
        <x:v>0</x:v>
      </x:c>
    </x:row>
    <x:row r="3675" ht="20" customHeight="1">
      <x:c r="A3675" s="1" t="str">
        <x:v>22470</x:v>
      </x:c>
      <x:c r="B3675" s="9" t="d">
        <x:v>2010-12-20T00:00:00.000Z</x:v>
      </x:c>
      <x:c r="C3675" s="13" t="n">
        <x:v>41</x:v>
      </x:c>
    </x:row>
    <x:row r="3676" ht="20" customHeight="1">
      <x:c r="A3676" s="1" t="str">
        <x:v>22470</x:v>
      </x:c>
      <x:c r="B3676" s="9" t="d">
        <x:v>2010-12-21T00:00:00.000Z</x:v>
      </x:c>
      <x:c r="C3676" s="13" t="n">
        <x:v>1</x:v>
      </x:c>
    </x:row>
    <x:row r="3677" ht="20" customHeight="1">
      <x:c r="A3677" s="1" t="str">
        <x:v>22470</x:v>
      </x:c>
      <x:c r="B3677" s="9" t="d">
        <x:v>2010-12-22T00:00:00.000Z</x:v>
      </x:c>
      <x:c r="C3677" s="13" t="n">
        <x:v>12</x:v>
      </x:c>
    </x:row>
    <x:row r="3678" ht="20" customHeight="1">
      <x:c r="A3678" s="1" t="str">
        <x:v>22470</x:v>
      </x:c>
      <x:c r="B3678" s="9" t="d">
        <x:v>2010-12-23T00:00:00.000Z</x:v>
      </x:c>
      <x:c r="C3678" s="13" t="n">
        <x:v>1</x:v>
      </x:c>
    </x:row>
    <x:row r="3679" ht="20" customHeight="1">
      <x:c r="A3679" s="1" t="str">
        <x:v>22470</x:v>
      </x:c>
      <x:c r="B3679" s="9" t="d">
        <x:v>2010-12-24T00:00:00.000Z</x:v>
      </x:c>
      <x:c r="C3679" s="13" t="n">
        <x:v>0</x:v>
      </x:c>
    </x:row>
    <x:row r="3680" ht="20" customHeight="1">
      <x:c r="A3680" s="1" t="str">
        <x:v>22470</x:v>
      </x:c>
      <x:c r="B3680" s="9" t="d">
        <x:v>2010-12-25T00:00:00.000Z</x:v>
      </x:c>
      <x:c r="C3680" s="13" t="n">
        <x:v>0</x:v>
      </x:c>
    </x:row>
    <x:row r="3681" ht="20" customHeight="1">
      <x:c r="A3681" s="1" t="str">
        <x:v>22470</x:v>
      </x:c>
      <x:c r="B3681" s="9" t="d">
        <x:v>2010-12-26T00:00:00.000Z</x:v>
      </x:c>
      <x:c r="C3681" s="13" t="n">
        <x:v>0</x:v>
      </x:c>
    </x:row>
    <x:row r="3682" ht="20" customHeight="1">
      <x:c r="A3682" s="1" t="str">
        <x:v>22470</x:v>
      </x:c>
      <x:c r="B3682" s="9" t="d">
        <x:v>2010-12-27T00:00:00.000Z</x:v>
      </x:c>
      <x:c r="C3682" s="13" t="n">
        <x:v>0</x:v>
      </x:c>
    </x:row>
    <x:row r="3683" ht="20" customHeight="1">
      <x:c r="A3683" s="1" t="str">
        <x:v>22470</x:v>
      </x:c>
      <x:c r="B3683" s="9" t="d">
        <x:v>2010-12-28T00:00:00.000Z</x:v>
      </x:c>
      <x:c r="C3683" s="13" t="n">
        <x:v>0</x:v>
      </x:c>
    </x:row>
    <x:row r="3684" ht="20" customHeight="1">
      <x:c r="A3684" s="1" t="str">
        <x:v>22470</x:v>
      </x:c>
      <x:c r="B3684" s="9" t="d">
        <x:v>2010-12-29T00:00:00.000Z</x:v>
      </x:c>
      <x:c r="C3684" s="13" t="n">
        <x:v>0</x:v>
      </x:c>
    </x:row>
    <x:row r="3685" ht="20" customHeight="1">
      <x:c r="A3685" s="1" t="str">
        <x:v>22470</x:v>
      </x:c>
      <x:c r="B3685" s="9" t="d">
        <x:v>2010-12-30T00:00:00.000Z</x:v>
      </x:c>
      <x:c r="C3685" s="13" t="n">
        <x:v>0</x:v>
      </x:c>
    </x:row>
    <x:row r="3686" ht="20" customHeight="1">
      <x:c r="A3686" s="1" t="str">
        <x:v>22470</x:v>
      </x:c>
      <x:c r="B3686" s="9" t="d">
        <x:v>2010-12-31T00:00:00.000Z</x:v>
      </x:c>
      <x:c r="C3686" s="13" t="n">
        <x:v>0</x:v>
      </x:c>
    </x:row>
    <x:row r="3687" ht="20" customHeight="1">
      <x:c r="A3687" s="1" t="str">
        <x:v>22470</x:v>
      </x:c>
      <x:c r="B3687" s="9" t="d">
        <x:v>2011-01-01T00:00:00.000Z</x:v>
      </x:c>
      <x:c r="C3687" s="13" t="n">
        <x:v>0</x:v>
      </x:c>
    </x:row>
    <x:row r="3688" ht="20" customHeight="1">
      <x:c r="A3688" s="1" t="str">
        <x:v>22470</x:v>
      </x:c>
      <x:c r="B3688" s="9" t="d">
        <x:v>2011-01-02T00:00:00.000Z</x:v>
      </x:c>
      <x:c r="C3688" s="13" t="n">
        <x:v>0</x:v>
      </x:c>
    </x:row>
    <x:row r="3689" ht="20" customHeight="1">
      <x:c r="A3689" s="1" t="str">
        <x:v>22470</x:v>
      </x:c>
      <x:c r="B3689" s="9" t="d">
        <x:v>2011-01-03T00:00:00.000Z</x:v>
      </x:c>
      <x:c r="C3689" s="13" t="n">
        <x:v>0</x:v>
      </x:c>
    </x:row>
    <x:row r="3690" ht="20" customHeight="1">
      <x:c r="A3690" s="1" t="str">
        <x:v>22470</x:v>
      </x:c>
      <x:c r="B3690" s="9" t="d">
        <x:v>2011-01-04T00:00:00.000Z</x:v>
      </x:c>
      <x:c r="C3690" s="13" t="n">
        <x:v>26</x:v>
      </x:c>
    </x:row>
    <x:row r="3691" ht="20" customHeight="1">
      <x:c r="A3691" s="1" t="str">
        <x:v>22470</x:v>
      </x:c>
      <x:c r="B3691" s="9" t="d">
        <x:v>2011-01-05T00:00:00.000Z</x:v>
      </x:c>
      <x:c r="C3691" s="13" t="n">
        <x:v>27</x:v>
      </x:c>
    </x:row>
    <x:row r="3692" ht="20" customHeight="1">
      <x:c r="A3692" s="1" t="str">
        <x:v>22470</x:v>
      </x:c>
      <x:c r="B3692" s="9" t="d">
        <x:v>2011-01-06T00:00:00.000Z</x:v>
      </x:c>
      <x:c r="C3692" s="13" t="n">
        <x:v>34</x:v>
      </x:c>
    </x:row>
    <x:row r="3693" ht="20" customHeight="1">
      <x:c r="A3693" s="1" t="str">
        <x:v>22470</x:v>
      </x:c>
      <x:c r="B3693" s="9" t="d">
        <x:v>2011-01-07T00:00:00.000Z</x:v>
      </x:c>
      <x:c r="C3693" s="13" t="n">
        <x:v>24</x:v>
      </x:c>
    </x:row>
    <x:row r="3694" ht="20" customHeight="1">
      <x:c r="A3694" s="1" t="str">
        <x:v>22470</x:v>
      </x:c>
      <x:c r="B3694" s="9" t="d">
        <x:v>2011-01-08T00:00:00.000Z</x:v>
      </x:c>
      <x:c r="C3694" s="13" t="n">
        <x:v>0</x:v>
      </x:c>
    </x:row>
    <x:row r="3695" ht="20" customHeight="1">
      <x:c r="A3695" s="1" t="str">
        <x:v>22470</x:v>
      </x:c>
      <x:c r="B3695" s="9" t="d">
        <x:v>2011-01-09T00:00:00.000Z</x:v>
      </x:c>
      <x:c r="C3695" s="13" t="n">
        <x:v>28</x:v>
      </x:c>
    </x:row>
    <x:row r="3696" ht="20" customHeight="1">
      <x:c r="A3696" s="1" t="str">
        <x:v>22470</x:v>
      </x:c>
      <x:c r="B3696" s="9" t="d">
        <x:v>2011-01-10T00:00:00.000Z</x:v>
      </x:c>
      <x:c r="C3696" s="13" t="n">
        <x:v>12</x:v>
      </x:c>
    </x:row>
    <x:row r="3697" ht="20" customHeight="1">
      <x:c r="A3697" s="1" t="str">
        <x:v>22470</x:v>
      </x:c>
      <x:c r="B3697" s="9" t="d">
        <x:v>2011-01-11T00:00:00.000Z</x:v>
      </x:c>
      <x:c r="C3697" s="13" t="n">
        <x:v>1292</x:v>
      </x:c>
    </x:row>
    <x:row r="3698" ht="20" customHeight="1">
      <x:c r="A3698" s="1" t="str">
        <x:v>22470</x:v>
      </x:c>
      <x:c r="B3698" s="9" t="d">
        <x:v>2011-01-12T00:00:00.000Z</x:v>
      </x:c>
      <x:c r="C3698" s="13" t="n">
        <x:v>12</x:v>
      </x:c>
    </x:row>
    <x:row r="3699" ht="20" customHeight="1">
      <x:c r="A3699" s="1" t="str">
        <x:v>22470</x:v>
      </x:c>
      <x:c r="B3699" s="9" t="d">
        <x:v>2011-01-13T00:00:00.000Z</x:v>
      </x:c>
      <x:c r="C3699" s="13" t="n">
        <x:v>6</x:v>
      </x:c>
    </x:row>
    <x:row r="3700" ht="20" customHeight="1">
      <x:c r="A3700" s="1" t="str">
        <x:v>22470</x:v>
      </x:c>
      <x:c r="B3700" s="9" t="d">
        <x:v>2011-01-14T00:00:00.000Z</x:v>
      </x:c>
      <x:c r="C3700" s="13" t="n">
        <x:v>10</x:v>
      </x:c>
    </x:row>
    <x:row r="3701" ht="20" customHeight="1">
      <x:c r="A3701" s="1" t="str">
        <x:v>22470</x:v>
      </x:c>
      <x:c r="B3701" s="9" t="d">
        <x:v>2011-01-15T00:00:00.000Z</x:v>
      </x:c>
      <x:c r="C3701" s="13" t="n">
        <x:v>0</x:v>
      </x:c>
    </x:row>
    <x:row r="3702" ht="20" customHeight="1">
      <x:c r="A3702" s="1" t="str">
        <x:v>22470</x:v>
      </x:c>
      <x:c r="B3702" s="9" t="d">
        <x:v>2011-01-16T00:00:00.000Z</x:v>
      </x:c>
      <x:c r="C3702" s="13" t="n">
        <x:v>36</x:v>
      </x:c>
    </x:row>
    <x:row r="3703" ht="20" customHeight="1">
      <x:c r="A3703" s="1" t="str">
        <x:v>22470</x:v>
      </x:c>
      <x:c r="B3703" s="9" t="d">
        <x:v>2011-01-17T00:00:00.000Z</x:v>
      </x:c>
      <x:c r="C3703" s="13" t="n">
        <x:v>22</x:v>
      </x:c>
    </x:row>
    <x:row r="3704" ht="20" customHeight="1">
      <x:c r="A3704" s="1" t="str">
        <x:v>22470</x:v>
      </x:c>
      <x:c r="B3704" s="9" t="d">
        <x:v>2011-01-18T00:00:00.000Z</x:v>
      </x:c>
      <x:c r="C3704" s="13" t="n">
        <x:v>0</x:v>
      </x:c>
    </x:row>
    <x:row r="3705" ht="20" customHeight="1">
      <x:c r="A3705" s="1" t="str">
        <x:v>22470</x:v>
      </x:c>
      <x:c r="B3705" s="9" t="d">
        <x:v>2011-01-19T00:00:00.000Z</x:v>
      </x:c>
      <x:c r="C3705" s="13" t="n">
        <x:v>3</x:v>
      </x:c>
    </x:row>
    <x:row r="3706" ht="20" customHeight="1">
      <x:c r="A3706" s="1" t="str">
        <x:v>22470</x:v>
      </x:c>
      <x:c r="B3706" s="9" t="d">
        <x:v>2011-01-20T00:00:00.000Z</x:v>
      </x:c>
      <x:c r="C3706" s="13" t="n">
        <x:v>1</x:v>
      </x:c>
    </x:row>
    <x:row r="3707" ht="20" customHeight="1">
      <x:c r="A3707" s="1" t="str">
        <x:v>22470</x:v>
      </x:c>
      <x:c r="B3707" s="9" t="d">
        <x:v>2011-01-21T00:00:00.000Z</x:v>
      </x:c>
      <x:c r="C3707" s="13" t="n">
        <x:v>33</x:v>
      </x:c>
    </x:row>
    <x:row r="3708" ht="20" customHeight="1">
      <x:c r="A3708" s="1" t="str">
        <x:v>22470</x:v>
      </x:c>
      <x:c r="B3708" s="9" t="d">
        <x:v>2011-01-22T00:00:00.000Z</x:v>
      </x:c>
      <x:c r="C3708" s="13" t="n">
        <x:v>0</x:v>
      </x:c>
    </x:row>
    <x:row r="3709" ht="20" customHeight="1">
      <x:c r="A3709" s="1" t="str">
        <x:v>22470</x:v>
      </x:c>
      <x:c r="B3709" s="9" t="d">
        <x:v>2011-01-23T00:00:00.000Z</x:v>
      </x:c>
      <x:c r="C3709" s="13" t="n">
        <x:v>16</x:v>
      </x:c>
    </x:row>
    <x:row r="3710" ht="20" customHeight="1">
      <x:c r="A3710" s="1" t="str">
        <x:v>22470</x:v>
      </x:c>
      <x:c r="B3710" s="9" t="d">
        <x:v>2011-01-24T00:00:00.000Z</x:v>
      </x:c>
      <x:c r="C3710" s="13" t="n">
        <x:v>22</x:v>
      </x:c>
    </x:row>
    <x:row r="3711" ht="20" customHeight="1">
      <x:c r="A3711" s="1" t="str">
        <x:v>22470</x:v>
      </x:c>
      <x:c r="B3711" s="9" t="d">
        <x:v>2011-01-25T00:00:00.000Z</x:v>
      </x:c>
      <x:c r="C3711" s="13" t="n">
        <x:v>41</x:v>
      </x:c>
    </x:row>
    <x:row r="3712" ht="20" customHeight="1">
      <x:c r="A3712" s="1" t="str">
        <x:v>22470</x:v>
      </x:c>
      <x:c r="B3712" s="9" t="d">
        <x:v>2011-01-26T00:00:00.000Z</x:v>
      </x:c>
      <x:c r="C3712" s="13" t="n">
        <x:v>15</x:v>
      </x:c>
    </x:row>
    <x:row r="3713" ht="20" customHeight="1">
      <x:c r="A3713" s="1" t="str">
        <x:v>22470</x:v>
      </x:c>
      <x:c r="B3713" s="9" t="d">
        <x:v>2011-01-27T00:00:00.000Z</x:v>
      </x:c>
      <x:c r="C3713" s="13" t="n">
        <x:v>32</x:v>
      </x:c>
    </x:row>
    <x:row r="3714" ht="20" customHeight="1">
      <x:c r="A3714" s="1" t="str">
        <x:v>22470</x:v>
      </x:c>
      <x:c r="B3714" s="9" t="d">
        <x:v>2011-01-28T00:00:00.000Z</x:v>
      </x:c>
      <x:c r="C3714" s="13" t="n">
        <x:v>26</x:v>
      </x:c>
    </x:row>
    <x:row r="3715" ht="20" customHeight="1">
      <x:c r="A3715" s="1" t="str">
        <x:v>22470</x:v>
      </x:c>
      <x:c r="B3715" s="9" t="d">
        <x:v>2011-01-29T00:00:00.000Z</x:v>
      </x:c>
      <x:c r="C3715" s="13" t="n">
        <x:v>0</x:v>
      </x:c>
    </x:row>
    <x:row r="3716" ht="20" customHeight="1">
      <x:c r="A3716" s="1" t="str">
        <x:v>22470</x:v>
      </x:c>
      <x:c r="B3716" s="9" t="d">
        <x:v>2011-01-30T00:00:00.000Z</x:v>
      </x:c>
      <x:c r="C3716" s="13" t="n">
        <x:v>39</x:v>
      </x:c>
    </x:row>
    <x:row r="3717" ht="20" customHeight="1">
      <x:c r="A3717" s="1" t="str">
        <x:v>22470</x:v>
      </x:c>
      <x:c r="B3717" s="9" t="d">
        <x:v>2011-01-31T00:00:00.000Z</x:v>
      </x:c>
      <x:c r="C3717" s="13" t="n">
        <x:v>14</x:v>
      </x:c>
    </x:row>
    <x:row r="3718" ht="20" customHeight="1">
      <x:c r="A3718" s="1" t="str">
        <x:v>22470</x:v>
      </x:c>
      <x:c r="B3718" s="9" t="d">
        <x:v>2011-02-01T00:00:00.000Z</x:v>
      </x:c>
      <x:c r="C3718" s="13" t="n">
        <x:v>32</x:v>
      </x:c>
    </x:row>
    <x:row r="3719" ht="20" customHeight="1">
      <x:c r="A3719" s="1" t="str">
        <x:v>22470</x:v>
      </x:c>
      <x:c r="B3719" s="9" t="d">
        <x:v>2011-02-02T00:00:00.000Z</x:v>
      </x:c>
      <x:c r="C3719" s="13" t="n">
        <x:v>66</x:v>
      </x:c>
    </x:row>
    <x:row r="3720" ht="20" customHeight="1">
      <x:c r="A3720" s="1" t="str">
        <x:v>22470</x:v>
      </x:c>
      <x:c r="B3720" s="9" t="d">
        <x:v>2011-02-03T00:00:00.000Z</x:v>
      </x:c>
      <x:c r="C3720" s="13" t="n">
        <x:v>37</x:v>
      </x:c>
    </x:row>
    <x:row r="3721" ht="20" customHeight="1">
      <x:c r="A3721" s="1" t="str">
        <x:v>22470</x:v>
      </x:c>
      <x:c r="B3721" s="9" t="d">
        <x:v>2011-02-04T00:00:00.000Z</x:v>
      </x:c>
      <x:c r="C3721" s="13" t="n">
        <x:v>2</x:v>
      </x:c>
    </x:row>
    <x:row r="3722" ht="20" customHeight="1">
      <x:c r="A3722" s="1" t="str">
        <x:v>22470</x:v>
      </x:c>
      <x:c r="B3722" s="9" t="d">
        <x:v>2011-02-05T00:00:00.000Z</x:v>
      </x:c>
      <x:c r="C3722" s="13" t="n">
        <x:v>0</x:v>
      </x:c>
    </x:row>
    <x:row r="3723" ht="20" customHeight="1">
      <x:c r="A3723" s="1" t="str">
        <x:v>22470</x:v>
      </x:c>
      <x:c r="B3723" s="9" t="d">
        <x:v>2011-02-06T00:00:00.000Z</x:v>
      </x:c>
      <x:c r="C3723" s="13" t="n">
        <x:v>0</x:v>
      </x:c>
    </x:row>
    <x:row r="3724" ht="20" customHeight="1">
      <x:c r="A3724" s="1" t="str">
        <x:v>22470</x:v>
      </x:c>
      <x:c r="B3724" s="9" t="d">
        <x:v>2011-02-07T00:00:00.000Z</x:v>
      </x:c>
      <x:c r="C3724" s="13" t="n">
        <x:v>39</x:v>
      </x:c>
    </x:row>
    <x:row r="3725" ht="20" customHeight="1">
      <x:c r="A3725" s="1" t="str">
        <x:v>22470</x:v>
      </x:c>
      <x:c r="B3725" s="9" t="d">
        <x:v>2011-02-08T00:00:00.000Z</x:v>
      </x:c>
      <x:c r="C3725" s="13" t="n">
        <x:v>24</x:v>
      </x:c>
    </x:row>
    <x:row r="3726" ht="20" customHeight="1">
      <x:c r="A3726" s="1" t="str">
        <x:v>22470</x:v>
      </x:c>
      <x:c r="B3726" s="9" t="d">
        <x:v>2011-02-09T00:00:00.000Z</x:v>
      </x:c>
      <x:c r="C3726" s="13" t="n">
        <x:v>10</x:v>
      </x:c>
    </x:row>
    <x:row r="3727" ht="20" customHeight="1">
      <x:c r="A3727" s="1" t="str">
        <x:v>22470</x:v>
      </x:c>
      <x:c r="B3727" s="9" t="d">
        <x:v>2011-02-10T00:00:00.000Z</x:v>
      </x:c>
      <x:c r="C3727" s="13" t="n">
        <x:v>70</x:v>
      </x:c>
    </x:row>
    <x:row r="3728" ht="20" customHeight="1">
      <x:c r="A3728" s="1" t="str">
        <x:v>22470</x:v>
      </x:c>
      <x:c r="B3728" s="9" t="d">
        <x:v>2011-02-11T00:00:00.000Z</x:v>
      </x:c>
      <x:c r="C3728" s="13" t="n">
        <x:v>29</x:v>
      </x:c>
    </x:row>
    <x:row r="3729" ht="20" customHeight="1">
      <x:c r="A3729" s="1" t="str">
        <x:v>22470</x:v>
      </x:c>
      <x:c r="B3729" s="9" t="d">
        <x:v>2011-02-12T00:00:00.000Z</x:v>
      </x:c>
      <x:c r="C3729" s="13" t="n">
        <x:v>0</x:v>
      </x:c>
    </x:row>
    <x:row r="3730" ht="20" customHeight="1">
      <x:c r="A3730" s="1" t="str">
        <x:v>22470</x:v>
      </x:c>
      <x:c r="B3730" s="9" t="d">
        <x:v>2011-02-13T00:00:00.000Z</x:v>
      </x:c>
      <x:c r="C3730" s="13" t="n">
        <x:v>18</x:v>
      </x:c>
    </x:row>
    <x:row r="3731" ht="20" customHeight="1">
      <x:c r="A3731" s="1" t="str">
        <x:v>22470</x:v>
      </x:c>
      <x:c r="B3731" s="9" t="d">
        <x:v>2011-02-14T00:00:00.000Z</x:v>
      </x:c>
      <x:c r="C3731" s="13" t="n">
        <x:v>7</x:v>
      </x:c>
    </x:row>
    <x:row r="3732" ht="20" customHeight="1">
      <x:c r="A3732" s="1" t="str">
        <x:v>22470</x:v>
      </x:c>
      <x:c r="B3732" s="9" t="d">
        <x:v>2011-02-15T00:00:00.000Z</x:v>
      </x:c>
      <x:c r="C3732" s="13" t="n">
        <x:v>1</x:v>
      </x:c>
    </x:row>
    <x:row r="3733" ht="20" customHeight="1">
      <x:c r="A3733" s="1" t="str">
        <x:v>22470</x:v>
      </x:c>
      <x:c r="B3733" s="9" t="d">
        <x:v>2011-02-16T00:00:00.000Z</x:v>
      </x:c>
      <x:c r="C3733" s="13" t="n">
        <x:v>94</x:v>
      </x:c>
    </x:row>
    <x:row r="3734" ht="20" customHeight="1">
      <x:c r="A3734" s="1" t="str">
        <x:v>22470</x:v>
      </x:c>
      <x:c r="B3734" s="9" t="d">
        <x:v>2011-02-17T00:00:00.000Z</x:v>
      </x:c>
      <x:c r="C3734" s="13" t="n">
        <x:v>35</x:v>
      </x:c>
    </x:row>
    <x:row r="3735" ht="20" customHeight="1">
      <x:c r="A3735" s="1" t="str">
        <x:v>22470</x:v>
      </x:c>
      <x:c r="B3735" s="9" t="d">
        <x:v>2011-02-18T00:00:00.000Z</x:v>
      </x:c>
      <x:c r="C3735" s="13" t="n">
        <x:v>3</x:v>
      </x:c>
    </x:row>
    <x:row r="3736" ht="20" customHeight="1">
      <x:c r="A3736" s="1" t="str">
        <x:v>22470</x:v>
      </x:c>
      <x:c r="B3736" s="9" t="d">
        <x:v>2011-02-19T00:00:00.000Z</x:v>
      </x:c>
      <x:c r="C3736" s="13" t="n">
        <x:v>0</x:v>
      </x:c>
    </x:row>
    <x:row r="3737" ht="20" customHeight="1">
      <x:c r="A3737" s="1" t="str">
        <x:v>22470</x:v>
      </x:c>
      <x:c r="B3737" s="9" t="d">
        <x:v>2011-02-20T00:00:00.000Z</x:v>
      </x:c>
      <x:c r="C3737" s="13" t="n">
        <x:v>8</x:v>
      </x:c>
    </x:row>
    <x:row r="3738" ht="20" customHeight="1">
      <x:c r="A3738" s="1" t="str">
        <x:v>22470</x:v>
      </x:c>
      <x:c r="B3738" s="9" t="d">
        <x:v>2011-02-21T00:00:00.000Z</x:v>
      </x:c>
      <x:c r="C3738" s="13" t="n">
        <x:v>4</x:v>
      </x:c>
    </x:row>
    <x:row r="3739" ht="20" customHeight="1">
      <x:c r="A3739" s="1" t="str">
        <x:v>22470</x:v>
      </x:c>
      <x:c r="B3739" s="9" t="d">
        <x:v>2011-02-22T00:00:00.000Z</x:v>
      </x:c>
      <x:c r="C3739" s="13" t="n">
        <x:v>28</x:v>
      </x:c>
    </x:row>
    <x:row r="3740" ht="20" customHeight="1">
      <x:c r="A3740" s="1" t="str">
        <x:v>22470</x:v>
      </x:c>
      <x:c r="B3740" s="9" t="d">
        <x:v>2011-02-23T00:00:00.000Z</x:v>
      </x:c>
      <x:c r="C3740" s="13" t="n">
        <x:v>49</x:v>
      </x:c>
    </x:row>
    <x:row r="3741" ht="20" customHeight="1">
      <x:c r="A3741" s="1" t="str">
        <x:v>22470</x:v>
      </x:c>
      <x:c r="B3741" s="9" t="d">
        <x:v>2011-02-24T00:00:00.000Z</x:v>
      </x:c>
      <x:c r="C3741" s="13" t="n">
        <x:v>14</x:v>
      </x:c>
    </x:row>
    <x:row r="3742" ht="20" customHeight="1">
      <x:c r="A3742" s="1" t="str">
        <x:v>22470</x:v>
      </x:c>
      <x:c r="B3742" s="9" t="d">
        <x:v>2011-02-25T00:00:00.000Z</x:v>
      </x:c>
      <x:c r="C3742" s="13" t="n">
        <x:v>73</x:v>
      </x:c>
    </x:row>
    <x:row r="3743" ht="20" customHeight="1">
      <x:c r="A3743" s="1" t="str">
        <x:v>22470</x:v>
      </x:c>
      <x:c r="B3743" s="9" t="d">
        <x:v>2011-02-26T00:00:00.000Z</x:v>
      </x:c>
      <x:c r="C3743" s="13" t="n">
        <x:v>0</x:v>
      </x:c>
    </x:row>
    <x:row r="3744" ht="20" customHeight="1">
      <x:c r="A3744" s="1" t="str">
        <x:v>22470</x:v>
      </x:c>
      <x:c r="B3744" s="9" t="d">
        <x:v>2011-02-27T00:00:00.000Z</x:v>
      </x:c>
      <x:c r="C3744" s="13" t="n">
        <x:v>66</x:v>
      </x:c>
    </x:row>
    <x:row r="3745" ht="20" customHeight="1">
      <x:c r="A3745" s="1" t="str">
        <x:v>22470</x:v>
      </x:c>
      <x:c r="B3745" s="9" t="d">
        <x:v>2011-02-28T00:00:00.000Z</x:v>
      </x:c>
      <x:c r="C3745" s="13" t="n">
        <x:v>5</x:v>
      </x:c>
    </x:row>
    <x:row r="3746" ht="20" customHeight="1">
      <x:c r="A3746" s="1" t="str">
        <x:v>22470</x:v>
      </x:c>
      <x:c r="B3746" s="9" t="d">
        <x:v>2011-03-01T00:00:00.000Z</x:v>
      </x:c>
      <x:c r="C3746" s="13" t="n">
        <x:v>17</x:v>
      </x:c>
    </x:row>
    <x:row r="3747" ht="20" customHeight="1">
      <x:c r="A3747" s="1" t="str">
        <x:v>22470</x:v>
      </x:c>
      <x:c r="B3747" s="9" t="d">
        <x:v>2011-03-02T00:00:00.000Z</x:v>
      </x:c>
      <x:c r="C3747" s="13" t="n">
        <x:v>15</x:v>
      </x:c>
    </x:row>
    <x:row r="3748" ht="20" customHeight="1">
      <x:c r="A3748" s="1" t="str">
        <x:v>22470</x:v>
      </x:c>
      <x:c r="B3748" s="9" t="d">
        <x:v>2011-03-03T00:00:00.000Z</x:v>
      </x:c>
      <x:c r="C3748" s="13" t="n">
        <x:v>1</x:v>
      </x:c>
    </x:row>
    <x:row r="3749" ht="20" customHeight="1">
      <x:c r="A3749" s="1" t="str">
        <x:v>22470</x:v>
      </x:c>
      <x:c r="B3749" s="9" t="d">
        <x:v>2011-03-04T00:00:00.000Z</x:v>
      </x:c>
      <x:c r="C3749" s="13" t="n">
        <x:v>1</x:v>
      </x:c>
    </x:row>
    <x:row r="3750" ht="20" customHeight="1">
      <x:c r="A3750" s="1" t="str">
        <x:v>22470</x:v>
      </x:c>
      <x:c r="B3750" s="9" t="d">
        <x:v>2011-03-05T00:00:00.000Z</x:v>
      </x:c>
      <x:c r="C3750" s="13" t="n">
        <x:v>0</x:v>
      </x:c>
    </x:row>
    <x:row r="3751" ht="20" customHeight="1">
      <x:c r="A3751" s="1" t="str">
        <x:v>22470</x:v>
      </x:c>
      <x:c r="B3751" s="9" t="d">
        <x:v>2011-03-06T00:00:00.000Z</x:v>
      </x:c>
      <x:c r="C3751" s="13" t="n">
        <x:v>10</x:v>
      </x:c>
    </x:row>
    <x:row r="3752" ht="20" customHeight="1">
      <x:c r="A3752" s="1" t="str">
        <x:v>22470</x:v>
      </x:c>
      <x:c r="B3752" s="9" t="d">
        <x:v>2011-03-07T00:00:00.000Z</x:v>
      </x:c>
      <x:c r="C3752" s="13" t="n">
        <x:v>14</x:v>
      </x:c>
    </x:row>
    <x:row r="3753" ht="20" customHeight="1">
      <x:c r="A3753" s="1" t="str">
        <x:v>22470</x:v>
      </x:c>
      <x:c r="B3753" s="9" t="d">
        <x:v>2011-03-08T00:00:00.000Z</x:v>
      </x:c>
      <x:c r="C3753" s="13" t="n">
        <x:v>12</x:v>
      </x:c>
    </x:row>
    <x:row r="3754" ht="20" customHeight="1">
      <x:c r="A3754" s="1" t="str">
        <x:v>22470</x:v>
      </x:c>
      <x:c r="B3754" s="9" t="d">
        <x:v>2011-03-09T00:00:00.000Z</x:v>
      </x:c>
      <x:c r="C3754" s="13" t="n">
        <x:v>8</x:v>
      </x:c>
    </x:row>
    <x:row r="3755" ht="20" customHeight="1">
      <x:c r="A3755" s="1" t="str">
        <x:v>22470</x:v>
      </x:c>
      <x:c r="B3755" s="9" t="d">
        <x:v>2011-03-10T00:00:00.000Z</x:v>
      </x:c>
      <x:c r="C3755" s="13" t="n">
        <x:v>12</x:v>
      </x:c>
    </x:row>
    <x:row r="3756" ht="20" customHeight="1">
      <x:c r="A3756" s="1" t="str">
        <x:v>22470</x:v>
      </x:c>
      <x:c r="B3756" s="9" t="d">
        <x:v>2011-03-11T00:00:00.000Z</x:v>
      </x:c>
      <x:c r="C3756" s="13" t="n">
        <x:v>1</x:v>
      </x:c>
    </x:row>
    <x:row r="3757" ht="20" customHeight="1">
      <x:c r="A3757" s="1" t="str">
        <x:v>22470</x:v>
      </x:c>
      <x:c r="B3757" s="9" t="d">
        <x:v>2011-03-12T00:00:00.000Z</x:v>
      </x:c>
      <x:c r="C3757" s="13" t="n">
        <x:v>0</x:v>
      </x:c>
    </x:row>
    <x:row r="3758" ht="20" customHeight="1">
      <x:c r="A3758" s="1" t="str">
        <x:v>22470</x:v>
      </x:c>
      <x:c r="B3758" s="9" t="d">
        <x:v>2011-03-13T00:00:00.000Z</x:v>
      </x:c>
      <x:c r="C3758" s="13" t="n">
        <x:v>0</x:v>
      </x:c>
    </x:row>
    <x:row r="3759" ht="20" customHeight="1">
      <x:c r="A3759" s="1" t="str">
        <x:v>22470</x:v>
      </x:c>
      <x:c r="B3759" s="9" t="d">
        <x:v>2011-03-14T00:00:00.000Z</x:v>
      </x:c>
      <x:c r="C3759" s="13" t="n">
        <x:v>0</x:v>
      </x:c>
    </x:row>
    <x:row r="3760" ht="20" customHeight="1">
      <x:c r="A3760" s="1" t="str">
        <x:v>22470</x:v>
      </x:c>
      <x:c r="B3760" s="9" t="d">
        <x:v>2011-03-15T00:00:00.000Z</x:v>
      </x:c>
      <x:c r="C3760" s="13" t="n">
        <x:v>0</x:v>
      </x:c>
    </x:row>
    <x:row r="3761" ht="20" customHeight="1">
      <x:c r="A3761" s="1" t="str">
        <x:v>22470</x:v>
      </x:c>
      <x:c r="B3761" s="9" t="d">
        <x:v>2011-03-16T00:00:00.000Z</x:v>
      </x:c>
      <x:c r="C3761" s="13" t="n">
        <x:v>0</x:v>
      </x:c>
    </x:row>
    <x:row r="3762" ht="20" customHeight="1">
      <x:c r="A3762" s="1" t="str">
        <x:v>22470</x:v>
      </x:c>
      <x:c r="B3762" s="9" t="d">
        <x:v>2011-03-17T00:00:00.000Z</x:v>
      </x:c>
      <x:c r="C3762" s="13" t="n">
        <x:v>0</x:v>
      </x:c>
    </x:row>
    <x:row r="3763" ht="20" customHeight="1">
      <x:c r="A3763" s="1" t="str">
        <x:v>22470</x:v>
      </x:c>
      <x:c r="B3763" s="9" t="d">
        <x:v>2011-03-18T00:00:00.000Z</x:v>
      </x:c>
      <x:c r="C3763" s="13" t="n">
        <x:v>0</x:v>
      </x:c>
    </x:row>
    <x:row r="3764" ht="20" customHeight="1">
      <x:c r="A3764" s="1" t="str">
        <x:v>22470</x:v>
      </x:c>
      <x:c r="B3764" s="9" t="d">
        <x:v>2011-03-19T00:00:00.000Z</x:v>
      </x:c>
      <x:c r="C3764" s="13" t="n">
        <x:v>0</x:v>
      </x:c>
    </x:row>
    <x:row r="3765" ht="20" customHeight="1">
      <x:c r="A3765" s="1" t="str">
        <x:v>22470</x:v>
      </x:c>
      <x:c r="B3765" s="9" t="d">
        <x:v>2011-03-20T00:00:00.000Z</x:v>
      </x:c>
      <x:c r="C3765" s="13" t="n">
        <x:v>0</x:v>
      </x:c>
    </x:row>
    <x:row r="3766" ht="20" customHeight="1">
      <x:c r="A3766" s="1" t="str">
        <x:v>22470</x:v>
      </x:c>
      <x:c r="B3766" s="9" t="d">
        <x:v>2011-03-21T00:00:00.000Z</x:v>
      </x:c>
      <x:c r="C3766" s="13" t="n">
        <x:v>0</x:v>
      </x:c>
    </x:row>
    <x:row r="3767" ht="20" customHeight="1">
      <x:c r="A3767" s="1" t="str">
        <x:v>22470</x:v>
      </x:c>
      <x:c r="B3767" s="9" t="d">
        <x:v>2011-03-22T00:00:00.000Z</x:v>
      </x:c>
      <x:c r="C3767" s="13" t="n">
        <x:v>0</x:v>
      </x:c>
    </x:row>
    <x:row r="3768" ht="20" customHeight="1">
      <x:c r="A3768" s="1" t="str">
        <x:v>22470</x:v>
      </x:c>
      <x:c r="B3768" s="9" t="d">
        <x:v>2011-03-23T00:00:00.000Z</x:v>
      </x:c>
      <x:c r="C3768" s="13" t="n">
        <x:v>0</x:v>
      </x:c>
    </x:row>
    <x:row r="3769" ht="20" customHeight="1">
      <x:c r="A3769" s="1" t="str">
        <x:v>22470</x:v>
      </x:c>
      <x:c r="B3769" s="9" t="d">
        <x:v>2011-03-24T00:00:00.000Z</x:v>
      </x:c>
      <x:c r="C3769" s="13" t="n">
        <x:v>0</x:v>
      </x:c>
    </x:row>
    <x:row r="3770" ht="20" customHeight="1">
      <x:c r="A3770" s="1" t="str">
        <x:v>22470</x:v>
      </x:c>
      <x:c r="B3770" s="9" t="d">
        <x:v>2011-03-25T00:00:00.000Z</x:v>
      </x:c>
      <x:c r="C3770" s="13" t="n">
        <x:v>0</x:v>
      </x:c>
    </x:row>
    <x:row r="3771" ht="20" customHeight="1">
      <x:c r="A3771" s="1" t="str">
        <x:v>22470</x:v>
      </x:c>
      <x:c r="B3771" s="9" t="d">
        <x:v>2011-03-26T00:00:00.000Z</x:v>
      </x:c>
      <x:c r="C3771" s="13" t="n">
        <x:v>0</x:v>
      </x:c>
    </x:row>
    <x:row r="3772" ht="20" customHeight="1">
      <x:c r="A3772" s="1" t="str">
        <x:v>22470</x:v>
      </x:c>
      <x:c r="B3772" s="9" t="d">
        <x:v>2011-03-27T00:00:00.000Z</x:v>
      </x:c>
      <x:c r="C3772" s="13" t="n">
        <x:v>0</x:v>
      </x:c>
    </x:row>
    <x:row r="3773" ht="20" customHeight="1">
      <x:c r="A3773" s="1" t="str">
        <x:v>22470</x:v>
      </x:c>
      <x:c r="B3773" s="9" t="d">
        <x:v>2011-03-28T00:00:00.000Z</x:v>
      </x:c>
      <x:c r="C3773" s="13" t="n">
        <x:v>0</x:v>
      </x:c>
    </x:row>
    <x:row r="3774" ht="20" customHeight="1">
      <x:c r="A3774" s="1" t="str">
        <x:v>22470</x:v>
      </x:c>
      <x:c r="B3774" s="9" t="d">
        <x:v>2011-03-29T00:00:00.000Z</x:v>
      </x:c>
      <x:c r="C3774" s="13" t="n">
        <x:v>0</x:v>
      </x:c>
    </x:row>
    <x:row r="3775" ht="20" customHeight="1">
      <x:c r="A3775" s="1" t="str">
        <x:v>22470</x:v>
      </x:c>
      <x:c r="B3775" s="9" t="d">
        <x:v>2011-03-30T00:00:00.000Z</x:v>
      </x:c>
      <x:c r="C3775" s="13" t="n">
        <x:v>0</x:v>
      </x:c>
    </x:row>
    <x:row r="3776" ht="20" customHeight="1">
      <x:c r="A3776" s="1" t="str">
        <x:v>22470</x:v>
      </x:c>
      <x:c r="B3776" s="9" t="d">
        <x:v>2011-03-31T00:00:00.000Z</x:v>
      </x:c>
      <x:c r="C3776" s="13" t="n">
        <x:v>0</x:v>
      </x:c>
    </x:row>
    <x:row r="3777" ht="20" customHeight="1">
      <x:c r="A3777" s="1" t="str">
        <x:v>22470</x:v>
      </x:c>
      <x:c r="B3777" s="9" t="d">
        <x:v>2011-04-01T00:00:00.000Z</x:v>
      </x:c>
      <x:c r="C3777" s="13" t="n">
        <x:v>0</x:v>
      </x:c>
    </x:row>
    <x:row r="3778" ht="20" customHeight="1">
      <x:c r="A3778" s="1" t="str">
        <x:v>22470</x:v>
      </x:c>
      <x:c r="B3778" s="9" t="d">
        <x:v>2011-04-02T00:00:00.000Z</x:v>
      </x:c>
      <x:c r="C3778" s="13" t="n">
        <x:v>0</x:v>
      </x:c>
    </x:row>
    <x:row r="3779" ht="20" customHeight="1">
      <x:c r="A3779" s="1" t="str">
        <x:v>22470</x:v>
      </x:c>
      <x:c r="B3779" s="9" t="d">
        <x:v>2011-04-03T00:00:00.000Z</x:v>
      </x:c>
      <x:c r="C3779" s="13" t="n">
        <x:v>0</x:v>
      </x:c>
    </x:row>
    <x:row r="3780" ht="20" customHeight="1">
      <x:c r="A3780" s="1" t="str">
        <x:v>22470</x:v>
      </x:c>
      <x:c r="B3780" s="9" t="d">
        <x:v>2011-04-04T00:00:00.000Z</x:v>
      </x:c>
      <x:c r="C3780" s="13" t="n">
        <x:v>0</x:v>
      </x:c>
    </x:row>
    <x:row r="3781" ht="20" customHeight="1">
      <x:c r="A3781" s="1" t="str">
        <x:v>22470</x:v>
      </x:c>
      <x:c r="B3781" s="9" t="d">
        <x:v>2011-04-05T00:00:00.000Z</x:v>
      </x:c>
      <x:c r="C3781" s="13" t="n">
        <x:v>0</x:v>
      </x:c>
    </x:row>
    <x:row r="3782" ht="20" customHeight="1">
      <x:c r="A3782" s="1" t="str">
        <x:v>22470</x:v>
      </x:c>
      <x:c r="B3782" s="9" t="d">
        <x:v>2011-04-06T00:00:00.000Z</x:v>
      </x:c>
      <x:c r="C3782" s="13" t="n">
        <x:v>0</x:v>
      </x:c>
    </x:row>
    <x:row r="3783" ht="20" customHeight="1">
      <x:c r="A3783" s="1" t="str">
        <x:v>22470</x:v>
      </x:c>
      <x:c r="B3783" s="9" t="d">
        <x:v>2011-04-07T00:00:00.000Z</x:v>
      </x:c>
      <x:c r="C3783" s="13" t="n">
        <x:v>0</x:v>
      </x:c>
    </x:row>
    <x:row r="3784" ht="20" customHeight="1">
      <x:c r="A3784" s="1" t="str">
        <x:v>22470</x:v>
      </x:c>
      <x:c r="B3784" s="9" t="d">
        <x:v>2011-04-08T00:00:00.000Z</x:v>
      </x:c>
      <x:c r="C3784" s="13" t="n">
        <x:v>0</x:v>
      </x:c>
    </x:row>
    <x:row r="3785" ht="20" customHeight="1">
      <x:c r="A3785" s="1" t="str">
        <x:v>22470</x:v>
      </x:c>
      <x:c r="B3785" s="9" t="d">
        <x:v>2011-04-09T00:00:00.000Z</x:v>
      </x:c>
      <x:c r="C3785" s="13" t="n">
        <x:v>0</x:v>
      </x:c>
    </x:row>
    <x:row r="3786" ht="20" customHeight="1">
      <x:c r="A3786" s="1" t="str">
        <x:v>22470</x:v>
      </x:c>
      <x:c r="B3786" s="9" t="d">
        <x:v>2011-04-10T00:00:00.000Z</x:v>
      </x:c>
      <x:c r="C3786" s="13" t="n">
        <x:v>0</x:v>
      </x:c>
    </x:row>
    <x:row r="3787" ht="20" customHeight="1">
      <x:c r="A3787" s="1" t="str">
        <x:v>22470</x:v>
      </x:c>
      <x:c r="B3787" s="9" t="d">
        <x:v>2011-04-11T00:00:00.000Z</x:v>
      </x:c>
      <x:c r="C3787" s="13" t="n">
        <x:v>0</x:v>
      </x:c>
    </x:row>
    <x:row r="3788" ht="20" customHeight="1">
      <x:c r="A3788" s="1" t="str">
        <x:v>22470</x:v>
      </x:c>
      <x:c r="B3788" s="9" t="d">
        <x:v>2011-04-12T00:00:00.000Z</x:v>
      </x:c>
      <x:c r="C3788" s="13" t="n">
        <x:v>0</x:v>
      </x:c>
    </x:row>
    <x:row r="3789" ht="20" customHeight="1">
      <x:c r="A3789" s="1" t="str">
        <x:v>22470</x:v>
      </x:c>
      <x:c r="B3789" s="9" t="d">
        <x:v>2011-04-13T00:00:00.000Z</x:v>
      </x:c>
      <x:c r="C3789" s="13" t="n">
        <x:v>0</x:v>
      </x:c>
    </x:row>
    <x:row r="3790" ht="20" customHeight="1">
      <x:c r="A3790" s="1" t="str">
        <x:v>22470</x:v>
      </x:c>
      <x:c r="B3790" s="9" t="d">
        <x:v>2011-04-14T00:00:00.000Z</x:v>
      </x:c>
      <x:c r="C3790" s="13" t="n">
        <x:v>0</x:v>
      </x:c>
    </x:row>
    <x:row r="3791" ht="20" customHeight="1">
      <x:c r="A3791" s="1" t="str">
        <x:v>22470</x:v>
      </x:c>
      <x:c r="B3791" s="9" t="d">
        <x:v>2011-04-15T00:00:00.000Z</x:v>
      </x:c>
      <x:c r="C3791" s="13" t="n">
        <x:v>0</x:v>
      </x:c>
    </x:row>
    <x:row r="3792" ht="20" customHeight="1">
      <x:c r="A3792" s="1" t="str">
        <x:v>22470</x:v>
      </x:c>
      <x:c r="B3792" s="9" t="d">
        <x:v>2011-04-16T00:00:00.000Z</x:v>
      </x:c>
      <x:c r="C3792" s="13" t="n">
        <x:v>0</x:v>
      </x:c>
    </x:row>
    <x:row r="3793" ht="20" customHeight="1">
      <x:c r="A3793" s="1" t="str">
        <x:v>22470</x:v>
      </x:c>
      <x:c r="B3793" s="9" t="d">
        <x:v>2011-04-17T00:00:00.000Z</x:v>
      </x:c>
      <x:c r="C3793" s="13" t="n">
        <x:v>2</x:v>
      </x:c>
    </x:row>
    <x:row r="3794" ht="20" customHeight="1">
      <x:c r="A3794" s="1" t="str">
        <x:v>22470</x:v>
      </x:c>
      <x:c r="B3794" s="9" t="d">
        <x:v>2011-04-18T00:00:00.000Z</x:v>
      </x:c>
      <x:c r="C3794" s="13" t="n">
        <x:v>0</x:v>
      </x:c>
    </x:row>
    <x:row r="3795" ht="20" customHeight="1">
      <x:c r="A3795" s="1" t="str">
        <x:v>22470</x:v>
      </x:c>
      <x:c r="B3795" s="9" t="d">
        <x:v>2011-04-19T00:00:00.000Z</x:v>
      </x:c>
      <x:c r="C3795" s="13" t="n">
        <x:v>0</x:v>
      </x:c>
    </x:row>
    <x:row r="3796" ht="20" customHeight="1">
      <x:c r="A3796" s="1" t="str">
        <x:v>22470</x:v>
      </x:c>
      <x:c r="B3796" s="9" t="d">
        <x:v>2011-04-20T00:00:00.000Z</x:v>
      </x:c>
      <x:c r="C3796" s="13" t="n">
        <x:v>0</x:v>
      </x:c>
    </x:row>
    <x:row r="3797" ht="20" customHeight="1">
      <x:c r="A3797" s="1" t="str">
        <x:v>22470</x:v>
      </x:c>
      <x:c r="B3797" s="9" t="d">
        <x:v>2011-04-21T00:00:00.000Z</x:v>
      </x:c>
      <x:c r="C3797" s="13" t="n">
        <x:v>0</x:v>
      </x:c>
    </x:row>
    <x:row r="3798" ht="20" customHeight="1">
      <x:c r="A3798" s="1" t="str">
        <x:v>22470</x:v>
      </x:c>
      <x:c r="B3798" s="9" t="d">
        <x:v>2011-04-22T00:00:00.000Z</x:v>
      </x:c>
      <x:c r="C3798" s="13" t="n">
        <x:v>0</x:v>
      </x:c>
    </x:row>
    <x:row r="3799" ht="20" customHeight="1">
      <x:c r="A3799" s="1" t="str">
        <x:v>22470</x:v>
      </x:c>
      <x:c r="B3799" s="9" t="d">
        <x:v>2011-04-23T00:00:00.000Z</x:v>
      </x:c>
      <x:c r="C3799" s="13" t="n">
        <x:v>0</x:v>
      </x:c>
    </x:row>
    <x:row r="3800" ht="20" customHeight="1">
      <x:c r="A3800" s="1" t="str">
        <x:v>22470</x:v>
      </x:c>
      <x:c r="B3800" s="9" t="d">
        <x:v>2011-04-24T00:00:00.000Z</x:v>
      </x:c>
      <x:c r="C3800" s="13" t="n">
        <x:v>0</x:v>
      </x:c>
    </x:row>
    <x:row r="3801" ht="20" customHeight="1">
      <x:c r="A3801" s="1" t="str">
        <x:v>22470</x:v>
      </x:c>
      <x:c r="B3801" s="9" t="d">
        <x:v>2011-04-25T00:00:00.000Z</x:v>
      </x:c>
      <x:c r="C3801" s="13" t="n">
        <x:v>0</x:v>
      </x:c>
    </x:row>
    <x:row r="3802" ht="20" customHeight="1">
      <x:c r="A3802" s="1" t="str">
        <x:v>22470</x:v>
      </x:c>
      <x:c r="B3802" s="9" t="d">
        <x:v>2011-04-26T00:00:00.000Z</x:v>
      </x:c>
      <x:c r="C3802" s="13" t="n">
        <x:v>0</x:v>
      </x:c>
    </x:row>
    <x:row r="3803" ht="20" customHeight="1">
      <x:c r="A3803" s="1" t="str">
        <x:v>22470</x:v>
      </x:c>
      <x:c r="B3803" s="9" t="d">
        <x:v>2011-04-27T00:00:00.000Z</x:v>
      </x:c>
      <x:c r="C3803" s="13" t="n">
        <x:v>0</x:v>
      </x:c>
    </x:row>
    <x:row r="3804" ht="20" customHeight="1">
      <x:c r="A3804" s="1" t="str">
        <x:v>22470</x:v>
      </x:c>
      <x:c r="B3804" s="9" t="d">
        <x:v>2011-04-28T00:00:00.000Z</x:v>
      </x:c>
      <x:c r="C3804" s="13" t="n">
        <x:v>0</x:v>
      </x:c>
    </x:row>
    <x:row r="3805" ht="20" customHeight="1">
      <x:c r="A3805" s="1" t="str">
        <x:v>22470</x:v>
      </x:c>
      <x:c r="B3805" s="9" t="d">
        <x:v>2011-04-29T00:00:00.000Z</x:v>
      </x:c>
      <x:c r="C3805" s="13" t="n">
        <x:v>0</x:v>
      </x:c>
    </x:row>
    <x:row r="3806" ht="20" customHeight="1">
      <x:c r="A3806" s="1" t="str">
        <x:v>22470</x:v>
      </x:c>
      <x:c r="B3806" s="9" t="d">
        <x:v>2011-04-30T00:00:00.000Z</x:v>
      </x:c>
      <x:c r="C3806" s="13" t="n">
        <x:v>0</x:v>
      </x:c>
    </x:row>
    <x:row r="3807" ht="20" customHeight="1">
      <x:c r="A3807" s="1" t="str">
        <x:v>22470</x:v>
      </x:c>
      <x:c r="B3807" s="9" t="d">
        <x:v>2011-05-01T00:00:00.000Z</x:v>
      </x:c>
      <x:c r="C3807" s="13" t="n">
        <x:v>0</x:v>
      </x:c>
    </x:row>
    <x:row r="3808" ht="20" customHeight="1">
      <x:c r="A3808" s="1" t="str">
        <x:v>22470</x:v>
      </x:c>
      <x:c r="B3808" s="9" t="d">
        <x:v>2011-05-02T00:00:00.000Z</x:v>
      </x:c>
      <x:c r="C3808" s="13" t="n">
        <x:v>0</x:v>
      </x:c>
    </x:row>
    <x:row r="3809" ht="20" customHeight="1">
      <x:c r="A3809" s="1" t="str">
        <x:v>22470</x:v>
      </x:c>
      <x:c r="B3809" s="9" t="d">
        <x:v>2011-05-03T00:00:00.000Z</x:v>
      </x:c>
      <x:c r="C3809" s="13" t="n">
        <x:v>0</x:v>
      </x:c>
    </x:row>
    <x:row r="3810" ht="20" customHeight="1">
      <x:c r="A3810" s="1" t="str">
        <x:v>22470</x:v>
      </x:c>
      <x:c r="B3810" s="9" t="d">
        <x:v>2011-05-04T00:00:00.000Z</x:v>
      </x:c>
      <x:c r="C3810" s="13" t="n">
        <x:v>0</x:v>
      </x:c>
    </x:row>
    <x:row r="3811" ht="20" customHeight="1">
      <x:c r="A3811" s="1" t="str">
        <x:v>22470</x:v>
      </x:c>
      <x:c r="B3811" s="9" t="d">
        <x:v>2011-05-05T00:00:00.000Z</x:v>
      </x:c>
      <x:c r="C3811" s="13" t="n">
        <x:v>0</x:v>
      </x:c>
    </x:row>
    <x:row r="3812" ht="20" customHeight="1">
      <x:c r="A3812" s="1" t="str">
        <x:v>22470</x:v>
      </x:c>
      <x:c r="B3812" s="9" t="d">
        <x:v>2011-05-06T00:00:00.000Z</x:v>
      </x:c>
      <x:c r="C3812" s="13" t="n">
        <x:v>0</x:v>
      </x:c>
    </x:row>
    <x:row r="3813" ht="20" customHeight="1">
      <x:c r="A3813" s="1" t="str">
        <x:v>22470</x:v>
      </x:c>
      <x:c r="B3813" s="9" t="d">
        <x:v>2011-05-07T00:00:00.000Z</x:v>
      </x:c>
      <x:c r="C3813" s="13" t="n">
        <x:v>0</x:v>
      </x:c>
    </x:row>
    <x:row r="3814" ht="20" customHeight="1">
      <x:c r="A3814" s="1" t="str">
        <x:v>22470</x:v>
      </x:c>
      <x:c r="B3814" s="9" t="d">
        <x:v>2011-05-08T00:00:00.000Z</x:v>
      </x:c>
      <x:c r="C3814" s="13" t="n">
        <x:v>0</x:v>
      </x:c>
    </x:row>
    <x:row r="3815" ht="20" customHeight="1">
      <x:c r="A3815" s="1" t="str">
        <x:v>22470</x:v>
      </x:c>
      <x:c r="B3815" s="9" t="d">
        <x:v>2011-05-09T00:00:00.000Z</x:v>
      </x:c>
      <x:c r="C3815" s="13" t="n">
        <x:v>0</x:v>
      </x:c>
    </x:row>
    <x:row r="3816" ht="20" customHeight="1">
      <x:c r="A3816" s="1" t="str">
        <x:v>22470</x:v>
      </x:c>
      <x:c r="B3816" s="9" t="d">
        <x:v>2011-05-10T00:00:00.000Z</x:v>
      </x:c>
      <x:c r="C3816" s="13" t="n">
        <x:v>0</x:v>
      </x:c>
    </x:row>
    <x:row r="3817" ht="20" customHeight="1">
      <x:c r="A3817" s="1" t="str">
        <x:v>22470</x:v>
      </x:c>
      <x:c r="B3817" s="9" t="d">
        <x:v>2011-05-11T00:00:00.000Z</x:v>
      </x:c>
      <x:c r="C3817" s="13" t="n">
        <x:v>0</x:v>
      </x:c>
    </x:row>
    <x:row r="3818" ht="20" customHeight="1">
      <x:c r="A3818" s="1" t="str">
        <x:v>22470</x:v>
      </x:c>
      <x:c r="B3818" s="9" t="d">
        <x:v>2011-05-12T00:00:00.000Z</x:v>
      </x:c>
      <x:c r="C3818" s="13" t="n">
        <x:v>0</x:v>
      </x:c>
    </x:row>
    <x:row r="3819" ht="20" customHeight="1">
      <x:c r="A3819" s="1" t="str">
        <x:v>22470</x:v>
      </x:c>
      <x:c r="B3819" s="9" t="d">
        <x:v>2011-05-13T00:00:00.000Z</x:v>
      </x:c>
      <x:c r="C3819" s="13" t="n">
        <x:v>0</x:v>
      </x:c>
    </x:row>
    <x:row r="3820" ht="20" customHeight="1">
      <x:c r="A3820" s="1" t="str">
        <x:v>22470</x:v>
      </x:c>
      <x:c r="B3820" s="9" t="d">
        <x:v>2011-05-14T00:00:00.000Z</x:v>
      </x:c>
      <x:c r="C3820" s="13" t="n">
        <x:v>0</x:v>
      </x:c>
    </x:row>
    <x:row r="3821" ht="20" customHeight="1">
      <x:c r="A3821" s="1" t="str">
        <x:v>22470</x:v>
      </x:c>
      <x:c r="B3821" s="9" t="d">
        <x:v>2011-05-15T00:00:00.000Z</x:v>
      </x:c>
      <x:c r="C3821" s="13" t="n">
        <x:v>0</x:v>
      </x:c>
    </x:row>
    <x:row r="3822" ht="20" customHeight="1">
      <x:c r="A3822" s="1" t="str">
        <x:v>22470</x:v>
      </x:c>
      <x:c r="B3822" s="9" t="d">
        <x:v>2011-05-16T00:00:00.000Z</x:v>
      </x:c>
      <x:c r="C3822" s="13" t="n">
        <x:v>0</x:v>
      </x:c>
    </x:row>
    <x:row r="3823" ht="20" customHeight="1">
      <x:c r="A3823" s="1" t="str">
        <x:v>22470</x:v>
      </x:c>
      <x:c r="B3823" s="9" t="d">
        <x:v>2011-05-17T00:00:00.000Z</x:v>
      </x:c>
      <x:c r="C3823" s="13" t="n">
        <x:v>128</x:v>
      </x:c>
    </x:row>
    <x:row r="3824" ht="20" customHeight="1">
      <x:c r="A3824" s="1" t="str">
        <x:v>22470</x:v>
      </x:c>
      <x:c r="B3824" s="9" t="d">
        <x:v>2011-05-18T00:00:00.000Z</x:v>
      </x:c>
      <x:c r="C3824" s="13" t="n">
        <x:v>50</x:v>
      </x:c>
    </x:row>
    <x:row r="3825" ht="20" customHeight="1">
      <x:c r="A3825" s="1" t="str">
        <x:v>22470</x:v>
      </x:c>
      <x:c r="B3825" s="9" t="d">
        <x:v>2011-05-19T00:00:00.000Z</x:v>
      </x:c>
      <x:c r="C3825" s="13" t="n">
        <x:v>61</x:v>
      </x:c>
    </x:row>
    <x:row r="3826" ht="20" customHeight="1">
      <x:c r="A3826" s="1" t="str">
        <x:v>22470</x:v>
      </x:c>
      <x:c r="B3826" s="9" t="d">
        <x:v>2011-05-20T00:00:00.000Z</x:v>
      </x:c>
      <x:c r="C3826" s="13" t="n">
        <x:v>41</x:v>
      </x:c>
    </x:row>
    <x:row r="3827" ht="20" customHeight="1">
      <x:c r="A3827" s="1" t="str">
        <x:v>22470</x:v>
      </x:c>
      <x:c r="B3827" s="9" t="d">
        <x:v>2011-05-21T00:00:00.000Z</x:v>
      </x:c>
      <x:c r="C3827" s="13" t="n">
        <x:v>0</x:v>
      </x:c>
    </x:row>
    <x:row r="3828" ht="20" customHeight="1">
      <x:c r="A3828" s="1" t="str">
        <x:v>22470</x:v>
      </x:c>
      <x:c r="B3828" s="9" t="d">
        <x:v>2011-05-22T00:00:00.000Z</x:v>
      </x:c>
      <x:c r="C3828" s="13" t="n">
        <x:v>47</x:v>
      </x:c>
    </x:row>
    <x:row r="3829" ht="20" customHeight="1">
      <x:c r="A3829" s="1" t="str">
        <x:v>22470</x:v>
      </x:c>
      <x:c r="B3829" s="9" t="d">
        <x:v>2011-05-23T00:00:00.000Z</x:v>
      </x:c>
      <x:c r="C3829" s="13" t="n">
        <x:v>22</x:v>
      </x:c>
    </x:row>
    <x:row r="3830" ht="20" customHeight="1">
      <x:c r="A3830" s="1" t="str">
        <x:v>22470</x:v>
      </x:c>
      <x:c r="B3830" s="9" t="d">
        <x:v>2011-05-24T00:00:00.000Z</x:v>
      </x:c>
      <x:c r="C3830" s="13" t="n">
        <x:v>447</x:v>
      </x:c>
    </x:row>
    <x:row r="3831" ht="20" customHeight="1">
      <x:c r="A3831" s="1" t="str">
        <x:v>22470</x:v>
      </x:c>
      <x:c r="B3831" s="9" t="d">
        <x:v>2011-05-25T00:00:00.000Z</x:v>
      </x:c>
      <x:c r="C3831" s="13" t="n">
        <x:v>20</x:v>
      </x:c>
    </x:row>
    <x:row r="3832" ht="20" customHeight="1">
      <x:c r="A3832" s="1" t="str">
        <x:v>22470</x:v>
      </x:c>
      <x:c r="B3832" s="9" t="d">
        <x:v>2011-05-26T00:00:00.000Z</x:v>
      </x:c>
      <x:c r="C3832" s="13" t="n">
        <x:v>363</x:v>
      </x:c>
    </x:row>
    <x:row r="3833" ht="20" customHeight="1">
      <x:c r="A3833" s="1" t="str">
        <x:v>22470</x:v>
      </x:c>
      <x:c r="B3833" s="9" t="d">
        <x:v>2011-05-27T00:00:00.000Z</x:v>
      </x:c>
      <x:c r="C3833" s="13" t="n">
        <x:v>24</x:v>
      </x:c>
    </x:row>
    <x:row r="3834" ht="20" customHeight="1">
      <x:c r="A3834" s="1" t="str">
        <x:v>22470</x:v>
      </x:c>
      <x:c r="B3834" s="9" t="d">
        <x:v>2011-05-28T00:00:00.000Z</x:v>
      </x:c>
      <x:c r="C3834" s="13" t="n">
        <x:v>0</x:v>
      </x:c>
    </x:row>
    <x:row r="3835" ht="20" customHeight="1">
      <x:c r="A3835" s="1" t="str">
        <x:v>22470</x:v>
      </x:c>
      <x:c r="B3835" s="9" t="d">
        <x:v>2011-05-29T00:00:00.000Z</x:v>
      </x:c>
      <x:c r="C3835" s="13" t="n">
        <x:v>19</x:v>
      </x:c>
    </x:row>
    <x:row r="3836" ht="20" customHeight="1">
      <x:c r="A3836" s="1" t="str">
        <x:v>22470</x:v>
      </x:c>
      <x:c r="B3836" s="9" t="d">
        <x:v>2011-05-30T00:00:00.000Z</x:v>
      </x:c>
      <x:c r="C3836" s="13" t="n">
        <x:v>0</x:v>
      </x:c>
    </x:row>
    <x:row r="3837" ht="20" customHeight="1">
      <x:c r="A3837" s="1" t="str">
        <x:v>22470</x:v>
      </x:c>
      <x:c r="B3837" s="9" t="d">
        <x:v>2011-05-31T00:00:00.000Z</x:v>
      </x:c>
      <x:c r="C3837" s="13" t="n">
        <x:v>15</x:v>
      </x:c>
    </x:row>
    <x:row r="3838" ht="20" customHeight="1">
      <x:c r="A3838" s="1" t="str">
        <x:v>22470</x:v>
      </x:c>
      <x:c r="B3838" s="9" t="d">
        <x:v>2011-06-01T00:00:00.000Z</x:v>
      </x:c>
      <x:c r="C3838" s="13" t="n">
        <x:v>33</x:v>
      </x:c>
    </x:row>
    <x:row r="3839" ht="20" customHeight="1">
      <x:c r="A3839" s="1" t="str">
        <x:v>22470</x:v>
      </x:c>
      <x:c r="B3839" s="9" t="d">
        <x:v>2011-06-02T00:00:00.000Z</x:v>
      </x:c>
      <x:c r="C3839" s="13" t="n">
        <x:v>73</x:v>
      </x:c>
    </x:row>
    <x:row r="3840" ht="20" customHeight="1">
      <x:c r="A3840" s="1" t="str">
        <x:v>22470</x:v>
      </x:c>
      <x:c r="B3840" s="9" t="d">
        <x:v>2011-06-03T00:00:00.000Z</x:v>
      </x:c>
      <x:c r="C3840" s="13" t="n">
        <x:v>54</x:v>
      </x:c>
    </x:row>
    <x:row r="3841" ht="20" customHeight="1">
      <x:c r="A3841" s="1" t="str">
        <x:v>22470</x:v>
      </x:c>
      <x:c r="B3841" s="9" t="d">
        <x:v>2011-06-04T00:00:00.000Z</x:v>
      </x:c>
      <x:c r="C3841" s="13" t="n">
        <x:v>0</x:v>
      </x:c>
    </x:row>
    <x:row r="3842" ht="20" customHeight="1">
      <x:c r="A3842" s="1" t="str">
        <x:v>22470</x:v>
      </x:c>
      <x:c r="B3842" s="9" t="d">
        <x:v>2011-06-05T00:00:00.000Z</x:v>
      </x:c>
      <x:c r="C3842" s="13" t="n">
        <x:v>52</x:v>
      </x:c>
    </x:row>
    <x:row r="3843" ht="20" customHeight="1">
      <x:c r="A3843" s="1" t="str">
        <x:v>22470</x:v>
      </x:c>
      <x:c r="B3843" s="9" t="d">
        <x:v>2011-06-06T00:00:00.000Z</x:v>
      </x:c>
      <x:c r="C3843" s="13" t="n">
        <x:v>68</x:v>
      </x:c>
    </x:row>
    <x:row r="3844" ht="20" customHeight="1">
      <x:c r="A3844" s="1" t="str">
        <x:v>22470</x:v>
      </x:c>
      <x:c r="B3844" s="9" t="d">
        <x:v>2011-06-07T00:00:00.000Z</x:v>
      </x:c>
      <x:c r="C3844" s="13" t="n">
        <x:v>21</x:v>
      </x:c>
    </x:row>
    <x:row r="3845" ht="20" customHeight="1">
      <x:c r="A3845" s="1" t="str">
        <x:v>22470</x:v>
      </x:c>
      <x:c r="B3845" s="9" t="d">
        <x:v>2011-06-08T00:00:00.000Z</x:v>
      </x:c>
      <x:c r="C3845" s="13" t="n">
        <x:v>35</x:v>
      </x:c>
    </x:row>
    <x:row r="3846" ht="20" customHeight="1">
      <x:c r="A3846" s="1" t="str">
        <x:v>22470</x:v>
      </x:c>
      <x:c r="B3846" s="9" t="d">
        <x:v>2011-06-09T00:00:00.000Z</x:v>
      </x:c>
      <x:c r="C3846" s="13" t="n">
        <x:v>28</x:v>
      </x:c>
    </x:row>
    <x:row r="3847" ht="20" customHeight="1">
      <x:c r="A3847" s="1" t="str">
        <x:v>22470</x:v>
      </x:c>
      <x:c r="B3847" s="9" t="d">
        <x:v>2011-06-10T00:00:00.000Z</x:v>
      </x:c>
      <x:c r="C3847" s="13" t="n">
        <x:v>6</x:v>
      </x:c>
    </x:row>
    <x:row r="3848" ht="20" customHeight="1">
      <x:c r="A3848" s="1" t="str">
        <x:v>22470</x:v>
      </x:c>
      <x:c r="B3848" s="9" t="d">
        <x:v>2011-06-11T00:00:00.000Z</x:v>
      </x:c>
      <x:c r="C3848" s="13" t="n">
        <x:v>0</x:v>
      </x:c>
    </x:row>
    <x:row r="3849" ht="20" customHeight="1">
      <x:c r="A3849" s="1" t="str">
        <x:v>22470</x:v>
      </x:c>
      <x:c r="B3849" s="9" t="d">
        <x:v>2011-06-12T00:00:00.000Z</x:v>
      </x:c>
      <x:c r="C3849" s="13" t="n">
        <x:v>19</x:v>
      </x:c>
    </x:row>
    <x:row r="3850" ht="20" customHeight="1">
      <x:c r="A3850" s="1" t="str">
        <x:v>22470</x:v>
      </x:c>
      <x:c r="B3850" s="9" t="d">
        <x:v>2011-06-13T00:00:00.000Z</x:v>
      </x:c>
      <x:c r="C3850" s="13" t="n">
        <x:v>8</x:v>
      </x:c>
    </x:row>
    <x:row r="3851" ht="20" customHeight="1">
      <x:c r="A3851" s="1" t="str">
        <x:v>22470</x:v>
      </x:c>
      <x:c r="B3851" s="9" t="d">
        <x:v>2011-06-14T00:00:00.000Z</x:v>
      </x:c>
      <x:c r="C3851" s="13" t="n">
        <x:v>18</x:v>
      </x:c>
    </x:row>
    <x:row r="3852" ht="20" customHeight="1">
      <x:c r="A3852" s="1" t="str">
        <x:v>22470</x:v>
      </x:c>
      <x:c r="B3852" s="9" t="d">
        <x:v>2011-06-15T00:00:00.000Z</x:v>
      </x:c>
      <x:c r="C3852" s="13" t="n">
        <x:v>20</x:v>
      </x:c>
    </x:row>
    <x:row r="3853" ht="20" customHeight="1">
      <x:c r="A3853" s="1" t="str">
        <x:v>22470</x:v>
      </x:c>
      <x:c r="B3853" s="9" t="d">
        <x:v>2011-06-16T00:00:00.000Z</x:v>
      </x:c>
      <x:c r="C3853" s="13" t="n">
        <x:v>8</x:v>
      </x:c>
    </x:row>
    <x:row r="3854" ht="20" customHeight="1">
      <x:c r="A3854" s="1" t="str">
        <x:v>22470</x:v>
      </x:c>
      <x:c r="B3854" s="9" t="d">
        <x:v>2011-06-17T00:00:00.000Z</x:v>
      </x:c>
      <x:c r="C3854" s="13" t="n">
        <x:v>0</x:v>
      </x:c>
    </x:row>
    <x:row r="3855" ht="20" customHeight="1">
      <x:c r="A3855" s="1" t="str">
        <x:v>22470</x:v>
      </x:c>
      <x:c r="B3855" s="9" t="d">
        <x:v>2011-06-18T00:00:00.000Z</x:v>
      </x:c>
      <x:c r="C3855" s="13" t="n">
        <x:v>0</x:v>
      </x:c>
    </x:row>
    <x:row r="3856" ht="20" customHeight="1">
      <x:c r="A3856" s="1" t="str">
        <x:v>22470</x:v>
      </x:c>
      <x:c r="B3856" s="9" t="d">
        <x:v>2011-06-19T00:00:00.000Z</x:v>
      </x:c>
      <x:c r="C3856" s="13" t="n">
        <x:v>6</x:v>
      </x:c>
    </x:row>
    <x:row r="3857" ht="20" customHeight="1">
      <x:c r="A3857" s="1" t="str">
        <x:v>22470</x:v>
      </x:c>
      <x:c r="B3857" s="9" t="d">
        <x:v>2011-06-20T00:00:00.000Z</x:v>
      </x:c>
      <x:c r="C3857" s="13" t="n">
        <x:v>1</x:v>
      </x:c>
    </x:row>
    <x:row r="3858" ht="20" customHeight="1">
      <x:c r="A3858" s="1" t="str">
        <x:v>22470</x:v>
      </x:c>
      <x:c r="B3858" s="9" t="d">
        <x:v>2011-06-21T00:00:00.000Z</x:v>
      </x:c>
      <x:c r="C3858" s="13" t="n">
        <x:v>14</x:v>
      </x:c>
    </x:row>
    <x:row r="3859" ht="20" customHeight="1">
      <x:c r="A3859" s="1" t="str">
        <x:v>22470</x:v>
      </x:c>
      <x:c r="B3859" s="9" t="d">
        <x:v>2011-06-22T00:00:00.000Z</x:v>
      </x:c>
      <x:c r="C3859" s="13" t="n">
        <x:v>8</x:v>
      </x:c>
    </x:row>
    <x:row r="3860" ht="20" customHeight="1">
      <x:c r="A3860" s="1" t="str">
        <x:v>22470</x:v>
      </x:c>
      <x:c r="B3860" s="9" t="d">
        <x:v>2011-06-23T00:00:00.000Z</x:v>
      </x:c>
      <x:c r="C3860" s="13" t="n">
        <x:v>25</x:v>
      </x:c>
    </x:row>
    <x:row r="3861" ht="20" customHeight="1">
      <x:c r="A3861" s="1" t="str">
        <x:v>22470</x:v>
      </x:c>
      <x:c r="B3861" s="9" t="d">
        <x:v>2011-06-24T00:00:00.000Z</x:v>
      </x:c>
      <x:c r="C3861" s="13" t="n">
        <x:v>18</x:v>
      </x:c>
    </x:row>
    <x:row r="3862" ht="20" customHeight="1">
      <x:c r="A3862" s="1" t="str">
        <x:v>22470</x:v>
      </x:c>
      <x:c r="B3862" s="9" t="d">
        <x:v>2011-06-25T00:00:00.000Z</x:v>
      </x:c>
      <x:c r="C3862" s="13" t="n">
        <x:v>0</x:v>
      </x:c>
    </x:row>
    <x:row r="3863" ht="20" customHeight="1">
      <x:c r="A3863" s="1" t="str">
        <x:v>22470</x:v>
      </x:c>
      <x:c r="B3863" s="9" t="d">
        <x:v>2011-06-26T00:00:00.000Z</x:v>
      </x:c>
      <x:c r="C3863" s="13" t="n">
        <x:v>0</x:v>
      </x:c>
    </x:row>
    <x:row r="3864" ht="20" customHeight="1">
      <x:c r="A3864" s="1" t="str">
        <x:v>22470</x:v>
      </x:c>
      <x:c r="B3864" s="9" t="d">
        <x:v>2011-06-27T00:00:00.000Z</x:v>
      </x:c>
      <x:c r="C3864" s="13" t="n">
        <x:v>12</x:v>
      </x:c>
    </x:row>
    <x:row r="3865" ht="20" customHeight="1">
      <x:c r="A3865" s="1" t="str">
        <x:v>22470</x:v>
      </x:c>
      <x:c r="B3865" s="9" t="d">
        <x:v>2011-06-28T00:00:00.000Z</x:v>
      </x:c>
      <x:c r="C3865" s="13" t="n">
        <x:v>15</x:v>
      </x:c>
    </x:row>
    <x:row r="3866" ht="20" customHeight="1">
      <x:c r="A3866" s="1" t="str">
        <x:v>22470</x:v>
      </x:c>
      <x:c r="B3866" s="9" t="d">
        <x:v>2011-06-29T00:00:00.000Z</x:v>
      </x:c>
      <x:c r="C3866" s="13" t="n">
        <x:v>8</x:v>
      </x:c>
    </x:row>
    <x:row r="3867" ht="20" customHeight="1">
      <x:c r="A3867" s="1" t="str">
        <x:v>22470</x:v>
      </x:c>
      <x:c r="B3867" s="9" t="d">
        <x:v>2011-06-30T00:00:00.000Z</x:v>
      </x:c>
      <x:c r="C3867" s="13" t="n">
        <x:v>10</x:v>
      </x:c>
    </x:row>
    <x:row r="3868" ht="20" customHeight="1">
      <x:c r="A3868" s="1" t="str">
        <x:v>22470</x:v>
      </x:c>
      <x:c r="B3868" s="9" t="d">
        <x:v>2011-07-01T00:00:00.000Z</x:v>
      </x:c>
      <x:c r="C3868" s="13" t="n">
        <x:v>0</x:v>
      </x:c>
    </x:row>
    <x:row r="3869" ht="20" customHeight="1">
      <x:c r="A3869" s="1" t="str">
        <x:v>22470</x:v>
      </x:c>
      <x:c r="B3869" s="9" t="d">
        <x:v>2011-07-02T00:00:00.000Z</x:v>
      </x:c>
      <x:c r="C3869" s="13" t="n">
        <x:v>0</x:v>
      </x:c>
    </x:row>
    <x:row r="3870" ht="20" customHeight="1">
      <x:c r="A3870" s="1" t="str">
        <x:v>22470</x:v>
      </x:c>
      <x:c r="B3870" s="9" t="d">
        <x:v>2011-07-03T00:00:00.000Z</x:v>
      </x:c>
      <x:c r="C3870" s="13" t="n">
        <x:v>4</x:v>
      </x:c>
    </x:row>
    <x:row r="3871" ht="20" customHeight="1">
      <x:c r="A3871" s="1" t="str">
        <x:v>22470</x:v>
      </x:c>
      <x:c r="B3871" s="9" t="d">
        <x:v>2011-07-04T00:00:00.000Z</x:v>
      </x:c>
      <x:c r="C3871" s="13" t="n">
        <x:v>8</x:v>
      </x:c>
    </x:row>
    <x:row r="3872" ht="20" customHeight="1">
      <x:c r="A3872" s="1" t="str">
        <x:v>22470</x:v>
      </x:c>
      <x:c r="B3872" s="9" t="d">
        <x:v>2011-07-05T00:00:00.000Z</x:v>
      </x:c>
      <x:c r="C3872" s="13" t="n">
        <x:v>36</x:v>
      </x:c>
    </x:row>
    <x:row r="3873" ht="20" customHeight="1">
      <x:c r="A3873" s="1" t="str">
        <x:v>22470</x:v>
      </x:c>
      <x:c r="B3873" s="9" t="d">
        <x:v>2011-07-06T00:00:00.000Z</x:v>
      </x:c>
      <x:c r="C3873" s="13" t="n">
        <x:v>11</x:v>
      </x:c>
    </x:row>
    <x:row r="3874" ht="20" customHeight="1">
      <x:c r="A3874" s="1" t="str">
        <x:v>22470</x:v>
      </x:c>
      <x:c r="B3874" s="9" t="d">
        <x:v>2011-07-07T00:00:00.000Z</x:v>
      </x:c>
      <x:c r="C3874" s="13" t="n">
        <x:v>60</x:v>
      </x:c>
    </x:row>
    <x:row r="3875" ht="20" customHeight="1">
      <x:c r="A3875" s="1" t="str">
        <x:v>22470</x:v>
      </x:c>
      <x:c r="B3875" s="9" t="d">
        <x:v>2011-07-08T00:00:00.000Z</x:v>
      </x:c>
      <x:c r="C3875" s="13" t="n">
        <x:v>18</x:v>
      </x:c>
    </x:row>
    <x:row r="3876" ht="20" customHeight="1">
      <x:c r="A3876" s="1" t="str">
        <x:v>22470</x:v>
      </x:c>
      <x:c r="B3876" s="9" t="d">
        <x:v>2011-07-09T00:00:00.000Z</x:v>
      </x:c>
      <x:c r="C3876" s="13" t="n">
        <x:v>0</x:v>
      </x:c>
    </x:row>
    <x:row r="3877" ht="20" customHeight="1">
      <x:c r="A3877" s="1" t="str">
        <x:v>22470</x:v>
      </x:c>
      <x:c r="B3877" s="9" t="d">
        <x:v>2011-07-10T00:00:00.000Z</x:v>
      </x:c>
      <x:c r="C3877" s="13" t="n">
        <x:v>9</x:v>
      </x:c>
    </x:row>
    <x:row r="3878" ht="20" customHeight="1">
      <x:c r="A3878" s="1" t="str">
        <x:v>22470</x:v>
      </x:c>
      <x:c r="B3878" s="9" t="d">
        <x:v>2011-07-11T00:00:00.000Z</x:v>
      </x:c>
      <x:c r="C3878" s="13" t="n">
        <x:v>6</x:v>
      </x:c>
    </x:row>
    <x:row r="3879" ht="20" customHeight="1">
      <x:c r="A3879" s="1" t="str">
        <x:v>22470</x:v>
      </x:c>
      <x:c r="B3879" s="9" t="d">
        <x:v>2011-07-12T00:00:00.000Z</x:v>
      </x:c>
      <x:c r="C3879" s="13" t="n">
        <x:v>150</x:v>
      </x:c>
    </x:row>
    <x:row r="3880" ht="20" customHeight="1">
      <x:c r="A3880" s="1" t="str">
        <x:v>22470</x:v>
      </x:c>
      <x:c r="B3880" s="9" t="d">
        <x:v>2011-07-13T00:00:00.000Z</x:v>
      </x:c>
      <x:c r="C3880" s="13" t="n">
        <x:v>2</x:v>
      </x:c>
    </x:row>
    <x:row r="3881" ht="20" customHeight="1">
      <x:c r="A3881" s="1" t="str">
        <x:v>22470</x:v>
      </x:c>
      <x:c r="B3881" s="9" t="d">
        <x:v>2011-07-14T00:00:00.000Z</x:v>
      </x:c>
      <x:c r="C3881" s="13" t="n">
        <x:v>7</x:v>
      </x:c>
    </x:row>
    <x:row r="3882" ht="20" customHeight="1">
      <x:c r="A3882" s="1" t="str">
        <x:v>22470</x:v>
      </x:c>
      <x:c r="B3882" s="9" t="d">
        <x:v>2011-07-15T00:00:00.000Z</x:v>
      </x:c>
      <x:c r="C3882" s="13" t="n">
        <x:v>2</x:v>
      </x:c>
    </x:row>
    <x:row r="3883" ht="20" customHeight="1">
      <x:c r="A3883" s="1" t="str">
        <x:v>22470</x:v>
      </x:c>
      <x:c r="B3883" s="9" t="d">
        <x:v>2011-07-16T00:00:00.000Z</x:v>
      </x:c>
      <x:c r="C3883" s="13" t="n">
        <x:v>0</x:v>
      </x:c>
    </x:row>
    <x:row r="3884" ht="20" customHeight="1">
      <x:c r="A3884" s="1" t="str">
        <x:v>22470</x:v>
      </x:c>
      <x:c r="B3884" s="9" t="d">
        <x:v>2011-07-17T00:00:00.000Z</x:v>
      </x:c>
      <x:c r="C3884" s="13" t="n">
        <x:v>6</x:v>
      </x:c>
    </x:row>
    <x:row r="3885" ht="20" customHeight="1">
      <x:c r="A3885" s="1" t="str">
        <x:v>22470</x:v>
      </x:c>
      <x:c r="B3885" s="9" t="d">
        <x:v>2011-07-18T00:00:00.000Z</x:v>
      </x:c>
      <x:c r="C3885" s="13" t="n">
        <x:v>32</x:v>
      </x:c>
    </x:row>
    <x:row r="3886" ht="20" customHeight="1">
      <x:c r="A3886" s="1" t="str">
        <x:v>22470</x:v>
      </x:c>
      <x:c r="B3886" s="9" t="d">
        <x:v>2011-07-19T00:00:00.000Z</x:v>
      </x:c>
      <x:c r="C3886" s="13" t="n">
        <x:v>1</x:v>
      </x:c>
    </x:row>
    <x:row r="3887" ht="20" customHeight="1">
      <x:c r="A3887" s="1" t="str">
        <x:v>22470</x:v>
      </x:c>
      <x:c r="B3887" s="9" t="d">
        <x:v>2011-07-20T00:00:00.000Z</x:v>
      </x:c>
      <x:c r="C3887" s="13" t="n">
        <x:v>2</x:v>
      </x:c>
    </x:row>
    <x:row r="3888" ht="20" customHeight="1">
      <x:c r="A3888" s="1" t="str">
        <x:v>22470</x:v>
      </x:c>
      <x:c r="B3888" s="9" t="d">
        <x:v>2011-07-21T00:00:00.000Z</x:v>
      </x:c>
      <x:c r="C3888" s="13" t="n">
        <x:v>14</x:v>
      </x:c>
    </x:row>
    <x:row r="3889" ht="20" customHeight="1">
      <x:c r="A3889" s="1" t="str">
        <x:v>22470</x:v>
      </x:c>
      <x:c r="B3889" s="9" t="d">
        <x:v>2011-07-22T00:00:00.000Z</x:v>
      </x:c>
      <x:c r="C3889" s="13" t="n">
        <x:v>1</x:v>
      </x:c>
    </x:row>
    <x:row r="3890" ht="20" customHeight="1">
      <x:c r="A3890" s="1" t="str">
        <x:v>22470</x:v>
      </x:c>
      <x:c r="B3890" s="9" t="d">
        <x:v>2011-07-23T00:00:00.000Z</x:v>
      </x:c>
      <x:c r="C3890" s="13" t="n">
        <x:v>0</x:v>
      </x:c>
    </x:row>
    <x:row r="3891" ht="20" customHeight="1">
      <x:c r="A3891" s="1" t="str">
        <x:v>22470</x:v>
      </x:c>
      <x:c r="B3891" s="9" t="d">
        <x:v>2011-07-24T00:00:00.000Z</x:v>
      </x:c>
      <x:c r="C3891" s="13" t="n">
        <x:v>13</x:v>
      </x:c>
    </x:row>
    <x:row r="3892" ht="20" customHeight="1">
      <x:c r="A3892" s="1" t="str">
        <x:v>22470</x:v>
      </x:c>
      <x:c r="B3892" s="9" t="d">
        <x:v>2011-07-25T00:00:00.000Z</x:v>
      </x:c>
      <x:c r="C3892" s="13" t="n">
        <x:v>36</x:v>
      </x:c>
    </x:row>
    <x:row r="3893" ht="20" customHeight="1">
      <x:c r="A3893" s="1" t="str">
        <x:v>22470</x:v>
      </x:c>
      <x:c r="B3893" s="9" t="d">
        <x:v>2011-07-26T00:00:00.000Z</x:v>
      </x:c>
      <x:c r="C3893" s="13" t="n">
        <x:v>10</x:v>
      </x:c>
    </x:row>
    <x:row r="3894" ht="20" customHeight="1">
      <x:c r="A3894" s="1" t="str">
        <x:v>22470</x:v>
      </x:c>
      <x:c r="B3894" s="9" t="d">
        <x:v>2011-07-27T00:00:00.000Z</x:v>
      </x:c>
      <x:c r="C3894" s="13" t="n">
        <x:v>13</x:v>
      </x:c>
    </x:row>
    <x:row r="3895" ht="20" customHeight="1">
      <x:c r="A3895" s="1" t="str">
        <x:v>22470</x:v>
      </x:c>
      <x:c r="B3895" s="9" t="d">
        <x:v>2011-07-28T00:00:00.000Z</x:v>
      </x:c>
      <x:c r="C3895" s="13" t="n">
        <x:v>115</x:v>
      </x:c>
    </x:row>
    <x:row r="3896" ht="20" customHeight="1">
      <x:c r="A3896" s="1" t="str">
        <x:v>22470</x:v>
      </x:c>
      <x:c r="B3896" s="9" t="d">
        <x:v>2011-07-29T00:00:00.000Z</x:v>
      </x:c>
      <x:c r="C3896" s="13" t="n">
        <x:v>8</x:v>
      </x:c>
    </x:row>
    <x:row r="3897" ht="20" customHeight="1">
      <x:c r="A3897" s="1" t="str">
        <x:v>22470</x:v>
      </x:c>
      <x:c r="B3897" s="9" t="d">
        <x:v>2011-07-30T00:00:00.000Z</x:v>
      </x:c>
      <x:c r="C3897" s="13" t="n">
        <x:v>0</x:v>
      </x:c>
    </x:row>
    <x:row r="3898" ht="20" customHeight="1">
      <x:c r="A3898" s="1" t="str">
        <x:v>22470</x:v>
      </x:c>
      <x:c r="B3898" s="9" t="d">
        <x:v>2011-07-31T00:00:00.000Z</x:v>
      </x:c>
      <x:c r="C3898" s="13" t="n">
        <x:v>3</x:v>
      </x:c>
    </x:row>
    <x:row r="3899" ht="20" customHeight="1">
      <x:c r="A3899" s="1" t="str">
        <x:v>22470</x:v>
      </x:c>
      <x:c r="B3899" s="9" t="d">
        <x:v>2011-08-01T00:00:00.000Z</x:v>
      </x:c>
      <x:c r="C3899" s="13" t="n">
        <x:v>1</x:v>
      </x:c>
    </x:row>
    <x:row r="3900" ht="20" customHeight="1">
      <x:c r="A3900" s="1" t="str">
        <x:v>22470</x:v>
      </x:c>
      <x:c r="B3900" s="9" t="d">
        <x:v>2011-08-02T00:00:00.000Z</x:v>
      </x:c>
      <x:c r="C3900" s="13" t="n">
        <x:v>0</x:v>
      </x:c>
    </x:row>
    <x:row r="3901" ht="20" customHeight="1">
      <x:c r="A3901" s="1" t="str">
        <x:v>22470</x:v>
      </x:c>
      <x:c r="B3901" s="9" t="d">
        <x:v>2011-08-03T00:00:00.000Z</x:v>
      </x:c>
      <x:c r="C3901" s="13" t="n">
        <x:v>16</x:v>
      </x:c>
    </x:row>
    <x:row r="3902" ht="20" customHeight="1">
      <x:c r="A3902" s="1" t="str">
        <x:v>22470</x:v>
      </x:c>
      <x:c r="B3902" s="9" t="d">
        <x:v>2011-08-04T00:00:00.000Z</x:v>
      </x:c>
      <x:c r="C3902" s="13" t="n">
        <x:v>4</x:v>
      </x:c>
    </x:row>
    <x:row r="3903" ht="20" customHeight="1">
      <x:c r="A3903" s="1" t="str">
        <x:v>22470</x:v>
      </x:c>
      <x:c r="B3903" s="9" t="d">
        <x:v>2011-08-05T00:00:00.000Z</x:v>
      </x:c>
      <x:c r="C3903" s="13" t="n">
        <x:v>28</x:v>
      </x:c>
    </x:row>
    <x:row r="3904" ht="20" customHeight="1">
      <x:c r="A3904" s="1" t="str">
        <x:v>22470</x:v>
      </x:c>
      <x:c r="B3904" s="9" t="d">
        <x:v>2011-08-06T00:00:00.000Z</x:v>
      </x:c>
      <x:c r="C3904" s="13" t="n">
        <x:v>0</x:v>
      </x:c>
    </x:row>
    <x:row r="3905" ht="20" customHeight="1">
      <x:c r="A3905" s="1" t="str">
        <x:v>22470</x:v>
      </x:c>
      <x:c r="B3905" s="9" t="d">
        <x:v>2011-08-07T00:00:00.000Z</x:v>
      </x:c>
      <x:c r="C3905" s="13" t="n">
        <x:v>16</x:v>
      </x:c>
    </x:row>
    <x:row r="3906" ht="20" customHeight="1">
      <x:c r="A3906" s="1" t="str">
        <x:v>22470</x:v>
      </x:c>
      <x:c r="B3906" s="9" t="d">
        <x:v>2011-08-08T00:00:00.000Z</x:v>
      </x:c>
      <x:c r="C3906" s="13" t="n">
        <x:v>16</x:v>
      </x:c>
    </x:row>
    <x:row r="3907" ht="20" customHeight="1">
      <x:c r="A3907" s="1" t="str">
        <x:v>22470</x:v>
      </x:c>
      <x:c r="B3907" s="9" t="d">
        <x:v>2011-08-09T00:00:00.000Z</x:v>
      </x:c>
      <x:c r="C3907" s="13" t="n">
        <x:v>14</x:v>
      </x:c>
    </x:row>
    <x:row r="3908" ht="20" customHeight="1">
      <x:c r="A3908" s="1" t="str">
        <x:v>22470</x:v>
      </x:c>
      <x:c r="B3908" s="9" t="d">
        <x:v>2011-08-10T00:00:00.000Z</x:v>
      </x:c>
      <x:c r="C3908" s="13" t="n">
        <x:v>1</x:v>
      </x:c>
    </x:row>
    <x:row r="3909" ht="20" customHeight="1">
      <x:c r="A3909" s="1" t="str">
        <x:v>22470</x:v>
      </x:c>
      <x:c r="B3909" s="9" t="d">
        <x:v>2011-08-11T00:00:00.000Z</x:v>
      </x:c>
      <x:c r="C3909" s="13" t="n">
        <x:v>25</x:v>
      </x:c>
    </x:row>
    <x:row r="3910" ht="20" customHeight="1">
      <x:c r="A3910" s="1" t="str">
        <x:v>22470</x:v>
      </x:c>
      <x:c r="B3910" s="9" t="d">
        <x:v>2011-08-12T00:00:00.000Z</x:v>
      </x:c>
      <x:c r="C3910" s="13" t="n">
        <x:v>20</x:v>
      </x:c>
    </x:row>
    <x:row r="3911" ht="20" customHeight="1">
      <x:c r="A3911" s="1" t="str">
        <x:v>22470</x:v>
      </x:c>
      <x:c r="B3911" s="9" t="d">
        <x:v>2011-08-13T00:00:00.000Z</x:v>
      </x:c>
      <x:c r="C3911" s="13" t="n">
        <x:v>0</x:v>
      </x:c>
    </x:row>
    <x:row r="3912" ht="20" customHeight="1">
      <x:c r="A3912" s="1" t="str">
        <x:v>22470</x:v>
      </x:c>
      <x:c r="B3912" s="9" t="d">
        <x:v>2011-08-14T00:00:00.000Z</x:v>
      </x:c>
      <x:c r="C3912" s="13" t="n">
        <x:v>12</x:v>
      </x:c>
    </x:row>
    <x:row r="3913" ht="20" customHeight="1">
      <x:c r="A3913" s="1" t="str">
        <x:v>22470</x:v>
      </x:c>
      <x:c r="B3913" s="9" t="d">
        <x:v>2011-08-15T00:00:00.000Z</x:v>
      </x:c>
      <x:c r="C3913" s="13" t="n">
        <x:v>6</x:v>
      </x:c>
    </x:row>
    <x:row r="3914" ht="20" customHeight="1">
      <x:c r="A3914" s="1" t="str">
        <x:v>22470</x:v>
      </x:c>
      <x:c r="B3914" s="9" t="d">
        <x:v>2011-08-16T00:00:00.000Z</x:v>
      </x:c>
      <x:c r="C3914" s="13" t="n">
        <x:v>4</x:v>
      </x:c>
    </x:row>
    <x:row r="3915" ht="20" customHeight="1">
      <x:c r="A3915" s="1" t="str">
        <x:v>22470</x:v>
      </x:c>
      <x:c r="B3915" s="9" t="d">
        <x:v>2011-08-17T00:00:00.000Z</x:v>
      </x:c>
      <x:c r="C3915" s="13" t="n">
        <x:v>23</x:v>
      </x:c>
    </x:row>
    <x:row r="3916" ht="20" customHeight="1">
      <x:c r="A3916" s="1" t="str">
        <x:v>22470</x:v>
      </x:c>
      <x:c r="B3916" s="9" t="d">
        <x:v>2011-08-18T00:00:00.000Z</x:v>
      </x:c>
      <x:c r="C3916" s="13" t="n">
        <x:v>0</x:v>
      </x:c>
    </x:row>
    <x:row r="3917" ht="20" customHeight="1">
      <x:c r="A3917" s="1" t="str">
        <x:v>22470</x:v>
      </x:c>
      <x:c r="B3917" s="9" t="d">
        <x:v>2011-08-19T00:00:00.000Z</x:v>
      </x:c>
      <x:c r="C3917" s="13" t="n">
        <x:v>0</x:v>
      </x:c>
    </x:row>
    <x:row r="3918" ht="20" customHeight="1">
      <x:c r="A3918" s="1" t="str">
        <x:v>22470</x:v>
      </x:c>
      <x:c r="B3918" s="9" t="d">
        <x:v>2011-08-20T00:00:00.000Z</x:v>
      </x:c>
      <x:c r="C3918" s="13" t="n">
        <x:v>0</x:v>
      </x:c>
    </x:row>
    <x:row r="3919" ht="20" customHeight="1">
      <x:c r="A3919" s="1" t="str">
        <x:v>22470</x:v>
      </x:c>
      <x:c r="B3919" s="9" t="d">
        <x:v>2011-08-21T00:00:00.000Z</x:v>
      </x:c>
      <x:c r="C3919" s="13" t="n">
        <x:v>4</x:v>
      </x:c>
    </x:row>
    <x:row r="3920" ht="20" customHeight="1">
      <x:c r="A3920" s="1" t="str">
        <x:v>22470</x:v>
      </x:c>
      <x:c r="B3920" s="9" t="d">
        <x:v>2011-08-22T00:00:00.000Z</x:v>
      </x:c>
      <x:c r="C3920" s="13" t="n">
        <x:v>24</x:v>
      </x:c>
    </x:row>
    <x:row r="3921" ht="20" customHeight="1">
      <x:c r="A3921" s="1" t="str">
        <x:v>22470</x:v>
      </x:c>
      <x:c r="B3921" s="9" t="d">
        <x:v>2011-08-23T00:00:00.000Z</x:v>
      </x:c>
      <x:c r="C3921" s="13" t="n">
        <x:v>23</x:v>
      </x:c>
    </x:row>
    <x:row r="3922" ht="20" customHeight="1">
      <x:c r="A3922" s="1" t="str">
        <x:v>22470</x:v>
      </x:c>
      <x:c r="B3922" s="9" t="d">
        <x:v>2011-08-24T00:00:00.000Z</x:v>
      </x:c>
      <x:c r="C3922" s="13" t="n">
        <x:v>1</x:v>
      </x:c>
    </x:row>
    <x:row r="3923" ht="20" customHeight="1">
      <x:c r="A3923" s="1" t="str">
        <x:v>22470</x:v>
      </x:c>
      <x:c r="B3923" s="9" t="d">
        <x:v>2011-08-25T00:00:00.000Z</x:v>
      </x:c>
      <x:c r="C3923" s="13" t="n">
        <x:v>9</x:v>
      </x:c>
    </x:row>
    <x:row r="3924" ht="20" customHeight="1">
      <x:c r="A3924" s="1" t="str">
        <x:v>22470</x:v>
      </x:c>
      <x:c r="B3924" s="9" t="d">
        <x:v>2011-08-26T00:00:00.000Z</x:v>
      </x:c>
      <x:c r="C3924" s="13" t="n">
        <x:v>0</x:v>
      </x:c>
    </x:row>
    <x:row r="3925" ht="20" customHeight="1">
      <x:c r="A3925" s="1" t="str">
        <x:v>22470</x:v>
      </x:c>
      <x:c r="B3925" s="9" t="d">
        <x:v>2011-08-27T00:00:00.000Z</x:v>
      </x:c>
      <x:c r="C3925" s="13" t="n">
        <x:v>0</x:v>
      </x:c>
    </x:row>
    <x:row r="3926" ht="20" customHeight="1">
      <x:c r="A3926" s="1" t="str">
        <x:v>22470</x:v>
      </x:c>
      <x:c r="B3926" s="9" t="d">
        <x:v>2011-08-28T00:00:00.000Z</x:v>
      </x:c>
      <x:c r="C3926" s="13" t="n">
        <x:v>11</x:v>
      </x:c>
    </x:row>
    <x:row r="3927" ht="20" customHeight="1">
      <x:c r="A3927" s="1" t="str">
        <x:v>22470</x:v>
      </x:c>
      <x:c r="B3927" s="9" t="d">
        <x:v>2011-08-29T00:00:00.000Z</x:v>
      </x:c>
      <x:c r="C3927" s="13" t="n">
        <x:v>0</x:v>
      </x:c>
    </x:row>
    <x:row r="3928" ht="20" customHeight="1">
      <x:c r="A3928" s="1" t="str">
        <x:v>22470</x:v>
      </x:c>
      <x:c r="B3928" s="9" t="d">
        <x:v>2011-08-30T00:00:00.000Z</x:v>
      </x:c>
      <x:c r="C3928" s="13" t="n">
        <x:v>19</x:v>
      </x:c>
    </x:row>
    <x:row r="3929" ht="20" customHeight="1">
      <x:c r="A3929" s="1" t="str">
        <x:v>22470</x:v>
      </x:c>
      <x:c r="B3929" s="9" t="d">
        <x:v>2011-08-31T00:00:00.000Z</x:v>
      </x:c>
      <x:c r="C3929" s="13" t="n">
        <x:v>6</x:v>
      </x:c>
    </x:row>
    <x:row r="3930" ht="20" customHeight="1">
      <x:c r="A3930" s="1" t="str">
        <x:v>22470</x:v>
      </x:c>
      <x:c r="B3930" s="9" t="d">
        <x:v>2011-09-01T00:00:00.000Z</x:v>
      </x:c>
      <x:c r="C3930" s="13" t="n">
        <x:v>32</x:v>
      </x:c>
    </x:row>
    <x:row r="3931" ht="20" customHeight="1">
      <x:c r="A3931" s="1" t="str">
        <x:v>22470</x:v>
      </x:c>
      <x:c r="B3931" s="9" t="d">
        <x:v>2011-09-02T00:00:00.000Z</x:v>
      </x:c>
      <x:c r="C3931" s="13" t="n">
        <x:v>3</x:v>
      </x:c>
    </x:row>
    <x:row r="3932" ht="20" customHeight="1">
      <x:c r="A3932" s="1" t="str">
        <x:v>22470</x:v>
      </x:c>
      <x:c r="B3932" s="9" t="d">
        <x:v>2011-09-03T00:00:00.000Z</x:v>
      </x:c>
      <x:c r="C3932" s="13" t="n">
        <x:v>0</x:v>
      </x:c>
    </x:row>
    <x:row r="3933" ht="20" customHeight="1">
      <x:c r="A3933" s="1" t="str">
        <x:v>22470</x:v>
      </x:c>
      <x:c r="B3933" s="9" t="d">
        <x:v>2011-09-04T00:00:00.000Z</x:v>
      </x:c>
      <x:c r="C3933" s="13" t="n">
        <x:v>2</x:v>
      </x:c>
    </x:row>
    <x:row r="3934" ht="20" customHeight="1">
      <x:c r="A3934" s="1" t="str">
        <x:v>22470</x:v>
      </x:c>
      <x:c r="B3934" s="9" t="d">
        <x:v>2011-09-05T00:00:00.000Z</x:v>
      </x:c>
      <x:c r="C3934" s="13" t="n">
        <x:v>13</x:v>
      </x:c>
    </x:row>
    <x:row r="3935" ht="20" customHeight="1">
      <x:c r="A3935" s="1" t="str">
        <x:v>22470</x:v>
      </x:c>
      <x:c r="B3935" s="9" t="d">
        <x:v>2011-09-06T00:00:00.000Z</x:v>
      </x:c>
      <x:c r="C3935" s="13" t="n">
        <x:v>0</x:v>
      </x:c>
    </x:row>
    <x:row r="3936" ht="20" customHeight="1">
      <x:c r="A3936" s="1" t="str">
        <x:v>22470</x:v>
      </x:c>
      <x:c r="B3936" s="9" t="d">
        <x:v>2011-09-07T00:00:00.000Z</x:v>
      </x:c>
      <x:c r="C3936" s="13" t="n">
        <x:v>12</x:v>
      </x:c>
    </x:row>
    <x:row r="3937" ht="20" customHeight="1">
      <x:c r="A3937" s="1" t="str">
        <x:v>22470</x:v>
      </x:c>
      <x:c r="B3937" s="9" t="d">
        <x:v>2011-09-08T00:00:00.000Z</x:v>
      </x:c>
      <x:c r="C3937" s="13" t="n">
        <x:v>9</x:v>
      </x:c>
    </x:row>
    <x:row r="3938" ht="20" customHeight="1">
      <x:c r="A3938" s="1" t="str">
        <x:v>22470</x:v>
      </x:c>
      <x:c r="B3938" s="9" t="d">
        <x:v>2011-09-09T00:00:00.000Z</x:v>
      </x:c>
      <x:c r="C3938" s="13" t="n">
        <x:v>17</x:v>
      </x:c>
    </x:row>
    <x:row r="3939" ht="20" customHeight="1">
      <x:c r="A3939" s="1" t="str">
        <x:v>22470</x:v>
      </x:c>
      <x:c r="B3939" s="9" t="d">
        <x:v>2011-09-10T00:00:00.000Z</x:v>
      </x:c>
      <x:c r="C3939" s="13" t="n">
        <x:v>0</x:v>
      </x:c>
    </x:row>
    <x:row r="3940" ht="20" customHeight="1">
      <x:c r="A3940" s="1" t="str">
        <x:v>22470</x:v>
      </x:c>
      <x:c r="B3940" s="9" t="d">
        <x:v>2011-09-11T00:00:00.000Z</x:v>
      </x:c>
      <x:c r="C3940" s="13" t="n">
        <x:v>13</x:v>
      </x:c>
    </x:row>
    <x:row r="3941" ht="20" customHeight="1">
      <x:c r="A3941" s="1" t="str">
        <x:v>22470</x:v>
      </x:c>
      <x:c r="B3941" s="9" t="d">
        <x:v>2011-09-12T00:00:00.000Z</x:v>
      </x:c>
      <x:c r="C3941" s="13" t="n">
        <x:v>23</x:v>
      </x:c>
    </x:row>
    <x:row r="3942" ht="20" customHeight="1">
      <x:c r="A3942" s="1" t="str">
        <x:v>22470</x:v>
      </x:c>
      <x:c r="B3942" s="9" t="d">
        <x:v>2011-09-13T00:00:00.000Z</x:v>
      </x:c>
      <x:c r="C3942" s="13" t="n">
        <x:v>12</x:v>
      </x:c>
    </x:row>
    <x:row r="3943" ht="20" customHeight="1">
      <x:c r="A3943" s="1" t="str">
        <x:v>22470</x:v>
      </x:c>
      <x:c r="B3943" s="9" t="d">
        <x:v>2011-09-14T00:00:00.000Z</x:v>
      </x:c>
      <x:c r="C3943" s="13" t="n">
        <x:v>0</x:v>
      </x:c>
    </x:row>
    <x:row r="3944" ht="20" customHeight="1">
      <x:c r="A3944" s="1" t="str">
        <x:v>22470</x:v>
      </x:c>
      <x:c r="B3944" s="9" t="d">
        <x:v>2011-09-15T00:00:00.000Z</x:v>
      </x:c>
      <x:c r="C3944" s="13" t="n">
        <x:v>26</x:v>
      </x:c>
    </x:row>
    <x:row r="3945" ht="20" customHeight="1">
      <x:c r="A3945" s="1" t="str">
        <x:v>22470</x:v>
      </x:c>
      <x:c r="B3945" s="9" t="d">
        <x:v>2011-09-16T00:00:00.000Z</x:v>
      </x:c>
      <x:c r="C3945" s="13" t="n">
        <x:v>18</x:v>
      </x:c>
    </x:row>
    <x:row r="3946" ht="20" customHeight="1">
      <x:c r="A3946" s="1" t="str">
        <x:v>22470</x:v>
      </x:c>
      <x:c r="B3946" s="9" t="d">
        <x:v>2011-09-17T00:00:00.000Z</x:v>
      </x:c>
      <x:c r="C3946" s="13" t="n">
        <x:v>0</x:v>
      </x:c>
    </x:row>
    <x:row r="3947" ht="20" customHeight="1">
      <x:c r="A3947" s="1" t="str">
        <x:v>22470</x:v>
      </x:c>
      <x:c r="B3947" s="9" t="d">
        <x:v>2011-09-18T00:00:00.000Z</x:v>
      </x:c>
      <x:c r="C3947" s="13" t="n">
        <x:v>88</x:v>
      </x:c>
    </x:row>
    <x:row r="3948" ht="20" customHeight="1">
      <x:c r="A3948" s="1" t="str">
        <x:v>22470</x:v>
      </x:c>
      <x:c r="B3948" s="9" t="d">
        <x:v>2011-09-19T00:00:00.000Z</x:v>
      </x:c>
      <x:c r="C3948" s="13" t="n">
        <x:v>14</x:v>
      </x:c>
    </x:row>
    <x:row r="3949" ht="20" customHeight="1">
      <x:c r="A3949" s="1" t="str">
        <x:v>22470</x:v>
      </x:c>
      <x:c r="B3949" s="9" t="d">
        <x:v>2011-09-20T00:00:00.000Z</x:v>
      </x:c>
      <x:c r="C3949" s="13" t="n">
        <x:v>672</x:v>
      </x:c>
    </x:row>
    <x:row r="3950" ht="20" customHeight="1">
      <x:c r="A3950" s="1" t="str">
        <x:v>22470</x:v>
      </x:c>
      <x:c r="B3950" s="9" t="d">
        <x:v>2011-09-21T00:00:00.000Z</x:v>
      </x:c>
      <x:c r="C3950" s="13" t="n">
        <x:v>12</x:v>
      </x:c>
    </x:row>
    <x:row r="3951" ht="20" customHeight="1">
      <x:c r="A3951" s="1" t="str">
        <x:v>22470</x:v>
      </x:c>
      <x:c r="B3951" s="9" t="d">
        <x:v>2011-09-22T00:00:00.000Z</x:v>
      </x:c>
      <x:c r="C3951" s="13" t="n">
        <x:v>22</x:v>
      </x:c>
    </x:row>
    <x:row r="3952" ht="20" customHeight="1">
      <x:c r="A3952" s="1" t="str">
        <x:v>22470</x:v>
      </x:c>
      <x:c r="B3952" s="9" t="d">
        <x:v>2011-09-23T00:00:00.000Z</x:v>
      </x:c>
      <x:c r="C3952" s="13" t="n">
        <x:v>19</x:v>
      </x:c>
    </x:row>
    <x:row r="3953" ht="20" customHeight="1">
      <x:c r="A3953" s="1" t="str">
        <x:v>22470</x:v>
      </x:c>
      <x:c r="B3953" s="9" t="d">
        <x:v>2011-09-24T00:00:00.000Z</x:v>
      </x:c>
      <x:c r="C3953" s="13" t="n">
        <x:v>0</x:v>
      </x:c>
    </x:row>
    <x:row r="3954" ht="20" customHeight="1">
      <x:c r="A3954" s="1" t="str">
        <x:v>22470</x:v>
      </x:c>
      <x:c r="B3954" s="9" t="d">
        <x:v>2011-09-25T00:00:00.000Z</x:v>
      </x:c>
      <x:c r="C3954" s="13" t="n">
        <x:v>42</x:v>
      </x:c>
    </x:row>
    <x:row r="3955" ht="20" customHeight="1">
      <x:c r="A3955" s="1" t="str">
        <x:v>22470</x:v>
      </x:c>
      <x:c r="B3955" s="9" t="d">
        <x:v>2011-09-26T00:00:00.000Z</x:v>
      </x:c>
      <x:c r="C3955" s="13" t="n">
        <x:v>6</x:v>
      </x:c>
    </x:row>
    <x:row r="3956" ht="20" customHeight="1">
      <x:c r="A3956" s="1" t="str">
        <x:v>22470</x:v>
      </x:c>
      <x:c r="B3956" s="9" t="d">
        <x:v>2011-09-27T00:00:00.000Z</x:v>
      </x:c>
      <x:c r="C3956" s="13" t="n">
        <x:v>34</x:v>
      </x:c>
    </x:row>
    <x:row r="3957" ht="20" customHeight="1">
      <x:c r="A3957" s="1" t="str">
        <x:v>22470</x:v>
      </x:c>
      <x:c r="B3957" s="9" t="d">
        <x:v>2011-09-28T00:00:00.000Z</x:v>
      </x:c>
      <x:c r="C3957" s="13" t="n">
        <x:v>8</x:v>
      </x:c>
    </x:row>
    <x:row r="3958" ht="20" customHeight="1">
      <x:c r="A3958" s="1" t="str">
        <x:v>22470</x:v>
      </x:c>
      <x:c r="B3958" s="9" t="d">
        <x:v>2011-09-29T00:00:00.000Z</x:v>
      </x:c>
      <x:c r="C3958" s="13" t="n">
        <x:v>22</x:v>
      </x:c>
    </x:row>
    <x:row r="3959" ht="20" customHeight="1">
      <x:c r="A3959" s="1" t="str">
        <x:v>22470</x:v>
      </x:c>
      <x:c r="B3959" s="9" t="d">
        <x:v>2011-09-30T00:00:00.000Z</x:v>
      </x:c>
      <x:c r="C3959" s="13" t="n">
        <x:v>16</x:v>
      </x:c>
    </x:row>
    <x:row r="3960" ht="20" customHeight="1">
      <x:c r="A3960" s="1" t="str">
        <x:v>22470</x:v>
      </x:c>
      <x:c r="B3960" s="9" t="d">
        <x:v>2011-10-01T00:00:00.000Z</x:v>
      </x:c>
      <x:c r="C3960" s="13" t="n">
        <x:v>0</x:v>
      </x:c>
    </x:row>
    <x:row r="3961" ht="20" customHeight="1">
      <x:c r="A3961" s="1" t="str">
        <x:v>22470</x:v>
      </x:c>
      <x:c r="B3961" s="9" t="d">
        <x:v>2011-10-02T00:00:00.000Z</x:v>
      </x:c>
      <x:c r="C3961" s="13" t="n">
        <x:v>15</x:v>
      </x:c>
    </x:row>
    <x:row r="3962" ht="20" customHeight="1">
      <x:c r="A3962" s="1" t="str">
        <x:v>22470</x:v>
      </x:c>
      <x:c r="B3962" s="9" t="d">
        <x:v>2011-10-03T00:00:00.000Z</x:v>
      </x:c>
      <x:c r="C3962" s="13" t="n">
        <x:v>121</x:v>
      </x:c>
    </x:row>
    <x:row r="3963" ht="20" customHeight="1">
      <x:c r="A3963" s="1" t="str">
        <x:v>22470</x:v>
      </x:c>
      <x:c r="B3963" s="9" t="d">
        <x:v>2011-10-04T00:00:00.000Z</x:v>
      </x:c>
      <x:c r="C3963" s="13" t="n">
        <x:v>29</x:v>
      </x:c>
    </x:row>
    <x:row r="3964" ht="20" customHeight="1">
      <x:c r="A3964" s="1" t="str">
        <x:v>22470</x:v>
      </x:c>
      <x:c r="B3964" s="9" t="d">
        <x:v>2011-10-05T00:00:00.000Z</x:v>
      </x:c>
      <x:c r="C3964" s="13" t="n">
        <x:v>24</x:v>
      </x:c>
    </x:row>
    <x:row r="3965" ht="20" customHeight="1">
      <x:c r="A3965" s="1" t="str">
        <x:v>22470</x:v>
      </x:c>
      <x:c r="B3965" s="9" t="d">
        <x:v>2011-10-06T00:00:00.000Z</x:v>
      </x:c>
      <x:c r="C3965" s="13" t="n">
        <x:v>30</x:v>
      </x:c>
    </x:row>
    <x:row r="3966" ht="20" customHeight="1">
      <x:c r="A3966" s="1" t="str">
        <x:v>22470</x:v>
      </x:c>
      <x:c r="B3966" s="9" t="d">
        <x:v>2011-10-07T00:00:00.000Z</x:v>
      </x:c>
      <x:c r="C3966" s="13" t="n">
        <x:v>20</x:v>
      </x:c>
    </x:row>
    <x:row r="3967" ht="20" customHeight="1">
      <x:c r="A3967" s="1" t="str">
        <x:v>22470</x:v>
      </x:c>
      <x:c r="B3967" s="9" t="d">
        <x:v>2011-10-08T00:00:00.000Z</x:v>
      </x:c>
      <x:c r="C3967" s="13" t="n">
        <x:v>0</x:v>
      </x:c>
    </x:row>
    <x:row r="3968" ht="20" customHeight="1">
      <x:c r="A3968" s="1" t="str">
        <x:v>22470</x:v>
      </x:c>
      <x:c r="B3968" s="9" t="d">
        <x:v>2011-10-09T00:00:00.000Z</x:v>
      </x:c>
      <x:c r="C3968" s="13" t="n">
        <x:v>17</x:v>
      </x:c>
    </x:row>
    <x:row r="3969" ht="20" customHeight="1">
      <x:c r="A3969" s="1" t="str">
        <x:v>22470</x:v>
      </x:c>
      <x:c r="B3969" s="9" t="d">
        <x:v>2011-10-10T00:00:00.000Z</x:v>
      </x:c>
      <x:c r="C3969" s="13" t="n">
        <x:v>17</x:v>
      </x:c>
    </x:row>
    <x:row r="3970" ht="20" customHeight="1">
      <x:c r="A3970" s="1" t="str">
        <x:v>22470</x:v>
      </x:c>
      <x:c r="B3970" s="9" t="d">
        <x:v>2011-10-11T00:00:00.000Z</x:v>
      </x:c>
      <x:c r="C3970" s="13" t="n">
        <x:v>13</x:v>
      </x:c>
    </x:row>
    <x:row r="3971" ht="20" customHeight="1">
      <x:c r="A3971" s="1" t="str">
        <x:v>22470</x:v>
      </x:c>
      <x:c r="B3971" s="9" t="d">
        <x:v>2011-10-12T00:00:00.000Z</x:v>
      </x:c>
      <x:c r="C3971" s="13" t="n">
        <x:v>7</x:v>
      </x:c>
    </x:row>
    <x:row r="3972" ht="20" customHeight="1">
      <x:c r="A3972" s="1" t="str">
        <x:v>22470</x:v>
      </x:c>
      <x:c r="B3972" s="9" t="d">
        <x:v>2011-10-13T00:00:00.000Z</x:v>
      </x:c>
      <x:c r="C3972" s="13" t="n">
        <x:v>15</x:v>
      </x:c>
    </x:row>
    <x:row r="3973" ht="20" customHeight="1">
      <x:c r="A3973" s="1" t="str">
        <x:v>22470</x:v>
      </x:c>
      <x:c r="B3973" s="9" t="d">
        <x:v>2011-10-14T00:00:00.000Z</x:v>
      </x:c>
      <x:c r="C3973" s="13" t="n">
        <x:v>18</x:v>
      </x:c>
    </x:row>
    <x:row r="3974" ht="20" customHeight="1">
      <x:c r="A3974" s="1" t="str">
        <x:v>22470</x:v>
      </x:c>
      <x:c r="B3974" s="9" t="d">
        <x:v>2011-10-15T00:00:00.000Z</x:v>
      </x:c>
      <x:c r="C3974" s="13" t="n">
        <x:v>0</x:v>
      </x:c>
    </x:row>
    <x:row r="3975" ht="20" customHeight="1">
      <x:c r="A3975" s="1" t="str">
        <x:v>22470</x:v>
      </x:c>
      <x:c r="B3975" s="9" t="d">
        <x:v>2011-10-16T00:00:00.000Z</x:v>
      </x:c>
      <x:c r="C3975" s="13" t="n">
        <x:v>23</x:v>
      </x:c>
    </x:row>
    <x:row r="3976" ht="20" customHeight="1">
      <x:c r="A3976" s="1" t="str">
        <x:v>22470</x:v>
      </x:c>
      <x:c r="B3976" s="9" t="d">
        <x:v>2011-10-17T00:00:00.000Z</x:v>
      </x:c>
      <x:c r="C3976" s="13" t="n">
        <x:v>38</x:v>
      </x:c>
    </x:row>
    <x:row r="3977" ht="20" customHeight="1">
      <x:c r="A3977" s="1" t="str">
        <x:v>22470</x:v>
      </x:c>
      <x:c r="B3977" s="9" t="d">
        <x:v>2011-10-18T00:00:00.000Z</x:v>
      </x:c>
      <x:c r="C3977" s="13" t="n">
        <x:v>11</x:v>
      </x:c>
    </x:row>
    <x:row r="3978" ht="20" customHeight="1">
      <x:c r="A3978" s="1" t="str">
        <x:v>22470</x:v>
      </x:c>
      <x:c r="B3978" s="9" t="d">
        <x:v>2011-10-19T00:00:00.000Z</x:v>
      </x:c>
      <x:c r="C3978" s="13" t="n">
        <x:v>16</x:v>
      </x:c>
    </x:row>
    <x:row r="3979" ht="20" customHeight="1">
      <x:c r="A3979" s="1" t="str">
        <x:v>22470</x:v>
      </x:c>
      <x:c r="B3979" s="9" t="d">
        <x:v>2011-10-20T00:00:00.000Z</x:v>
      </x:c>
      <x:c r="C3979" s="13" t="n">
        <x:v>2</x:v>
      </x:c>
    </x:row>
    <x:row r="3980" ht="20" customHeight="1">
      <x:c r="A3980" s="1" t="str">
        <x:v>22470</x:v>
      </x:c>
      <x:c r="B3980" s="9" t="d">
        <x:v>2011-10-21T00:00:00.000Z</x:v>
      </x:c>
      <x:c r="C3980" s="13" t="n">
        <x:v>0</x:v>
      </x:c>
    </x:row>
    <x:row r="3981" ht="20" customHeight="1">
      <x:c r="A3981" s="1" t="str">
        <x:v>22470</x:v>
      </x:c>
      <x:c r="B3981" s="9" t="d">
        <x:v>2011-10-22T00:00:00.000Z</x:v>
      </x:c>
      <x:c r="C3981" s="13" t="n">
        <x:v>0</x:v>
      </x:c>
    </x:row>
    <x:row r="3982" ht="20" customHeight="1">
      <x:c r="A3982" s="1" t="str">
        <x:v>22470</x:v>
      </x:c>
      <x:c r="B3982" s="9" t="d">
        <x:v>2011-10-23T00:00:00.000Z</x:v>
      </x:c>
      <x:c r="C3982" s="13" t="n">
        <x:v>13</x:v>
      </x:c>
    </x:row>
    <x:row r="3983" ht="20" customHeight="1">
      <x:c r="A3983" s="1" t="str">
        <x:v>22470</x:v>
      </x:c>
      <x:c r="B3983" s="9" t="d">
        <x:v>2011-10-24T00:00:00.000Z</x:v>
      </x:c>
      <x:c r="C3983" s="13" t="n">
        <x:v>43</x:v>
      </x:c>
    </x:row>
    <x:row r="3984" ht="20" customHeight="1">
      <x:c r="A3984" s="1" t="str">
        <x:v>22470</x:v>
      </x:c>
      <x:c r="B3984" s="9" t="d">
        <x:v>2011-10-25T00:00:00.000Z</x:v>
      </x:c>
      <x:c r="C3984" s="13" t="n">
        <x:v>2</x:v>
      </x:c>
    </x:row>
    <x:row r="3985" ht="20" customHeight="1">
      <x:c r="A3985" s="1" t="str">
        <x:v>22470</x:v>
      </x:c>
      <x:c r="B3985" s="9" t="d">
        <x:v>2011-10-26T00:00:00.000Z</x:v>
      </x:c>
      <x:c r="C3985" s="13" t="n">
        <x:v>6</x:v>
      </x:c>
    </x:row>
    <x:row r="3986" ht="20" customHeight="1">
      <x:c r="A3986" s="1" t="str">
        <x:v>22470</x:v>
      </x:c>
      <x:c r="B3986" s="9" t="d">
        <x:v>2011-10-27T00:00:00.000Z</x:v>
      </x:c>
      <x:c r="C3986" s="13" t="n">
        <x:v>15</x:v>
      </x:c>
    </x:row>
    <x:row r="3987" ht="20" customHeight="1">
      <x:c r="A3987" s="1" t="str">
        <x:v>22470</x:v>
      </x:c>
      <x:c r="B3987" s="9" t="d">
        <x:v>2011-10-28T00:00:00.000Z</x:v>
      </x:c>
      <x:c r="C3987" s="13" t="n">
        <x:v>37</x:v>
      </x:c>
    </x:row>
    <x:row r="3988" ht="20" customHeight="1">
      <x:c r="A3988" s="1" t="str">
        <x:v>22470</x:v>
      </x:c>
      <x:c r="B3988" s="9" t="d">
        <x:v>2011-10-29T00:00:00.000Z</x:v>
      </x:c>
      <x:c r="C3988" s="13" t="n">
        <x:v>0</x:v>
      </x:c>
    </x:row>
    <x:row r="3989" ht="20" customHeight="1">
      <x:c r="A3989" s="1" t="str">
        <x:v>22470</x:v>
      </x:c>
      <x:c r="B3989" s="9" t="d">
        <x:v>2011-10-30T00:00:00.000Z</x:v>
      </x:c>
      <x:c r="C3989" s="13" t="n">
        <x:v>61</x:v>
      </x:c>
    </x:row>
    <x:row r="3990" ht="20" customHeight="1">
      <x:c r="A3990" s="1" t="str">
        <x:v>22470</x:v>
      </x:c>
      <x:c r="B3990" s="9" t="d">
        <x:v>2011-10-31T00:00:00.000Z</x:v>
      </x:c>
      <x:c r="C3990" s="13" t="n">
        <x:v>30</x:v>
      </x:c>
    </x:row>
    <x:row r="3991" ht="20" customHeight="1">
      <x:c r="A3991" s="1" t="str">
        <x:v>22470</x:v>
      </x:c>
      <x:c r="B3991" s="9" t="d">
        <x:v>2011-11-01T00:00:00.000Z</x:v>
      </x:c>
      <x:c r="C3991" s="13" t="n">
        <x:v>21</x:v>
      </x:c>
    </x:row>
    <x:row r="3992" ht="20" customHeight="1">
      <x:c r="A3992" s="1" t="str">
        <x:v>22470</x:v>
      </x:c>
      <x:c r="B3992" s="9" t="d">
        <x:v>2011-11-02T00:00:00.000Z</x:v>
      </x:c>
      <x:c r="C3992" s="13" t="n">
        <x:v>18</x:v>
      </x:c>
    </x:row>
    <x:row r="3993" ht="20" customHeight="1">
      <x:c r="A3993" s="1" t="str">
        <x:v>22470</x:v>
      </x:c>
      <x:c r="B3993" s="9" t="d">
        <x:v>2011-11-03T00:00:00.000Z</x:v>
      </x:c>
      <x:c r="C3993" s="13" t="n">
        <x:v>255</x:v>
      </x:c>
    </x:row>
    <x:row r="3994" ht="20" customHeight="1">
      <x:c r="A3994" s="1" t="str">
        <x:v>22470</x:v>
      </x:c>
      <x:c r="B3994" s="9" t="d">
        <x:v>2011-11-04T00:00:00.000Z</x:v>
      </x:c>
      <x:c r="C3994" s="13" t="n">
        <x:v>135</x:v>
      </x:c>
    </x:row>
    <x:row r="3995" ht="20" customHeight="1">
      <x:c r="A3995" s="1" t="str">
        <x:v>22470</x:v>
      </x:c>
      <x:c r="B3995" s="9" t="d">
        <x:v>2011-11-05T00:00:00.000Z</x:v>
      </x:c>
      <x:c r="C3995" s="13" t="n">
        <x:v>0</x:v>
      </x:c>
    </x:row>
    <x:row r="3996" ht="20" customHeight="1">
      <x:c r="A3996" s="1" t="str">
        <x:v>22470</x:v>
      </x:c>
      <x:c r="B3996" s="9" t="d">
        <x:v>2011-11-06T00:00:00.000Z</x:v>
      </x:c>
      <x:c r="C3996" s="13" t="n">
        <x:v>42</x:v>
      </x:c>
    </x:row>
    <x:row r="3997" ht="20" customHeight="1">
      <x:c r="A3997" s="1" t="str">
        <x:v>22470</x:v>
      </x:c>
      <x:c r="B3997" s="9" t="d">
        <x:v>2011-11-07T00:00:00.000Z</x:v>
      </x:c>
      <x:c r="C3997" s="13" t="n">
        <x:v>59</x:v>
      </x:c>
    </x:row>
    <x:row r="3998" ht="20" customHeight="1">
      <x:c r="A3998" s="1" t="str">
        <x:v>22470</x:v>
      </x:c>
      <x:c r="B3998" s="9" t="d">
        <x:v>2011-11-08T00:00:00.000Z</x:v>
      </x:c>
      <x:c r="C3998" s="13" t="n">
        <x:v>24</x:v>
      </x:c>
    </x:row>
    <x:row r="3999" ht="20" customHeight="1">
      <x:c r="A3999" s="1" t="str">
        <x:v>22470</x:v>
      </x:c>
      <x:c r="B3999" s="9" t="d">
        <x:v>2011-11-09T00:00:00.000Z</x:v>
      </x:c>
      <x:c r="C3999" s="13" t="n">
        <x:v>6</x:v>
      </x:c>
    </x:row>
    <x:row r="4000" ht="20" customHeight="1">
      <x:c r="A4000" s="1" t="str">
        <x:v>22470</x:v>
      </x:c>
      <x:c r="B4000" s="9" t="d">
        <x:v>2011-11-10T00:00:00.000Z</x:v>
      </x:c>
      <x:c r="C4000" s="13" t="n">
        <x:v>51</x:v>
      </x:c>
    </x:row>
    <x:row r="4001" ht="20" customHeight="1">
      <x:c r="A4001" s="1" t="str">
        <x:v>22470</x:v>
      </x:c>
      <x:c r="B4001" s="9" t="d">
        <x:v>2011-11-11T00:00:00.000Z</x:v>
      </x:c>
      <x:c r="C4001" s="13" t="n">
        <x:v>9</x:v>
      </x:c>
    </x:row>
    <x:row r="4002" ht="20" customHeight="1">
      <x:c r="A4002" s="1" t="str">
        <x:v>22470</x:v>
      </x:c>
      <x:c r="B4002" s="9" t="d">
        <x:v>2011-11-12T00:00:00.000Z</x:v>
      </x:c>
      <x:c r="C4002" s="13" t="n">
        <x:v>0</x:v>
      </x:c>
    </x:row>
    <x:row r="4003" ht="20" customHeight="1">
      <x:c r="A4003" s="1" t="str">
        <x:v>22470</x:v>
      </x:c>
      <x:c r="B4003" s="9" t="d">
        <x:v>2011-11-13T00:00:00.000Z</x:v>
      </x:c>
      <x:c r="C4003" s="13" t="n">
        <x:v>21</x:v>
      </x:c>
    </x:row>
    <x:row r="4004" ht="20" customHeight="1">
      <x:c r="A4004" s="1" t="str">
        <x:v>22470</x:v>
      </x:c>
      <x:c r="B4004" s="9" t="d">
        <x:v>2011-11-14T00:00:00.000Z</x:v>
      </x:c>
      <x:c r="C4004" s="13" t="n">
        <x:v>8</x:v>
      </x:c>
    </x:row>
    <x:row r="4005" ht="20" customHeight="1">
      <x:c r="A4005" s="1" t="str">
        <x:v>22470</x:v>
      </x:c>
      <x:c r="B4005" s="9" t="d">
        <x:v>2011-11-15T00:00:00.000Z</x:v>
      </x:c>
      <x:c r="C4005" s="13" t="n">
        <x:v>27</x:v>
      </x:c>
    </x:row>
    <x:row r="4006" ht="20" customHeight="1">
      <x:c r="A4006" s="1" t="str">
        <x:v>22470</x:v>
      </x:c>
      <x:c r="B4006" s="9" t="d">
        <x:v>2011-11-16T00:00:00.000Z</x:v>
      </x:c>
      <x:c r="C4006" s="13" t="n">
        <x:v>24</x:v>
      </x:c>
    </x:row>
    <x:row r="4007" ht="20" customHeight="1">
      <x:c r="A4007" s="1" t="str">
        <x:v>22470</x:v>
      </x:c>
      <x:c r="B4007" s="9" t="d">
        <x:v>2011-11-17T00:00:00.000Z</x:v>
      </x:c>
      <x:c r="C4007" s="13" t="n">
        <x:v>8</x:v>
      </x:c>
    </x:row>
    <x:row r="4008" ht="20" customHeight="1">
      <x:c r="A4008" s="1" t="str">
        <x:v>22470</x:v>
      </x:c>
      <x:c r="B4008" s="9" t="d">
        <x:v>2011-11-18T00:00:00.000Z</x:v>
      </x:c>
      <x:c r="C4008" s="13" t="n">
        <x:v>19</x:v>
      </x:c>
    </x:row>
    <x:row r="4009" ht="20" customHeight="1">
      <x:c r="A4009" s="1" t="str">
        <x:v>22470</x:v>
      </x:c>
      <x:c r="B4009" s="9" t="d">
        <x:v>2011-11-19T00:00:00.000Z</x:v>
      </x:c>
      <x:c r="C4009" s="13" t="n">
        <x:v>0</x:v>
      </x:c>
    </x:row>
    <x:row r="4010" ht="20" customHeight="1">
      <x:c r="A4010" s="1" t="str">
        <x:v>22470</x:v>
      </x:c>
      <x:c r="B4010" s="9" t="d">
        <x:v>2011-11-20T00:00:00.000Z</x:v>
      </x:c>
      <x:c r="C4010" s="13" t="n">
        <x:v>17</x:v>
      </x:c>
    </x:row>
    <x:row r="4011" ht="20" customHeight="1">
      <x:c r="A4011" s="1" t="str">
        <x:v>22470</x:v>
      </x:c>
      <x:c r="B4011" s="9" t="d">
        <x:v>2011-11-21T00:00:00.000Z</x:v>
      </x:c>
      <x:c r="C4011" s="13" t="n">
        <x:v>22</x:v>
      </x:c>
    </x:row>
    <x:row r="4012" ht="20" customHeight="1">
      <x:c r="A4012" s="1" t="str">
        <x:v>22470</x:v>
      </x:c>
      <x:c r="B4012" s="9" t="d">
        <x:v>2011-11-22T00:00:00.000Z</x:v>
      </x:c>
      <x:c r="C4012" s="13" t="n">
        <x:v>103</x:v>
      </x:c>
    </x:row>
    <x:row r="4013" ht="20" customHeight="1">
      <x:c r="A4013" s="1" t="str">
        <x:v>22470</x:v>
      </x:c>
      <x:c r="B4013" s="9" t="d">
        <x:v>2011-11-23T00:00:00.000Z</x:v>
      </x:c>
      <x:c r="C4013" s="13" t="n">
        <x:v>19</x:v>
      </x:c>
    </x:row>
    <x:row r="4014" ht="20" customHeight="1">
      <x:c r="A4014" s="1" t="str">
        <x:v>22470</x:v>
      </x:c>
      <x:c r="B4014" s="9" t="d">
        <x:v>2011-11-24T00:00:00.000Z</x:v>
      </x:c>
      <x:c r="C4014" s="13" t="n">
        <x:v>1</x:v>
      </x:c>
    </x:row>
    <x:row r="4015" ht="20" customHeight="1">
      <x:c r="A4015" s="1" t="str">
        <x:v>22470</x:v>
      </x:c>
      <x:c r="B4015" s="9" t="d">
        <x:v>2011-11-25T00:00:00.000Z</x:v>
      </x:c>
      <x:c r="C4015" s="13" t="n">
        <x:v>7</x:v>
      </x:c>
    </x:row>
    <x:row r="4016" ht="20" customHeight="1">
      <x:c r="A4016" s="1" t="str">
        <x:v>22470</x:v>
      </x:c>
      <x:c r="B4016" s="9" t="d">
        <x:v>2011-11-26T00:00:00.000Z</x:v>
      </x:c>
      <x:c r="C4016" s="13" t="n">
        <x:v>0</x:v>
      </x:c>
    </x:row>
    <x:row r="4017" ht="20" customHeight="1">
      <x:c r="A4017" s="1" t="str">
        <x:v>22470</x:v>
      </x:c>
      <x:c r="B4017" s="9" t="d">
        <x:v>2011-11-27T00:00:00.000Z</x:v>
      </x:c>
      <x:c r="C4017" s="13" t="n">
        <x:v>3</x:v>
      </x:c>
    </x:row>
    <x:row r="4018" ht="20" customHeight="1">
      <x:c r="A4018" s="1" t="str">
        <x:v>22470</x:v>
      </x:c>
      <x:c r="B4018" s="9" t="d">
        <x:v>2011-11-28T00:00:00.000Z</x:v>
      </x:c>
      <x:c r="C4018" s="13" t="n">
        <x:v>767</x:v>
      </x:c>
    </x:row>
    <x:row r="4019" ht="20" customHeight="1">
      <x:c r="A4019" s="1" t="str">
        <x:v>22470</x:v>
      </x:c>
      <x:c r="B4019" s="9" t="d">
        <x:v>2011-11-29T00:00:00.000Z</x:v>
      </x:c>
      <x:c r="C4019" s="13" t="n">
        <x:v>36</x:v>
      </x:c>
    </x:row>
    <x:row r="4020" ht="20" customHeight="1">
      <x:c r="A4020" s="1" t="str">
        <x:v>22470</x:v>
      </x:c>
      <x:c r="B4020" s="9" t="d">
        <x:v>2011-11-30T00:00:00.000Z</x:v>
      </x:c>
      <x:c r="C4020" s="13" t="n">
        <x:v>14</x:v>
      </x:c>
    </x:row>
    <x:row r="4021" ht="20" customHeight="1">
      <x:c r="A4021" s="1" t="str">
        <x:v>22666</x:v>
      </x:c>
      <x:c r="B4021" s="9" t="d">
        <x:v>2010-12-01T00:00:00.000Z</x:v>
      </x:c>
      <x:c r="C4021" s="13" t="n">
        <x:v>28</x:v>
      </x:c>
    </x:row>
    <x:row r="4022" ht="20" customHeight="1">
      <x:c r="A4022" s="1" t="str">
        <x:v>22666</x:v>
      </x:c>
      <x:c r="B4022" s="9" t="d">
        <x:v>2010-12-02T00:00:00.000Z</x:v>
      </x:c>
      <x:c r="C4022" s="13" t="n">
        <x:v>13</x:v>
      </x:c>
    </x:row>
    <x:row r="4023" ht="20" customHeight="1">
      <x:c r="A4023" s="1" t="str">
        <x:v>22666</x:v>
      </x:c>
      <x:c r="B4023" s="9" t="d">
        <x:v>2010-12-03T00:00:00.000Z</x:v>
      </x:c>
      <x:c r="C4023" s="13" t="n">
        <x:v>4</x:v>
      </x:c>
    </x:row>
    <x:row r="4024" ht="20" customHeight="1">
      <x:c r="A4024" s="1" t="str">
        <x:v>22666</x:v>
      </x:c>
      <x:c r="B4024" s="9" t="d">
        <x:v>2010-12-04T00:00:00.000Z</x:v>
      </x:c>
      <x:c r="C4024" s="13" t="n">
        <x:v>0</x:v>
      </x:c>
    </x:row>
    <x:row r="4025" ht="20" customHeight="1">
      <x:c r="A4025" s="1" t="str">
        <x:v>22666</x:v>
      </x:c>
      <x:c r="B4025" s="9" t="d">
        <x:v>2010-12-05T00:00:00.000Z</x:v>
      </x:c>
      <x:c r="C4025" s="13" t="n">
        <x:v>78</x:v>
      </x:c>
    </x:row>
    <x:row r="4026" ht="20" customHeight="1">
      <x:c r="A4026" s="1" t="str">
        <x:v>22666</x:v>
      </x:c>
      <x:c r="B4026" s="9" t="d">
        <x:v>2010-12-06T00:00:00.000Z</x:v>
      </x:c>
      <x:c r="C4026" s="13" t="n">
        <x:v>40</x:v>
      </x:c>
    </x:row>
    <x:row r="4027" ht="20" customHeight="1">
      <x:c r="A4027" s="1" t="str">
        <x:v>22666</x:v>
      </x:c>
      <x:c r="B4027" s="9" t="d">
        <x:v>2010-12-07T00:00:00.000Z</x:v>
      </x:c>
      <x:c r="C4027" s="13" t="n">
        <x:v>12</x:v>
      </x:c>
    </x:row>
    <x:row r="4028" ht="20" customHeight="1">
      <x:c r="A4028" s="1" t="str">
        <x:v>22666</x:v>
      </x:c>
      <x:c r="B4028" s="9" t="d">
        <x:v>2010-12-08T00:00:00.000Z</x:v>
      </x:c>
      <x:c r="C4028" s="13" t="n">
        <x:v>22</x:v>
      </x:c>
    </x:row>
    <x:row r="4029" ht="20" customHeight="1">
      <x:c r="A4029" s="1" t="str">
        <x:v>22666</x:v>
      </x:c>
      <x:c r="B4029" s="9" t="d">
        <x:v>2010-12-09T00:00:00.000Z</x:v>
      </x:c>
      <x:c r="C4029" s="13" t="n">
        <x:v>25</x:v>
      </x:c>
    </x:row>
    <x:row r="4030" ht="20" customHeight="1">
      <x:c r="A4030" s="1" t="str">
        <x:v>22666</x:v>
      </x:c>
      <x:c r="B4030" s="9" t="d">
        <x:v>2010-12-10T00:00:00.000Z</x:v>
      </x:c>
      <x:c r="C4030" s="13" t="n">
        <x:v>5</x:v>
      </x:c>
    </x:row>
    <x:row r="4031" ht="20" customHeight="1">
      <x:c r="A4031" s="1" t="str">
        <x:v>22666</x:v>
      </x:c>
      <x:c r="B4031" s="9" t="d">
        <x:v>2010-12-11T00:00:00.000Z</x:v>
      </x:c>
      <x:c r="C4031" s="13" t="n">
        <x:v>0</x:v>
      </x:c>
    </x:row>
    <x:row r="4032" ht="20" customHeight="1">
      <x:c r="A4032" s="1" t="str">
        <x:v>22666</x:v>
      </x:c>
      <x:c r="B4032" s="9" t="d">
        <x:v>2010-12-12T00:00:00.000Z</x:v>
      </x:c>
      <x:c r="C4032" s="13" t="n">
        <x:v>0</x:v>
      </x:c>
    </x:row>
    <x:row r="4033" ht="20" customHeight="1">
      <x:c r="A4033" s="1" t="str">
        <x:v>22666</x:v>
      </x:c>
      <x:c r="B4033" s="9" t="d">
        <x:v>2010-12-13T00:00:00.000Z</x:v>
      </x:c>
      <x:c r="C4033" s="13" t="n">
        <x:v>10</x:v>
      </x:c>
    </x:row>
    <x:row r="4034" ht="20" customHeight="1">
      <x:c r="A4034" s="1" t="str">
        <x:v>22666</x:v>
      </x:c>
      <x:c r="B4034" s="9" t="d">
        <x:v>2010-12-14T00:00:00.000Z</x:v>
      </x:c>
      <x:c r="C4034" s="13" t="n">
        <x:v>55</x:v>
      </x:c>
    </x:row>
    <x:row r="4035" ht="20" customHeight="1">
      <x:c r="A4035" s="1" t="str">
        <x:v>22666</x:v>
      </x:c>
      <x:c r="B4035" s="9" t="d">
        <x:v>2010-12-15T00:00:00.000Z</x:v>
      </x:c>
      <x:c r="C4035" s="13" t="n">
        <x:v>42</x:v>
      </x:c>
    </x:row>
    <x:row r="4036" ht="20" customHeight="1">
      <x:c r="A4036" s="1" t="str">
        <x:v>22666</x:v>
      </x:c>
      <x:c r="B4036" s="9" t="d">
        <x:v>2010-12-16T00:00:00.000Z</x:v>
      </x:c>
      <x:c r="C4036" s="13" t="n">
        <x:v>7</x:v>
      </x:c>
    </x:row>
    <x:row r="4037" ht="20" customHeight="1">
      <x:c r="A4037" s="1" t="str">
        <x:v>22666</x:v>
      </x:c>
      <x:c r="B4037" s="9" t="d">
        <x:v>2010-12-17T00:00:00.000Z</x:v>
      </x:c>
      <x:c r="C4037" s="13" t="n">
        <x:v>42</x:v>
      </x:c>
    </x:row>
    <x:row r="4038" ht="20" customHeight="1">
      <x:c r="A4038" s="1" t="str">
        <x:v>22666</x:v>
      </x:c>
      <x:c r="B4038" s="9" t="d">
        <x:v>2010-12-18T00:00:00.000Z</x:v>
      </x:c>
      <x:c r="C4038" s="13" t="n">
        <x:v>0</x:v>
      </x:c>
    </x:row>
    <x:row r="4039" ht="20" customHeight="1">
      <x:c r="A4039" s="1" t="str">
        <x:v>22666</x:v>
      </x:c>
      <x:c r="B4039" s="9" t="d">
        <x:v>2010-12-19T00:00:00.000Z</x:v>
      </x:c>
      <x:c r="C4039" s="13" t="n">
        <x:v>5</x:v>
      </x:c>
    </x:row>
    <x:row r="4040" ht="20" customHeight="1">
      <x:c r="A4040" s="1" t="str">
        <x:v>22666</x:v>
      </x:c>
      <x:c r="B4040" s="9" t="d">
        <x:v>2010-12-20T00:00:00.000Z</x:v>
      </x:c>
      <x:c r="C4040" s="13" t="n">
        <x:v>3</x:v>
      </x:c>
    </x:row>
    <x:row r="4041" ht="20" customHeight="1">
      <x:c r="A4041" s="1" t="str">
        <x:v>22666</x:v>
      </x:c>
      <x:c r="B4041" s="9" t="d">
        <x:v>2010-12-21T00:00:00.000Z</x:v>
      </x:c>
      <x:c r="C4041" s="13" t="n">
        <x:v>22</x:v>
      </x:c>
    </x:row>
    <x:row r="4042" ht="20" customHeight="1">
      <x:c r="A4042" s="1" t="str">
        <x:v>22666</x:v>
      </x:c>
      <x:c r="B4042" s="9" t="d">
        <x:v>2010-12-22T00:00:00.000Z</x:v>
      </x:c>
      <x:c r="C4042" s="13" t="n">
        <x:v>4</x:v>
      </x:c>
    </x:row>
    <x:row r="4043" ht="20" customHeight="1">
      <x:c r="A4043" s="1" t="str">
        <x:v>22666</x:v>
      </x:c>
      <x:c r="B4043" s="9" t="d">
        <x:v>2010-12-23T00:00:00.000Z</x:v>
      </x:c>
      <x:c r="C4043" s="13" t="n">
        <x:v>26</x:v>
      </x:c>
    </x:row>
    <x:row r="4044" ht="20" customHeight="1">
      <x:c r="A4044" s="1" t="str">
        <x:v>22666</x:v>
      </x:c>
      <x:c r="B4044" s="9" t="d">
        <x:v>2010-12-24T00:00:00.000Z</x:v>
      </x:c>
      <x:c r="C4044" s="13" t="n">
        <x:v>0</x:v>
      </x:c>
    </x:row>
    <x:row r="4045" ht="20" customHeight="1">
      <x:c r="A4045" s="1" t="str">
        <x:v>22666</x:v>
      </x:c>
      <x:c r="B4045" s="9" t="d">
        <x:v>2010-12-25T00:00:00.000Z</x:v>
      </x:c>
      <x:c r="C4045" s="13" t="n">
        <x:v>0</x:v>
      </x:c>
    </x:row>
    <x:row r="4046" ht="20" customHeight="1">
      <x:c r="A4046" s="1" t="str">
        <x:v>22666</x:v>
      </x:c>
      <x:c r="B4046" s="9" t="d">
        <x:v>2010-12-26T00:00:00.000Z</x:v>
      </x:c>
      <x:c r="C4046" s="13" t="n">
        <x:v>0</x:v>
      </x:c>
    </x:row>
    <x:row r="4047" ht="20" customHeight="1">
      <x:c r="A4047" s="1" t="str">
        <x:v>22666</x:v>
      </x:c>
      <x:c r="B4047" s="9" t="d">
        <x:v>2010-12-27T00:00:00.000Z</x:v>
      </x:c>
      <x:c r="C4047" s="13" t="n">
        <x:v>0</x:v>
      </x:c>
    </x:row>
    <x:row r="4048" ht="20" customHeight="1">
      <x:c r="A4048" s="1" t="str">
        <x:v>22666</x:v>
      </x:c>
      <x:c r="B4048" s="9" t="d">
        <x:v>2010-12-28T00:00:00.000Z</x:v>
      </x:c>
      <x:c r="C4048" s="13" t="n">
        <x:v>0</x:v>
      </x:c>
    </x:row>
    <x:row r="4049" ht="20" customHeight="1">
      <x:c r="A4049" s="1" t="str">
        <x:v>22666</x:v>
      </x:c>
      <x:c r="B4049" s="9" t="d">
        <x:v>2010-12-29T00:00:00.000Z</x:v>
      </x:c>
      <x:c r="C4049" s="13" t="n">
        <x:v>0</x:v>
      </x:c>
    </x:row>
    <x:row r="4050" ht="20" customHeight="1">
      <x:c r="A4050" s="1" t="str">
        <x:v>22666</x:v>
      </x:c>
      <x:c r="B4050" s="9" t="d">
        <x:v>2010-12-30T00:00:00.000Z</x:v>
      </x:c>
      <x:c r="C4050" s="13" t="n">
        <x:v>0</x:v>
      </x:c>
    </x:row>
    <x:row r="4051" ht="20" customHeight="1">
      <x:c r="A4051" s="1" t="str">
        <x:v>22666</x:v>
      </x:c>
      <x:c r="B4051" s="9" t="d">
        <x:v>2010-12-31T00:00:00.000Z</x:v>
      </x:c>
      <x:c r="C4051" s="13" t="n">
        <x:v>0</x:v>
      </x:c>
    </x:row>
    <x:row r="4052" ht="20" customHeight="1">
      <x:c r="A4052" s="1" t="str">
        <x:v>22666</x:v>
      </x:c>
      <x:c r="B4052" s="9" t="d">
        <x:v>2011-01-01T00:00:00.000Z</x:v>
      </x:c>
      <x:c r="C4052" s="13" t="n">
        <x:v>0</x:v>
      </x:c>
    </x:row>
    <x:row r="4053" ht="20" customHeight="1">
      <x:c r="A4053" s="1" t="str">
        <x:v>22666</x:v>
      </x:c>
      <x:c r="B4053" s="9" t="d">
        <x:v>2011-01-02T00:00:00.000Z</x:v>
      </x:c>
      <x:c r="C4053" s="13" t="n">
        <x:v>0</x:v>
      </x:c>
    </x:row>
    <x:row r="4054" ht="20" customHeight="1">
      <x:c r="A4054" s="1" t="str">
        <x:v>22666</x:v>
      </x:c>
      <x:c r="B4054" s="9" t="d">
        <x:v>2011-01-03T00:00:00.000Z</x:v>
      </x:c>
      <x:c r="C4054" s="13" t="n">
        <x:v>0</x:v>
      </x:c>
    </x:row>
    <x:row r="4055" ht="20" customHeight="1">
      <x:c r="A4055" s="1" t="str">
        <x:v>22666</x:v>
      </x:c>
      <x:c r="B4055" s="9" t="d">
        <x:v>2011-01-04T00:00:00.000Z</x:v>
      </x:c>
      <x:c r="C4055" s="13" t="n">
        <x:v>6</x:v>
      </x:c>
    </x:row>
    <x:row r="4056" ht="20" customHeight="1">
      <x:c r="A4056" s="1" t="str">
        <x:v>22666</x:v>
      </x:c>
      <x:c r="B4056" s="9" t="d">
        <x:v>2011-01-05T00:00:00.000Z</x:v>
      </x:c>
      <x:c r="C4056" s="13" t="n">
        <x:v>2</x:v>
      </x:c>
    </x:row>
    <x:row r="4057" ht="20" customHeight="1">
      <x:c r="A4057" s="1" t="str">
        <x:v>22666</x:v>
      </x:c>
      <x:c r="B4057" s="9" t="d">
        <x:v>2011-01-06T00:00:00.000Z</x:v>
      </x:c>
      <x:c r="C4057" s="13" t="n">
        <x:v>3</x:v>
      </x:c>
    </x:row>
    <x:row r="4058" ht="20" customHeight="1">
      <x:c r="A4058" s="1" t="str">
        <x:v>22666</x:v>
      </x:c>
      <x:c r="B4058" s="9" t="d">
        <x:v>2011-01-07T00:00:00.000Z</x:v>
      </x:c>
      <x:c r="C4058" s="13" t="n">
        <x:v>21</x:v>
      </x:c>
    </x:row>
    <x:row r="4059" ht="20" customHeight="1">
      <x:c r="A4059" s="1" t="str">
        <x:v>22666</x:v>
      </x:c>
      <x:c r="B4059" s="9" t="d">
        <x:v>2011-01-08T00:00:00.000Z</x:v>
      </x:c>
      <x:c r="C4059" s="13" t="n">
        <x:v>0</x:v>
      </x:c>
    </x:row>
    <x:row r="4060" ht="20" customHeight="1">
      <x:c r="A4060" s="1" t="str">
        <x:v>22666</x:v>
      </x:c>
      <x:c r="B4060" s="9" t="d">
        <x:v>2011-01-09T00:00:00.000Z</x:v>
      </x:c>
      <x:c r="C4060" s="13" t="n">
        <x:v>10</x:v>
      </x:c>
    </x:row>
    <x:row r="4061" ht="20" customHeight="1">
      <x:c r="A4061" s="1" t="str">
        <x:v>22666</x:v>
      </x:c>
      <x:c r="B4061" s="9" t="d">
        <x:v>2011-01-10T00:00:00.000Z</x:v>
      </x:c>
      <x:c r="C4061" s="13" t="n">
        <x:v>15</x:v>
      </x:c>
    </x:row>
    <x:row r="4062" ht="20" customHeight="1">
      <x:c r="A4062" s="1" t="str">
        <x:v>22666</x:v>
      </x:c>
      <x:c r="B4062" s="9" t="d">
        <x:v>2011-01-11T00:00:00.000Z</x:v>
      </x:c>
      <x:c r="C4062" s="13" t="n">
        <x:v>8</x:v>
      </x:c>
    </x:row>
    <x:row r="4063" ht="20" customHeight="1">
      <x:c r="A4063" s="1" t="str">
        <x:v>22666</x:v>
      </x:c>
      <x:c r="B4063" s="9" t="d">
        <x:v>2011-01-12T00:00:00.000Z</x:v>
      </x:c>
      <x:c r="C4063" s="13" t="n">
        <x:v>14</x:v>
      </x:c>
    </x:row>
    <x:row r="4064" ht="20" customHeight="1">
      <x:c r="A4064" s="1" t="str">
        <x:v>22666</x:v>
      </x:c>
      <x:c r="B4064" s="9" t="d">
        <x:v>2011-01-13T00:00:00.000Z</x:v>
      </x:c>
      <x:c r="C4064" s="13" t="n">
        <x:v>7</x:v>
      </x:c>
    </x:row>
    <x:row r="4065" ht="20" customHeight="1">
      <x:c r="A4065" s="1" t="str">
        <x:v>22666</x:v>
      </x:c>
      <x:c r="B4065" s="9" t="d">
        <x:v>2011-01-14T00:00:00.000Z</x:v>
      </x:c>
      <x:c r="C4065" s="13" t="n">
        <x:v>48</x:v>
      </x:c>
    </x:row>
    <x:row r="4066" ht="20" customHeight="1">
      <x:c r="A4066" s="1" t="str">
        <x:v>22666</x:v>
      </x:c>
      <x:c r="B4066" s="9" t="d">
        <x:v>2011-01-15T00:00:00.000Z</x:v>
      </x:c>
      <x:c r="C4066" s="13" t="n">
        <x:v>0</x:v>
      </x:c>
    </x:row>
    <x:row r="4067" ht="20" customHeight="1">
      <x:c r="A4067" s="1" t="str">
        <x:v>22666</x:v>
      </x:c>
      <x:c r="B4067" s="9" t="d">
        <x:v>2011-01-16T00:00:00.000Z</x:v>
      </x:c>
      <x:c r="C4067" s="13" t="n">
        <x:v>8</x:v>
      </x:c>
    </x:row>
    <x:row r="4068" ht="20" customHeight="1">
      <x:c r="A4068" s="1" t="str">
        <x:v>22666</x:v>
      </x:c>
      <x:c r="B4068" s="9" t="d">
        <x:v>2011-01-17T00:00:00.000Z</x:v>
      </x:c>
      <x:c r="C4068" s="13" t="n">
        <x:v>29</x:v>
      </x:c>
    </x:row>
    <x:row r="4069" ht="20" customHeight="1">
      <x:c r="A4069" s="1" t="str">
        <x:v>22666</x:v>
      </x:c>
      <x:c r="B4069" s="9" t="d">
        <x:v>2011-01-18T00:00:00.000Z</x:v>
      </x:c>
      <x:c r="C4069" s="13" t="n">
        <x:v>5</x:v>
      </x:c>
    </x:row>
    <x:row r="4070" ht="20" customHeight="1">
      <x:c r="A4070" s="1" t="str">
        <x:v>22666</x:v>
      </x:c>
      <x:c r="B4070" s="9" t="d">
        <x:v>2011-01-19T00:00:00.000Z</x:v>
      </x:c>
      <x:c r="C4070" s="13" t="n">
        <x:v>1</x:v>
      </x:c>
    </x:row>
    <x:row r="4071" ht="20" customHeight="1">
      <x:c r="A4071" s="1" t="str">
        <x:v>22666</x:v>
      </x:c>
      <x:c r="B4071" s="9" t="d">
        <x:v>2011-01-20T00:00:00.000Z</x:v>
      </x:c>
      <x:c r="C4071" s="13" t="n">
        <x:v>52</x:v>
      </x:c>
    </x:row>
    <x:row r="4072" ht="20" customHeight="1">
      <x:c r="A4072" s="1" t="str">
        <x:v>22666</x:v>
      </x:c>
      <x:c r="B4072" s="9" t="d">
        <x:v>2011-01-21T00:00:00.000Z</x:v>
      </x:c>
      <x:c r="C4072" s="13" t="n">
        <x:v>2</x:v>
      </x:c>
    </x:row>
    <x:row r="4073" ht="20" customHeight="1">
      <x:c r="A4073" s="1" t="str">
        <x:v>22666</x:v>
      </x:c>
      <x:c r="B4073" s="9" t="d">
        <x:v>2011-01-22T00:00:00.000Z</x:v>
      </x:c>
      <x:c r="C4073" s="13" t="n">
        <x:v>0</x:v>
      </x:c>
    </x:row>
    <x:row r="4074" ht="20" customHeight="1">
      <x:c r="A4074" s="1" t="str">
        <x:v>22666</x:v>
      </x:c>
      <x:c r="B4074" s="9" t="d">
        <x:v>2011-01-23T00:00:00.000Z</x:v>
      </x:c>
      <x:c r="C4074" s="13" t="n">
        <x:v>3</x:v>
      </x:c>
    </x:row>
    <x:row r="4075" ht="20" customHeight="1">
      <x:c r="A4075" s="1" t="str">
        <x:v>22666</x:v>
      </x:c>
      <x:c r="B4075" s="9" t="d">
        <x:v>2011-01-24T00:00:00.000Z</x:v>
      </x:c>
      <x:c r="C4075" s="13" t="n">
        <x:v>45</x:v>
      </x:c>
    </x:row>
    <x:row r="4076" ht="20" customHeight="1">
      <x:c r="A4076" s="1" t="str">
        <x:v>22666</x:v>
      </x:c>
      <x:c r="B4076" s="9" t="d">
        <x:v>2011-01-25T00:00:00.000Z</x:v>
      </x:c>
      <x:c r="C4076" s="13" t="n">
        <x:v>13</x:v>
      </x:c>
    </x:row>
    <x:row r="4077" ht="20" customHeight="1">
      <x:c r="A4077" s="1" t="str">
        <x:v>22666</x:v>
      </x:c>
      <x:c r="B4077" s="9" t="d">
        <x:v>2011-01-26T00:00:00.000Z</x:v>
      </x:c>
      <x:c r="C4077" s="13" t="n">
        <x:v>15</x:v>
      </x:c>
    </x:row>
    <x:row r="4078" ht="20" customHeight="1">
      <x:c r="A4078" s="1" t="str">
        <x:v>22666</x:v>
      </x:c>
      <x:c r="B4078" s="9" t="d">
        <x:v>2011-01-27T00:00:00.000Z</x:v>
      </x:c>
      <x:c r="C4078" s="13" t="n">
        <x:v>12</x:v>
      </x:c>
    </x:row>
    <x:row r="4079" ht="20" customHeight="1">
      <x:c r="A4079" s="1" t="str">
        <x:v>22666</x:v>
      </x:c>
      <x:c r="B4079" s="9" t="d">
        <x:v>2011-01-28T00:00:00.000Z</x:v>
      </x:c>
      <x:c r="C4079" s="13" t="n">
        <x:v>28</x:v>
      </x:c>
    </x:row>
    <x:row r="4080" ht="20" customHeight="1">
      <x:c r="A4080" s="1" t="str">
        <x:v>22666</x:v>
      </x:c>
      <x:c r="B4080" s="9" t="d">
        <x:v>2011-01-29T00:00:00.000Z</x:v>
      </x:c>
      <x:c r="C4080" s="13" t="n">
        <x:v>0</x:v>
      </x:c>
    </x:row>
    <x:row r="4081" ht="20" customHeight="1">
      <x:c r="A4081" s="1" t="str">
        <x:v>22666</x:v>
      </x:c>
      <x:c r="B4081" s="9" t="d">
        <x:v>2011-01-30T00:00:00.000Z</x:v>
      </x:c>
      <x:c r="C4081" s="13" t="n">
        <x:v>3</x:v>
      </x:c>
    </x:row>
    <x:row r="4082" ht="20" customHeight="1">
      <x:c r="A4082" s="1" t="str">
        <x:v>22666</x:v>
      </x:c>
      <x:c r="B4082" s="9" t="d">
        <x:v>2011-01-31T00:00:00.000Z</x:v>
      </x:c>
      <x:c r="C4082" s="13" t="n">
        <x:v>7</x:v>
      </x:c>
    </x:row>
    <x:row r="4083" ht="20" customHeight="1">
      <x:c r="A4083" s="1" t="str">
        <x:v>22666</x:v>
      </x:c>
      <x:c r="B4083" s="9" t="d">
        <x:v>2011-02-01T00:00:00.000Z</x:v>
      </x:c>
      <x:c r="C4083" s="13" t="n">
        <x:v>10</x:v>
      </x:c>
    </x:row>
    <x:row r="4084" ht="20" customHeight="1">
      <x:c r="A4084" s="1" t="str">
        <x:v>22666</x:v>
      </x:c>
      <x:c r="B4084" s="9" t="d">
        <x:v>2011-02-02T00:00:00.000Z</x:v>
      </x:c>
      <x:c r="C4084" s="13" t="n">
        <x:v>31</x:v>
      </x:c>
    </x:row>
    <x:row r="4085" ht="20" customHeight="1">
      <x:c r="A4085" s="1" t="str">
        <x:v>22666</x:v>
      </x:c>
      <x:c r="B4085" s="9" t="d">
        <x:v>2011-02-03T00:00:00.000Z</x:v>
      </x:c>
      <x:c r="C4085" s="13" t="n">
        <x:v>6</x:v>
      </x:c>
    </x:row>
    <x:row r="4086" ht="20" customHeight="1">
      <x:c r="A4086" s="1" t="str">
        <x:v>22666</x:v>
      </x:c>
      <x:c r="B4086" s="9" t="d">
        <x:v>2011-02-04T00:00:00.000Z</x:v>
      </x:c>
      <x:c r="C4086" s="13" t="n">
        <x:v>16</x:v>
      </x:c>
    </x:row>
    <x:row r="4087" ht="20" customHeight="1">
      <x:c r="A4087" s="1" t="str">
        <x:v>22666</x:v>
      </x:c>
      <x:c r="B4087" s="9" t="d">
        <x:v>2011-02-05T00:00:00.000Z</x:v>
      </x:c>
      <x:c r="C4087" s="13" t="n">
        <x:v>0</x:v>
      </x:c>
    </x:row>
    <x:row r="4088" ht="20" customHeight="1">
      <x:c r="A4088" s="1" t="str">
        <x:v>22666</x:v>
      </x:c>
      <x:c r="B4088" s="9" t="d">
        <x:v>2011-02-06T00:00:00.000Z</x:v>
      </x:c>
      <x:c r="C4088" s="13" t="n">
        <x:v>2</x:v>
      </x:c>
    </x:row>
    <x:row r="4089" ht="20" customHeight="1">
      <x:c r="A4089" s="1" t="str">
        <x:v>22666</x:v>
      </x:c>
      <x:c r="B4089" s="9" t="d">
        <x:v>2011-02-07T00:00:00.000Z</x:v>
      </x:c>
      <x:c r="C4089" s="13" t="n">
        <x:v>36</x:v>
      </x:c>
    </x:row>
    <x:row r="4090" ht="20" customHeight="1">
      <x:c r="A4090" s="1" t="str">
        <x:v>22666</x:v>
      </x:c>
      <x:c r="B4090" s="9" t="d">
        <x:v>2011-02-08T00:00:00.000Z</x:v>
      </x:c>
      <x:c r="C4090" s="13" t="n">
        <x:v>64</x:v>
      </x:c>
    </x:row>
    <x:row r="4091" ht="20" customHeight="1">
      <x:c r="A4091" s="1" t="str">
        <x:v>22666</x:v>
      </x:c>
      <x:c r="B4091" s="9" t="d">
        <x:v>2011-02-09T00:00:00.000Z</x:v>
      </x:c>
      <x:c r="C4091" s="13" t="n">
        <x:v>7</x:v>
      </x:c>
    </x:row>
    <x:row r="4092" ht="20" customHeight="1">
      <x:c r="A4092" s="1" t="str">
        <x:v>22666</x:v>
      </x:c>
      <x:c r="B4092" s="9" t="d">
        <x:v>2011-02-10T00:00:00.000Z</x:v>
      </x:c>
      <x:c r="C4092" s="13" t="n">
        <x:v>6</x:v>
      </x:c>
    </x:row>
    <x:row r="4093" ht="20" customHeight="1">
      <x:c r="A4093" s="1" t="str">
        <x:v>22666</x:v>
      </x:c>
      <x:c r="B4093" s="9" t="d">
        <x:v>2011-02-11T00:00:00.000Z</x:v>
      </x:c>
      <x:c r="C4093" s="13" t="n">
        <x:v>10</x:v>
      </x:c>
    </x:row>
    <x:row r="4094" ht="20" customHeight="1">
      <x:c r="A4094" s="1" t="str">
        <x:v>22666</x:v>
      </x:c>
      <x:c r="B4094" s="9" t="d">
        <x:v>2011-02-12T00:00:00.000Z</x:v>
      </x:c>
      <x:c r="C4094" s="13" t="n">
        <x:v>0</x:v>
      </x:c>
    </x:row>
    <x:row r="4095" ht="20" customHeight="1">
      <x:c r="A4095" s="1" t="str">
        <x:v>22666</x:v>
      </x:c>
      <x:c r="B4095" s="9" t="d">
        <x:v>2011-02-13T00:00:00.000Z</x:v>
      </x:c>
      <x:c r="C4095" s="13" t="n">
        <x:v>5</x:v>
      </x:c>
    </x:row>
    <x:row r="4096" ht="20" customHeight="1">
      <x:c r="A4096" s="1" t="str">
        <x:v>22666</x:v>
      </x:c>
      <x:c r="B4096" s="9" t="d">
        <x:v>2011-02-14T00:00:00.000Z</x:v>
      </x:c>
      <x:c r="C4096" s="13" t="n">
        <x:v>14</x:v>
      </x:c>
    </x:row>
    <x:row r="4097" ht="20" customHeight="1">
      <x:c r="A4097" s="1" t="str">
        <x:v>22666</x:v>
      </x:c>
      <x:c r="B4097" s="9" t="d">
        <x:v>2011-02-15T00:00:00.000Z</x:v>
      </x:c>
      <x:c r="C4097" s="13" t="n">
        <x:v>103</x:v>
      </x:c>
    </x:row>
    <x:row r="4098" ht="20" customHeight="1">
      <x:c r="A4098" s="1" t="str">
        <x:v>22666</x:v>
      </x:c>
      <x:c r="B4098" s="9" t="d">
        <x:v>2011-02-16T00:00:00.000Z</x:v>
      </x:c>
      <x:c r="C4098" s="13" t="n">
        <x:v>1</x:v>
      </x:c>
    </x:row>
    <x:row r="4099" ht="20" customHeight="1">
      <x:c r="A4099" s="1" t="str">
        <x:v>22666</x:v>
      </x:c>
      <x:c r="B4099" s="9" t="d">
        <x:v>2011-02-17T00:00:00.000Z</x:v>
      </x:c>
      <x:c r="C4099" s="13" t="n">
        <x:v>23</x:v>
      </x:c>
    </x:row>
    <x:row r="4100" ht="20" customHeight="1">
      <x:c r="A4100" s="1" t="str">
        <x:v>22666</x:v>
      </x:c>
      <x:c r="B4100" s="9" t="d">
        <x:v>2011-02-18T00:00:00.000Z</x:v>
      </x:c>
      <x:c r="C4100" s="13" t="n">
        <x:v>24</x:v>
      </x:c>
    </x:row>
    <x:row r="4101" ht="20" customHeight="1">
      <x:c r="A4101" s="1" t="str">
        <x:v>22666</x:v>
      </x:c>
      <x:c r="B4101" s="9" t="d">
        <x:v>2011-02-19T00:00:00.000Z</x:v>
      </x:c>
      <x:c r="C4101" s="13" t="n">
        <x:v>0</x:v>
      </x:c>
    </x:row>
    <x:row r="4102" ht="20" customHeight="1">
      <x:c r="A4102" s="1" t="str">
        <x:v>22666</x:v>
      </x:c>
      <x:c r="B4102" s="9" t="d">
        <x:v>2011-02-20T00:00:00.000Z</x:v>
      </x:c>
      <x:c r="C4102" s="13" t="n">
        <x:v>11</x:v>
      </x:c>
    </x:row>
    <x:row r="4103" ht="20" customHeight="1">
      <x:c r="A4103" s="1" t="str">
        <x:v>22666</x:v>
      </x:c>
      <x:c r="B4103" s="9" t="d">
        <x:v>2011-02-21T00:00:00.000Z</x:v>
      </x:c>
      <x:c r="C4103" s="13" t="n">
        <x:v>51</x:v>
      </x:c>
    </x:row>
    <x:row r="4104" ht="20" customHeight="1">
      <x:c r="A4104" s="1" t="str">
        <x:v>22666</x:v>
      </x:c>
      <x:c r="B4104" s="9" t="d">
        <x:v>2011-02-22T00:00:00.000Z</x:v>
      </x:c>
      <x:c r="C4104" s="13" t="n">
        <x:v>14</x:v>
      </x:c>
    </x:row>
    <x:row r="4105" ht="20" customHeight="1">
      <x:c r="A4105" s="1" t="str">
        <x:v>22666</x:v>
      </x:c>
      <x:c r="B4105" s="9" t="d">
        <x:v>2011-02-23T00:00:00.000Z</x:v>
      </x:c>
      <x:c r="C4105" s="13" t="n">
        <x:v>16</x:v>
      </x:c>
    </x:row>
    <x:row r="4106" ht="20" customHeight="1">
      <x:c r="A4106" s="1" t="str">
        <x:v>22666</x:v>
      </x:c>
      <x:c r="B4106" s="9" t="d">
        <x:v>2011-02-24T00:00:00.000Z</x:v>
      </x:c>
      <x:c r="C4106" s="13" t="n">
        <x:v>27</x:v>
      </x:c>
    </x:row>
    <x:row r="4107" ht="20" customHeight="1">
      <x:c r="A4107" s="1" t="str">
        <x:v>22666</x:v>
      </x:c>
      <x:c r="B4107" s="9" t="d">
        <x:v>2011-02-25T00:00:00.000Z</x:v>
      </x:c>
      <x:c r="C4107" s="13" t="n">
        <x:v>25</x:v>
      </x:c>
    </x:row>
    <x:row r="4108" ht="20" customHeight="1">
      <x:c r="A4108" s="1" t="str">
        <x:v>22666</x:v>
      </x:c>
      <x:c r="B4108" s="9" t="d">
        <x:v>2011-02-26T00:00:00.000Z</x:v>
      </x:c>
      <x:c r="C4108" s="13" t="n">
        <x:v>0</x:v>
      </x:c>
    </x:row>
    <x:row r="4109" ht="20" customHeight="1">
      <x:c r="A4109" s="1" t="str">
        <x:v>22666</x:v>
      </x:c>
      <x:c r="B4109" s="9" t="d">
        <x:v>2011-02-27T00:00:00.000Z</x:v>
      </x:c>
      <x:c r="C4109" s="13" t="n">
        <x:v>2</x:v>
      </x:c>
    </x:row>
    <x:row r="4110" ht="20" customHeight="1">
      <x:c r="A4110" s="1" t="str">
        <x:v>22666</x:v>
      </x:c>
      <x:c r="B4110" s="9" t="d">
        <x:v>2011-02-28T00:00:00.000Z</x:v>
      </x:c>
      <x:c r="C4110" s="13" t="n">
        <x:v>9</x:v>
      </x:c>
    </x:row>
    <x:row r="4111" ht="20" customHeight="1">
      <x:c r="A4111" s="1" t="str">
        <x:v>22666</x:v>
      </x:c>
      <x:c r="B4111" s="9" t="d">
        <x:v>2011-03-01T00:00:00.000Z</x:v>
      </x:c>
      <x:c r="C4111" s="13" t="n">
        <x:v>9</x:v>
      </x:c>
    </x:row>
    <x:row r="4112" ht="20" customHeight="1">
      <x:c r="A4112" s="1" t="str">
        <x:v>22666</x:v>
      </x:c>
      <x:c r="B4112" s="9" t="d">
        <x:v>2011-03-02T00:00:00.000Z</x:v>
      </x:c>
      <x:c r="C4112" s="13" t="n">
        <x:v>22</x:v>
      </x:c>
    </x:row>
    <x:row r="4113" ht="20" customHeight="1">
      <x:c r="A4113" s="1" t="str">
        <x:v>22666</x:v>
      </x:c>
      <x:c r="B4113" s="9" t="d">
        <x:v>2011-03-03T00:00:00.000Z</x:v>
      </x:c>
      <x:c r="C4113" s="13" t="n">
        <x:v>73</x:v>
      </x:c>
    </x:row>
    <x:row r="4114" ht="20" customHeight="1">
      <x:c r="A4114" s="1" t="str">
        <x:v>22666</x:v>
      </x:c>
      <x:c r="B4114" s="9" t="d">
        <x:v>2011-03-04T00:00:00.000Z</x:v>
      </x:c>
      <x:c r="C4114" s="13" t="n">
        <x:v>18</x:v>
      </x:c>
    </x:row>
    <x:row r="4115" ht="20" customHeight="1">
      <x:c r="A4115" s="1" t="str">
        <x:v>22666</x:v>
      </x:c>
      <x:c r="B4115" s="9" t="d">
        <x:v>2011-03-05T00:00:00.000Z</x:v>
      </x:c>
      <x:c r="C4115" s="13" t="n">
        <x:v>0</x:v>
      </x:c>
    </x:row>
    <x:row r="4116" ht="20" customHeight="1">
      <x:c r="A4116" s="1" t="str">
        <x:v>22666</x:v>
      </x:c>
      <x:c r="B4116" s="9" t="d">
        <x:v>2011-03-06T00:00:00.000Z</x:v>
      </x:c>
      <x:c r="C4116" s="13" t="n">
        <x:v>10</x:v>
      </x:c>
    </x:row>
    <x:row r="4117" ht="20" customHeight="1">
      <x:c r="A4117" s="1" t="str">
        <x:v>22666</x:v>
      </x:c>
      <x:c r="B4117" s="9" t="d">
        <x:v>2011-03-07T00:00:00.000Z</x:v>
      </x:c>
      <x:c r="C4117" s="13" t="n">
        <x:v>32</x:v>
      </x:c>
    </x:row>
    <x:row r="4118" ht="20" customHeight="1">
      <x:c r="A4118" s="1" t="str">
        <x:v>22666</x:v>
      </x:c>
      <x:c r="B4118" s="9" t="d">
        <x:v>2011-03-08T00:00:00.000Z</x:v>
      </x:c>
      <x:c r="C4118" s="13" t="n">
        <x:v>10</x:v>
      </x:c>
    </x:row>
    <x:row r="4119" ht="20" customHeight="1">
      <x:c r="A4119" s="1" t="str">
        <x:v>22666</x:v>
      </x:c>
      <x:c r="B4119" s="9" t="d">
        <x:v>2011-03-09T00:00:00.000Z</x:v>
      </x:c>
      <x:c r="C4119" s="13" t="n">
        <x:v>13</x:v>
      </x:c>
    </x:row>
    <x:row r="4120" ht="20" customHeight="1">
      <x:c r="A4120" s="1" t="str">
        <x:v>22666</x:v>
      </x:c>
      <x:c r="B4120" s="9" t="d">
        <x:v>2011-03-10T00:00:00.000Z</x:v>
      </x:c>
      <x:c r="C4120" s="13" t="n">
        <x:v>9</x:v>
      </x:c>
    </x:row>
    <x:row r="4121" ht="20" customHeight="1">
      <x:c r="A4121" s="1" t="str">
        <x:v>22666</x:v>
      </x:c>
      <x:c r="B4121" s="9" t="d">
        <x:v>2011-03-11T00:00:00.000Z</x:v>
      </x:c>
      <x:c r="C4121" s="13" t="n">
        <x:v>47</x:v>
      </x:c>
    </x:row>
    <x:row r="4122" ht="20" customHeight="1">
      <x:c r="A4122" s="1" t="str">
        <x:v>22666</x:v>
      </x:c>
      <x:c r="B4122" s="9" t="d">
        <x:v>2011-03-12T00:00:00.000Z</x:v>
      </x:c>
      <x:c r="C4122" s="13" t="n">
        <x:v>0</x:v>
      </x:c>
    </x:row>
    <x:row r="4123" ht="20" customHeight="1">
      <x:c r="A4123" s="1" t="str">
        <x:v>22666</x:v>
      </x:c>
      <x:c r="B4123" s="9" t="d">
        <x:v>2011-03-13T00:00:00.000Z</x:v>
      </x:c>
      <x:c r="C4123" s="13" t="n">
        <x:v>1</x:v>
      </x:c>
    </x:row>
    <x:row r="4124" ht="20" customHeight="1">
      <x:c r="A4124" s="1" t="str">
        <x:v>22666</x:v>
      </x:c>
      <x:c r="B4124" s="9" t="d">
        <x:v>2011-03-14T00:00:00.000Z</x:v>
      </x:c>
      <x:c r="C4124" s="13" t="n">
        <x:v>47</x:v>
      </x:c>
    </x:row>
    <x:row r="4125" ht="20" customHeight="1">
      <x:c r="A4125" s="1" t="str">
        <x:v>22666</x:v>
      </x:c>
      <x:c r="B4125" s="9" t="d">
        <x:v>2011-03-15T00:00:00.000Z</x:v>
      </x:c>
      <x:c r="C4125" s="13" t="n">
        <x:v>53</x:v>
      </x:c>
    </x:row>
    <x:row r="4126" ht="20" customHeight="1">
      <x:c r="A4126" s="1" t="str">
        <x:v>22666</x:v>
      </x:c>
      <x:c r="B4126" s="9" t="d">
        <x:v>2011-03-16T00:00:00.000Z</x:v>
      </x:c>
      <x:c r="C4126" s="13" t="n">
        <x:v>12</x:v>
      </x:c>
    </x:row>
    <x:row r="4127" ht="20" customHeight="1">
      <x:c r="A4127" s="1" t="str">
        <x:v>22666</x:v>
      </x:c>
      <x:c r="B4127" s="9" t="d">
        <x:v>2011-03-17T00:00:00.000Z</x:v>
      </x:c>
      <x:c r="C4127" s="13" t="n">
        <x:v>13</x:v>
      </x:c>
    </x:row>
    <x:row r="4128" ht="20" customHeight="1">
      <x:c r="A4128" s="1" t="str">
        <x:v>22666</x:v>
      </x:c>
      <x:c r="B4128" s="9" t="d">
        <x:v>2011-03-18T00:00:00.000Z</x:v>
      </x:c>
      <x:c r="C4128" s="13" t="n">
        <x:v>10</x:v>
      </x:c>
    </x:row>
    <x:row r="4129" ht="20" customHeight="1">
      <x:c r="A4129" s="1" t="str">
        <x:v>22666</x:v>
      </x:c>
      <x:c r="B4129" s="9" t="d">
        <x:v>2011-03-19T00:00:00.000Z</x:v>
      </x:c>
      <x:c r="C4129" s="13" t="n">
        <x:v>0</x:v>
      </x:c>
    </x:row>
    <x:row r="4130" ht="20" customHeight="1">
      <x:c r="A4130" s="1" t="str">
        <x:v>22666</x:v>
      </x:c>
      <x:c r="B4130" s="9" t="d">
        <x:v>2011-03-20T00:00:00.000Z</x:v>
      </x:c>
      <x:c r="C4130" s="13" t="n">
        <x:v>28</x:v>
      </x:c>
    </x:row>
    <x:row r="4131" ht="20" customHeight="1">
      <x:c r="A4131" s="1" t="str">
        <x:v>22666</x:v>
      </x:c>
      <x:c r="B4131" s="9" t="d">
        <x:v>2011-03-21T00:00:00.000Z</x:v>
      </x:c>
      <x:c r="C4131" s="13" t="n">
        <x:v>10</x:v>
      </x:c>
    </x:row>
    <x:row r="4132" ht="20" customHeight="1">
      <x:c r="A4132" s="1" t="str">
        <x:v>22666</x:v>
      </x:c>
      <x:c r="B4132" s="9" t="d">
        <x:v>2011-03-22T00:00:00.000Z</x:v>
      </x:c>
      <x:c r="C4132" s="13" t="n">
        <x:v>13</x:v>
      </x:c>
    </x:row>
    <x:row r="4133" ht="20" customHeight="1">
      <x:c r="A4133" s="1" t="str">
        <x:v>22666</x:v>
      </x:c>
      <x:c r="B4133" s="9" t="d">
        <x:v>2011-03-23T00:00:00.000Z</x:v>
      </x:c>
      <x:c r="C4133" s="13" t="n">
        <x:v>33</x:v>
      </x:c>
    </x:row>
    <x:row r="4134" ht="20" customHeight="1">
      <x:c r="A4134" s="1" t="str">
        <x:v>22666</x:v>
      </x:c>
      <x:c r="B4134" s="9" t="d">
        <x:v>2011-03-24T00:00:00.000Z</x:v>
      </x:c>
      <x:c r="C4134" s="13" t="n">
        <x:v>59</x:v>
      </x:c>
    </x:row>
    <x:row r="4135" ht="20" customHeight="1">
      <x:c r="A4135" s="1" t="str">
        <x:v>22666</x:v>
      </x:c>
      <x:c r="B4135" s="9" t="d">
        <x:v>2011-03-25T00:00:00.000Z</x:v>
      </x:c>
      <x:c r="C4135" s="13" t="n">
        <x:v>1</x:v>
      </x:c>
    </x:row>
    <x:row r="4136" ht="20" customHeight="1">
      <x:c r="A4136" s="1" t="str">
        <x:v>22666</x:v>
      </x:c>
      <x:c r="B4136" s="9" t="d">
        <x:v>2011-03-26T00:00:00.000Z</x:v>
      </x:c>
      <x:c r="C4136" s="13" t="n">
        <x:v>0</x:v>
      </x:c>
    </x:row>
    <x:row r="4137" ht="20" customHeight="1">
      <x:c r="A4137" s="1" t="str">
        <x:v>22666</x:v>
      </x:c>
      <x:c r="B4137" s="9" t="d">
        <x:v>2011-03-27T00:00:00.000Z</x:v>
      </x:c>
      <x:c r="C4137" s="13" t="n">
        <x:v>3</x:v>
      </x:c>
    </x:row>
    <x:row r="4138" ht="20" customHeight="1">
      <x:c r="A4138" s="1" t="str">
        <x:v>22666</x:v>
      </x:c>
      <x:c r="B4138" s="9" t="d">
        <x:v>2011-03-28T00:00:00.000Z</x:v>
      </x:c>
      <x:c r="C4138" s="13" t="n">
        <x:v>14</x:v>
      </x:c>
    </x:row>
    <x:row r="4139" ht="20" customHeight="1">
      <x:c r="A4139" s="1" t="str">
        <x:v>22666</x:v>
      </x:c>
      <x:c r="B4139" s="9" t="d">
        <x:v>2011-03-29T00:00:00.000Z</x:v>
      </x:c>
      <x:c r="C4139" s="13" t="n">
        <x:v>44</x:v>
      </x:c>
    </x:row>
    <x:row r="4140" ht="20" customHeight="1">
      <x:c r="A4140" s="1" t="str">
        <x:v>22666</x:v>
      </x:c>
      <x:c r="B4140" s="9" t="d">
        <x:v>2011-03-30T00:00:00.000Z</x:v>
      </x:c>
      <x:c r="C4140" s="13" t="n">
        <x:v>29</x:v>
      </x:c>
    </x:row>
    <x:row r="4141" ht="20" customHeight="1">
      <x:c r="A4141" s="1" t="str">
        <x:v>22666</x:v>
      </x:c>
      <x:c r="B4141" s="9" t="d">
        <x:v>2011-03-31T00:00:00.000Z</x:v>
      </x:c>
      <x:c r="C4141" s="13" t="n">
        <x:v>40</x:v>
      </x:c>
    </x:row>
    <x:row r="4142" ht="20" customHeight="1">
      <x:c r="A4142" s="1" t="str">
        <x:v>22666</x:v>
      </x:c>
      <x:c r="B4142" s="9" t="d">
        <x:v>2011-04-01T00:00:00.000Z</x:v>
      </x:c>
      <x:c r="C4142" s="13" t="n">
        <x:v>37</x:v>
      </x:c>
    </x:row>
    <x:row r="4143" ht="20" customHeight="1">
      <x:c r="A4143" s="1" t="str">
        <x:v>22666</x:v>
      </x:c>
      <x:c r="B4143" s="9" t="d">
        <x:v>2011-04-02T00:00:00.000Z</x:v>
      </x:c>
      <x:c r="C4143" s="13" t="n">
        <x:v>0</x:v>
      </x:c>
    </x:row>
    <x:row r="4144" ht="20" customHeight="1">
      <x:c r="A4144" s="1" t="str">
        <x:v>22666</x:v>
      </x:c>
      <x:c r="B4144" s="9" t="d">
        <x:v>2011-04-03T00:00:00.000Z</x:v>
      </x:c>
      <x:c r="C4144" s="13" t="n">
        <x:v>3</x:v>
      </x:c>
    </x:row>
    <x:row r="4145" ht="20" customHeight="1">
      <x:c r="A4145" s="1" t="str">
        <x:v>22666</x:v>
      </x:c>
      <x:c r="B4145" s="9" t="d">
        <x:v>2011-04-04T00:00:00.000Z</x:v>
      </x:c>
      <x:c r="C4145" s="13" t="n">
        <x:v>10</x:v>
      </x:c>
    </x:row>
    <x:row r="4146" ht="20" customHeight="1">
      <x:c r="A4146" s="1" t="str">
        <x:v>22666</x:v>
      </x:c>
      <x:c r="B4146" s="9" t="d">
        <x:v>2011-04-05T00:00:00.000Z</x:v>
      </x:c>
      <x:c r="C4146" s="13" t="n">
        <x:v>0</x:v>
      </x:c>
    </x:row>
    <x:row r="4147" ht="20" customHeight="1">
      <x:c r="A4147" s="1" t="str">
        <x:v>22666</x:v>
      </x:c>
      <x:c r="B4147" s="9" t="d">
        <x:v>2011-04-06T00:00:00.000Z</x:v>
      </x:c>
      <x:c r="C4147" s="13" t="n">
        <x:v>8</x:v>
      </x:c>
    </x:row>
    <x:row r="4148" ht="20" customHeight="1">
      <x:c r="A4148" s="1" t="str">
        <x:v>22666</x:v>
      </x:c>
      <x:c r="B4148" s="9" t="d">
        <x:v>2011-04-07T00:00:00.000Z</x:v>
      </x:c>
      <x:c r="C4148" s="13" t="n">
        <x:v>11</x:v>
      </x:c>
    </x:row>
    <x:row r="4149" ht="20" customHeight="1">
      <x:c r="A4149" s="1" t="str">
        <x:v>22666</x:v>
      </x:c>
      <x:c r="B4149" s="9" t="d">
        <x:v>2011-04-08T00:00:00.000Z</x:v>
      </x:c>
      <x:c r="C4149" s="13" t="n">
        <x:v>27</x:v>
      </x:c>
    </x:row>
    <x:row r="4150" ht="20" customHeight="1">
      <x:c r="A4150" s="1" t="str">
        <x:v>22666</x:v>
      </x:c>
      <x:c r="B4150" s="9" t="d">
        <x:v>2011-04-09T00:00:00.000Z</x:v>
      </x:c>
      <x:c r="C4150" s="13" t="n">
        <x:v>0</x:v>
      </x:c>
    </x:row>
    <x:row r="4151" ht="20" customHeight="1">
      <x:c r="A4151" s="1" t="str">
        <x:v>22666</x:v>
      </x:c>
      <x:c r="B4151" s="9" t="d">
        <x:v>2011-04-10T00:00:00.000Z</x:v>
      </x:c>
      <x:c r="C4151" s="13" t="n">
        <x:v>17</x:v>
      </x:c>
    </x:row>
    <x:row r="4152" ht="20" customHeight="1">
      <x:c r="A4152" s="1" t="str">
        <x:v>22666</x:v>
      </x:c>
      <x:c r="B4152" s="9" t="d">
        <x:v>2011-04-11T00:00:00.000Z</x:v>
      </x:c>
      <x:c r="C4152" s="13" t="n">
        <x:v>7</x:v>
      </x:c>
    </x:row>
    <x:row r="4153" ht="20" customHeight="1">
      <x:c r="A4153" s="1" t="str">
        <x:v>22666</x:v>
      </x:c>
      <x:c r="B4153" s="9" t="d">
        <x:v>2011-04-12T00:00:00.000Z</x:v>
      </x:c>
      <x:c r="C4153" s="13" t="n">
        <x:v>25</x:v>
      </x:c>
    </x:row>
    <x:row r="4154" ht="20" customHeight="1">
      <x:c r="A4154" s="1" t="str">
        <x:v>22666</x:v>
      </x:c>
      <x:c r="B4154" s="9" t="d">
        <x:v>2011-04-13T00:00:00.000Z</x:v>
      </x:c>
      <x:c r="C4154" s="13" t="n">
        <x:v>20</x:v>
      </x:c>
    </x:row>
    <x:row r="4155" ht="20" customHeight="1">
      <x:c r="A4155" s="1" t="str">
        <x:v>22666</x:v>
      </x:c>
      <x:c r="B4155" s="9" t="d">
        <x:v>2011-04-14T00:00:00.000Z</x:v>
      </x:c>
      <x:c r="C4155" s="13" t="n">
        <x:v>6</x:v>
      </x:c>
    </x:row>
    <x:row r="4156" ht="20" customHeight="1">
      <x:c r="A4156" s="1" t="str">
        <x:v>22666</x:v>
      </x:c>
      <x:c r="B4156" s="9" t="d">
        <x:v>2011-04-15T00:00:00.000Z</x:v>
      </x:c>
      <x:c r="C4156" s="13" t="n">
        <x:v>62</x:v>
      </x:c>
    </x:row>
    <x:row r="4157" ht="20" customHeight="1">
      <x:c r="A4157" s="1" t="str">
        <x:v>22666</x:v>
      </x:c>
      <x:c r="B4157" s="9" t="d">
        <x:v>2011-04-16T00:00:00.000Z</x:v>
      </x:c>
      <x:c r="C4157" s="13" t="n">
        <x:v>0</x:v>
      </x:c>
    </x:row>
    <x:row r="4158" ht="20" customHeight="1">
      <x:c r="A4158" s="1" t="str">
        <x:v>22666</x:v>
      </x:c>
      <x:c r="B4158" s="9" t="d">
        <x:v>2011-04-17T00:00:00.000Z</x:v>
      </x:c>
      <x:c r="C4158" s="13" t="n">
        <x:v>14</x:v>
      </x:c>
    </x:row>
    <x:row r="4159" ht="20" customHeight="1">
      <x:c r="A4159" s="1" t="str">
        <x:v>22666</x:v>
      </x:c>
      <x:c r="B4159" s="9" t="d">
        <x:v>2011-04-18T00:00:00.000Z</x:v>
      </x:c>
      <x:c r="C4159" s="13" t="n">
        <x:v>41</x:v>
      </x:c>
    </x:row>
    <x:row r="4160" ht="20" customHeight="1">
      <x:c r="A4160" s="1" t="str">
        <x:v>22666</x:v>
      </x:c>
      <x:c r="B4160" s="9" t="d">
        <x:v>2011-04-19T00:00:00.000Z</x:v>
      </x:c>
      <x:c r="C4160" s="13" t="n">
        <x:v>8</x:v>
      </x:c>
    </x:row>
    <x:row r="4161" ht="20" customHeight="1">
      <x:c r="A4161" s="1" t="str">
        <x:v>22666</x:v>
      </x:c>
      <x:c r="B4161" s="9" t="d">
        <x:v>2011-04-20T00:00:00.000Z</x:v>
      </x:c>
      <x:c r="C4161" s="13" t="n">
        <x:v>24</x:v>
      </x:c>
    </x:row>
    <x:row r="4162" ht="20" customHeight="1">
      <x:c r="A4162" s="1" t="str">
        <x:v>22666</x:v>
      </x:c>
      <x:c r="B4162" s="9" t="d">
        <x:v>2011-04-21T00:00:00.000Z</x:v>
      </x:c>
      <x:c r="C4162" s="13" t="n">
        <x:v>7</x:v>
      </x:c>
    </x:row>
    <x:row r="4163" ht="20" customHeight="1">
      <x:c r="A4163" s="1" t="str">
        <x:v>22666</x:v>
      </x:c>
      <x:c r="B4163" s="9" t="d">
        <x:v>2011-04-22T00:00:00.000Z</x:v>
      </x:c>
      <x:c r="C4163" s="13" t="n">
        <x:v>0</x:v>
      </x:c>
    </x:row>
    <x:row r="4164" ht="20" customHeight="1">
      <x:c r="A4164" s="1" t="str">
        <x:v>22666</x:v>
      </x:c>
      <x:c r="B4164" s="9" t="d">
        <x:v>2011-04-23T00:00:00.000Z</x:v>
      </x:c>
      <x:c r="C4164" s="13" t="n">
        <x:v>0</x:v>
      </x:c>
    </x:row>
    <x:row r="4165" ht="20" customHeight="1">
      <x:c r="A4165" s="1" t="str">
        <x:v>22666</x:v>
      </x:c>
      <x:c r="B4165" s="9" t="d">
        <x:v>2011-04-24T00:00:00.000Z</x:v>
      </x:c>
      <x:c r="C4165" s="13" t="n">
        <x:v>0</x:v>
      </x:c>
    </x:row>
    <x:row r="4166" ht="20" customHeight="1">
      <x:c r="A4166" s="1" t="str">
        <x:v>22666</x:v>
      </x:c>
      <x:c r="B4166" s="9" t="d">
        <x:v>2011-04-25T00:00:00.000Z</x:v>
      </x:c>
      <x:c r="C4166" s="13" t="n">
        <x:v>0</x:v>
      </x:c>
    </x:row>
    <x:row r="4167" ht="20" customHeight="1">
      <x:c r="A4167" s="1" t="str">
        <x:v>22666</x:v>
      </x:c>
      <x:c r="B4167" s="9" t="d">
        <x:v>2011-04-26T00:00:00.000Z</x:v>
      </x:c>
      <x:c r="C4167" s="13" t="n">
        <x:v>33</x:v>
      </x:c>
    </x:row>
    <x:row r="4168" ht="20" customHeight="1">
      <x:c r="A4168" s="1" t="str">
        <x:v>22666</x:v>
      </x:c>
      <x:c r="B4168" s="9" t="d">
        <x:v>2011-04-27T00:00:00.000Z</x:v>
      </x:c>
      <x:c r="C4168" s="13" t="n">
        <x:v>1</x:v>
      </x:c>
    </x:row>
    <x:row r="4169" ht="20" customHeight="1">
      <x:c r="A4169" s="1" t="str">
        <x:v>22666</x:v>
      </x:c>
      <x:c r="B4169" s="9" t="d">
        <x:v>2011-04-28T00:00:00.000Z</x:v>
      </x:c>
      <x:c r="C4169" s="13" t="n">
        <x:v>18</x:v>
      </x:c>
    </x:row>
    <x:row r="4170" ht="20" customHeight="1">
      <x:c r="A4170" s="1" t="str">
        <x:v>22666</x:v>
      </x:c>
      <x:c r="B4170" s="9" t="d">
        <x:v>2011-04-29T00:00:00.000Z</x:v>
      </x:c>
      <x:c r="C4170" s="13" t="n">
        <x:v>0</x:v>
      </x:c>
    </x:row>
    <x:row r="4171" ht="20" customHeight="1">
      <x:c r="A4171" s="1" t="str">
        <x:v>22666</x:v>
      </x:c>
      <x:c r="B4171" s="9" t="d">
        <x:v>2011-04-30T00:00:00.000Z</x:v>
      </x:c>
      <x:c r="C4171" s="13" t="n">
        <x:v>0</x:v>
      </x:c>
    </x:row>
    <x:row r="4172" ht="20" customHeight="1">
      <x:c r="A4172" s="1" t="str">
        <x:v>22666</x:v>
      </x:c>
      <x:c r="B4172" s="9" t="d">
        <x:v>2011-05-01T00:00:00.000Z</x:v>
      </x:c>
      <x:c r="C4172" s="13" t="n">
        <x:v>0</x:v>
      </x:c>
    </x:row>
    <x:row r="4173" ht="20" customHeight="1">
      <x:c r="A4173" s="1" t="str">
        <x:v>22666</x:v>
      </x:c>
      <x:c r="B4173" s="9" t="d">
        <x:v>2011-05-02T00:00:00.000Z</x:v>
      </x:c>
      <x:c r="C4173" s="13" t="n">
        <x:v>0</x:v>
      </x:c>
    </x:row>
    <x:row r="4174" ht="20" customHeight="1">
      <x:c r="A4174" s="1" t="str">
        <x:v>22666</x:v>
      </x:c>
      <x:c r="B4174" s="9" t="d">
        <x:v>2011-05-03T00:00:00.000Z</x:v>
      </x:c>
      <x:c r="C4174" s="13" t="n">
        <x:v>93</x:v>
      </x:c>
    </x:row>
    <x:row r="4175" ht="20" customHeight="1">
      <x:c r="A4175" s="1" t="str">
        <x:v>22666</x:v>
      </x:c>
      <x:c r="B4175" s="9" t="d">
        <x:v>2011-05-04T00:00:00.000Z</x:v>
      </x:c>
      <x:c r="C4175" s="13" t="n">
        <x:v>20</x:v>
      </x:c>
    </x:row>
    <x:row r="4176" ht="20" customHeight="1">
      <x:c r="A4176" s="1" t="str">
        <x:v>22666</x:v>
      </x:c>
      <x:c r="B4176" s="9" t="d">
        <x:v>2011-05-05T00:00:00.000Z</x:v>
      </x:c>
      <x:c r="C4176" s="13" t="n">
        <x:v>10</x:v>
      </x:c>
    </x:row>
    <x:row r="4177" ht="20" customHeight="1">
      <x:c r="A4177" s="1" t="str">
        <x:v>22666</x:v>
      </x:c>
      <x:c r="B4177" s="9" t="d">
        <x:v>2011-05-06T00:00:00.000Z</x:v>
      </x:c>
      <x:c r="C4177" s="13" t="n">
        <x:v>40</x:v>
      </x:c>
    </x:row>
    <x:row r="4178" ht="20" customHeight="1">
      <x:c r="A4178" s="1" t="str">
        <x:v>22666</x:v>
      </x:c>
      <x:c r="B4178" s="9" t="d">
        <x:v>2011-05-07T00:00:00.000Z</x:v>
      </x:c>
      <x:c r="C4178" s="13" t="n">
        <x:v>0</x:v>
      </x:c>
    </x:row>
    <x:row r="4179" ht="20" customHeight="1">
      <x:c r="A4179" s="1" t="str">
        <x:v>22666</x:v>
      </x:c>
      <x:c r="B4179" s="9" t="d">
        <x:v>2011-05-08T00:00:00.000Z</x:v>
      </x:c>
      <x:c r="C4179" s="13" t="n">
        <x:v>11</x:v>
      </x:c>
    </x:row>
    <x:row r="4180" ht="20" customHeight="1">
      <x:c r="A4180" s="1" t="str">
        <x:v>22666</x:v>
      </x:c>
      <x:c r="B4180" s="9" t="d">
        <x:v>2011-05-09T00:00:00.000Z</x:v>
      </x:c>
      <x:c r="C4180" s="13" t="n">
        <x:v>31</x:v>
      </x:c>
    </x:row>
    <x:row r="4181" ht="20" customHeight="1">
      <x:c r="A4181" s="1" t="str">
        <x:v>22666</x:v>
      </x:c>
      <x:c r="B4181" s="9" t="d">
        <x:v>2011-05-10T00:00:00.000Z</x:v>
      </x:c>
      <x:c r="C4181" s="13" t="n">
        <x:v>63</x:v>
      </x:c>
    </x:row>
    <x:row r="4182" ht="20" customHeight="1">
      <x:c r="A4182" s="1" t="str">
        <x:v>22666</x:v>
      </x:c>
      <x:c r="B4182" s="9" t="d">
        <x:v>2011-05-11T00:00:00.000Z</x:v>
      </x:c>
      <x:c r="C4182" s="13" t="n">
        <x:v>15</x:v>
      </x:c>
    </x:row>
    <x:row r="4183" ht="20" customHeight="1">
      <x:c r="A4183" s="1" t="str">
        <x:v>22666</x:v>
      </x:c>
      <x:c r="B4183" s="9" t="d">
        <x:v>2011-05-12T00:00:00.000Z</x:v>
      </x:c>
      <x:c r="C4183" s="13" t="n">
        <x:v>61</x:v>
      </x:c>
    </x:row>
    <x:row r="4184" ht="20" customHeight="1">
      <x:c r="A4184" s="1" t="str">
        <x:v>22666</x:v>
      </x:c>
      <x:c r="B4184" s="9" t="d">
        <x:v>2011-05-13T00:00:00.000Z</x:v>
      </x:c>
      <x:c r="C4184" s="13" t="n">
        <x:v>4</x:v>
      </x:c>
    </x:row>
    <x:row r="4185" ht="20" customHeight="1">
      <x:c r="A4185" s="1" t="str">
        <x:v>22666</x:v>
      </x:c>
      <x:c r="B4185" s="9" t="d">
        <x:v>2011-05-14T00:00:00.000Z</x:v>
      </x:c>
      <x:c r="C4185" s="13" t="n">
        <x:v>0</x:v>
      </x:c>
    </x:row>
    <x:row r="4186" ht="20" customHeight="1">
      <x:c r="A4186" s="1" t="str">
        <x:v>22666</x:v>
      </x:c>
      <x:c r="B4186" s="9" t="d">
        <x:v>2011-05-15T00:00:00.000Z</x:v>
      </x:c>
      <x:c r="C4186" s="13" t="n">
        <x:v>2</x:v>
      </x:c>
    </x:row>
    <x:row r="4187" ht="20" customHeight="1">
      <x:c r="A4187" s="1" t="str">
        <x:v>22666</x:v>
      </x:c>
      <x:c r="B4187" s="9" t="d">
        <x:v>2011-05-16T00:00:00.000Z</x:v>
      </x:c>
      <x:c r="C4187" s="13" t="n">
        <x:v>30</x:v>
      </x:c>
    </x:row>
    <x:row r="4188" ht="20" customHeight="1">
      <x:c r="A4188" s="1" t="str">
        <x:v>22666</x:v>
      </x:c>
      <x:c r="B4188" s="9" t="d">
        <x:v>2011-05-17T00:00:00.000Z</x:v>
      </x:c>
      <x:c r="C4188" s="13" t="n">
        <x:v>68</x:v>
      </x:c>
    </x:row>
    <x:row r="4189" ht="20" customHeight="1">
      <x:c r="A4189" s="1" t="str">
        <x:v>22666</x:v>
      </x:c>
      <x:c r="B4189" s="9" t="d">
        <x:v>2011-05-18T00:00:00.000Z</x:v>
      </x:c>
      <x:c r="C4189" s="13" t="n">
        <x:v>15</x:v>
      </x:c>
    </x:row>
    <x:row r="4190" ht="20" customHeight="1">
      <x:c r="A4190" s="1" t="str">
        <x:v>22666</x:v>
      </x:c>
      <x:c r="B4190" s="9" t="d">
        <x:v>2011-05-19T00:00:00.000Z</x:v>
      </x:c>
      <x:c r="C4190" s="13" t="n">
        <x:v>81</x:v>
      </x:c>
    </x:row>
    <x:row r="4191" ht="20" customHeight="1">
      <x:c r="A4191" s="1" t="str">
        <x:v>22666</x:v>
      </x:c>
      <x:c r="B4191" s="9" t="d">
        <x:v>2011-05-20T00:00:00.000Z</x:v>
      </x:c>
      <x:c r="C4191" s="13" t="n">
        <x:v>6</x:v>
      </x:c>
    </x:row>
    <x:row r="4192" ht="20" customHeight="1">
      <x:c r="A4192" s="1" t="str">
        <x:v>22666</x:v>
      </x:c>
      <x:c r="B4192" s="9" t="d">
        <x:v>2011-05-21T00:00:00.000Z</x:v>
      </x:c>
      <x:c r="C4192" s="13" t="n">
        <x:v>0</x:v>
      </x:c>
    </x:row>
    <x:row r="4193" ht="20" customHeight="1">
      <x:c r="A4193" s="1" t="str">
        <x:v>22666</x:v>
      </x:c>
      <x:c r="B4193" s="9" t="d">
        <x:v>2011-05-22T00:00:00.000Z</x:v>
      </x:c>
      <x:c r="C4193" s="13" t="n">
        <x:v>20</x:v>
      </x:c>
    </x:row>
    <x:row r="4194" ht="20" customHeight="1">
      <x:c r="A4194" s="1" t="str">
        <x:v>22666</x:v>
      </x:c>
      <x:c r="B4194" s="9" t="d">
        <x:v>2011-05-23T00:00:00.000Z</x:v>
      </x:c>
      <x:c r="C4194" s="13" t="n">
        <x:v>21</x:v>
      </x:c>
    </x:row>
    <x:row r="4195" ht="20" customHeight="1">
      <x:c r="A4195" s="1" t="str">
        <x:v>22666</x:v>
      </x:c>
      <x:c r="B4195" s="9" t="d">
        <x:v>2011-05-24T00:00:00.000Z</x:v>
      </x:c>
      <x:c r="C4195" s="13" t="n">
        <x:v>17</x:v>
      </x:c>
    </x:row>
    <x:row r="4196" ht="20" customHeight="1">
      <x:c r="A4196" s="1" t="str">
        <x:v>22666</x:v>
      </x:c>
      <x:c r="B4196" s="9" t="d">
        <x:v>2011-05-25T00:00:00.000Z</x:v>
      </x:c>
      <x:c r="C4196" s="13" t="n">
        <x:v>3</x:v>
      </x:c>
    </x:row>
    <x:row r="4197" ht="20" customHeight="1">
      <x:c r="A4197" s="1" t="str">
        <x:v>22666</x:v>
      </x:c>
      <x:c r="B4197" s="9" t="d">
        <x:v>2011-05-26T00:00:00.000Z</x:v>
      </x:c>
      <x:c r="C4197" s="13" t="n">
        <x:v>0</x:v>
      </x:c>
    </x:row>
    <x:row r="4198" ht="20" customHeight="1">
      <x:c r="A4198" s="1" t="str">
        <x:v>22666</x:v>
      </x:c>
      <x:c r="B4198" s="9" t="d">
        <x:v>2011-05-27T00:00:00.000Z</x:v>
      </x:c>
      <x:c r="C4198" s="13" t="n">
        <x:v>1</x:v>
      </x:c>
    </x:row>
    <x:row r="4199" ht="20" customHeight="1">
      <x:c r="A4199" s="1" t="str">
        <x:v>22666</x:v>
      </x:c>
      <x:c r="B4199" s="9" t="d">
        <x:v>2011-05-28T00:00:00.000Z</x:v>
      </x:c>
      <x:c r="C4199" s="13" t="n">
        <x:v>0</x:v>
      </x:c>
    </x:row>
    <x:row r="4200" ht="20" customHeight="1">
      <x:c r="A4200" s="1" t="str">
        <x:v>22666</x:v>
      </x:c>
      <x:c r="B4200" s="9" t="d">
        <x:v>2011-05-29T00:00:00.000Z</x:v>
      </x:c>
      <x:c r="C4200" s="13" t="n">
        <x:v>1</x:v>
      </x:c>
    </x:row>
    <x:row r="4201" ht="20" customHeight="1">
      <x:c r="A4201" s="1" t="str">
        <x:v>22666</x:v>
      </x:c>
      <x:c r="B4201" s="9" t="d">
        <x:v>2011-05-30T00:00:00.000Z</x:v>
      </x:c>
      <x:c r="C4201" s="13" t="n">
        <x:v>0</x:v>
      </x:c>
    </x:row>
    <x:row r="4202" ht="20" customHeight="1">
      <x:c r="A4202" s="1" t="str">
        <x:v>22666</x:v>
      </x:c>
      <x:c r="B4202" s="9" t="d">
        <x:v>2011-05-31T00:00:00.000Z</x:v>
      </x:c>
      <x:c r="C4202" s="13" t="n">
        <x:v>2</x:v>
      </x:c>
    </x:row>
    <x:row r="4203" ht="20" customHeight="1">
      <x:c r="A4203" s="1" t="str">
        <x:v>22666</x:v>
      </x:c>
      <x:c r="B4203" s="9" t="d">
        <x:v>2011-06-01T00:00:00.000Z</x:v>
      </x:c>
      <x:c r="C4203" s="13" t="n">
        <x:v>8</x:v>
      </x:c>
    </x:row>
    <x:row r="4204" ht="20" customHeight="1">
      <x:c r="A4204" s="1" t="str">
        <x:v>22666</x:v>
      </x:c>
      <x:c r="B4204" s="9" t="d">
        <x:v>2011-06-02T00:00:00.000Z</x:v>
      </x:c>
      <x:c r="C4204" s="13" t="n">
        <x:v>24</x:v>
      </x:c>
    </x:row>
    <x:row r="4205" ht="20" customHeight="1">
      <x:c r="A4205" s="1" t="str">
        <x:v>22666</x:v>
      </x:c>
      <x:c r="B4205" s="9" t="d">
        <x:v>2011-06-03T00:00:00.000Z</x:v>
      </x:c>
      <x:c r="C4205" s="13" t="n">
        <x:v>24</x:v>
      </x:c>
    </x:row>
    <x:row r="4206" ht="20" customHeight="1">
      <x:c r="A4206" s="1" t="str">
        <x:v>22666</x:v>
      </x:c>
      <x:c r="B4206" s="9" t="d">
        <x:v>2011-06-04T00:00:00.000Z</x:v>
      </x:c>
      <x:c r="C4206" s="13" t="n">
        <x:v>0</x:v>
      </x:c>
    </x:row>
    <x:row r="4207" ht="20" customHeight="1">
      <x:c r="A4207" s="1" t="str">
        <x:v>22666</x:v>
      </x:c>
      <x:c r="B4207" s="9" t="d">
        <x:v>2011-06-05T00:00:00.000Z</x:v>
      </x:c>
      <x:c r="C4207" s="13" t="n">
        <x:v>6</x:v>
      </x:c>
    </x:row>
    <x:row r="4208" ht="20" customHeight="1">
      <x:c r="A4208" s="1" t="str">
        <x:v>22666</x:v>
      </x:c>
      <x:c r="B4208" s="9" t="d">
        <x:v>2011-06-06T00:00:00.000Z</x:v>
      </x:c>
      <x:c r="C4208" s="13" t="n">
        <x:v>1</x:v>
      </x:c>
    </x:row>
    <x:row r="4209" ht="20" customHeight="1">
      <x:c r="A4209" s="1" t="str">
        <x:v>22666</x:v>
      </x:c>
      <x:c r="B4209" s="9" t="d">
        <x:v>2011-06-07T00:00:00.000Z</x:v>
      </x:c>
      <x:c r="C4209" s="13" t="n">
        <x:v>17</x:v>
      </x:c>
    </x:row>
    <x:row r="4210" ht="20" customHeight="1">
      <x:c r="A4210" s="1" t="str">
        <x:v>22666</x:v>
      </x:c>
      <x:c r="B4210" s="9" t="d">
        <x:v>2011-06-08T00:00:00.000Z</x:v>
      </x:c>
      <x:c r="C4210" s="13" t="n">
        <x:v>89</x:v>
      </x:c>
    </x:row>
    <x:row r="4211" ht="20" customHeight="1">
      <x:c r="A4211" s="1" t="str">
        <x:v>22666</x:v>
      </x:c>
      <x:c r="B4211" s="9" t="d">
        <x:v>2011-06-09T00:00:00.000Z</x:v>
      </x:c>
      <x:c r="C4211" s="13" t="n">
        <x:v>19</x:v>
      </x:c>
    </x:row>
    <x:row r="4212" ht="20" customHeight="1">
      <x:c r="A4212" s="1" t="str">
        <x:v>22666</x:v>
      </x:c>
      <x:c r="B4212" s="9" t="d">
        <x:v>2011-06-10T00:00:00.000Z</x:v>
      </x:c>
      <x:c r="C4212" s="13" t="n">
        <x:v>4</x:v>
      </x:c>
    </x:row>
    <x:row r="4213" ht="20" customHeight="1">
      <x:c r="A4213" s="1" t="str">
        <x:v>22666</x:v>
      </x:c>
      <x:c r="B4213" s="9" t="d">
        <x:v>2011-06-11T00:00:00.000Z</x:v>
      </x:c>
      <x:c r="C4213" s="13" t="n">
        <x:v>0</x:v>
      </x:c>
    </x:row>
    <x:row r="4214" ht="20" customHeight="1">
      <x:c r="A4214" s="1" t="str">
        <x:v>22666</x:v>
      </x:c>
      <x:c r="B4214" s="9" t="d">
        <x:v>2011-06-12T00:00:00.000Z</x:v>
      </x:c>
      <x:c r="C4214" s="13" t="n">
        <x:v>13</x:v>
      </x:c>
    </x:row>
    <x:row r="4215" ht="20" customHeight="1">
      <x:c r="A4215" s="1" t="str">
        <x:v>22666</x:v>
      </x:c>
      <x:c r="B4215" s="9" t="d">
        <x:v>2011-06-13T00:00:00.000Z</x:v>
      </x:c>
      <x:c r="C4215" s="13" t="n">
        <x:v>13</x:v>
      </x:c>
    </x:row>
    <x:row r="4216" ht="20" customHeight="1">
      <x:c r="A4216" s="1" t="str">
        <x:v>22666</x:v>
      </x:c>
      <x:c r="B4216" s="9" t="d">
        <x:v>2011-06-14T00:00:00.000Z</x:v>
      </x:c>
      <x:c r="C4216" s="13" t="n">
        <x:v>9</x:v>
      </x:c>
    </x:row>
    <x:row r="4217" ht="20" customHeight="1">
      <x:c r="A4217" s="1" t="str">
        <x:v>22666</x:v>
      </x:c>
      <x:c r="B4217" s="9" t="d">
        <x:v>2011-06-15T00:00:00.000Z</x:v>
      </x:c>
      <x:c r="C4217" s="13" t="n">
        <x:v>1</x:v>
      </x:c>
    </x:row>
    <x:row r="4218" ht="20" customHeight="1">
      <x:c r="A4218" s="1" t="str">
        <x:v>22666</x:v>
      </x:c>
      <x:c r="B4218" s="9" t="d">
        <x:v>2011-06-16T00:00:00.000Z</x:v>
      </x:c>
      <x:c r="C4218" s="13" t="n">
        <x:v>174</x:v>
      </x:c>
    </x:row>
    <x:row r="4219" ht="20" customHeight="1">
      <x:c r="A4219" s="1" t="str">
        <x:v>22666</x:v>
      </x:c>
      <x:c r="B4219" s="9" t="d">
        <x:v>2011-06-17T00:00:00.000Z</x:v>
      </x:c>
      <x:c r="C4219" s="13" t="n">
        <x:v>22</x:v>
      </x:c>
    </x:row>
    <x:row r="4220" ht="20" customHeight="1">
      <x:c r="A4220" s="1" t="str">
        <x:v>22666</x:v>
      </x:c>
      <x:c r="B4220" s="9" t="d">
        <x:v>2011-06-18T00:00:00.000Z</x:v>
      </x:c>
      <x:c r="C4220" s="13" t="n">
        <x:v>0</x:v>
      </x:c>
    </x:row>
    <x:row r="4221" ht="20" customHeight="1">
      <x:c r="A4221" s="1" t="str">
        <x:v>22666</x:v>
      </x:c>
      <x:c r="B4221" s="9" t="d">
        <x:v>2011-06-19T00:00:00.000Z</x:v>
      </x:c>
      <x:c r="C4221" s="13" t="n">
        <x:v>2</x:v>
      </x:c>
    </x:row>
    <x:row r="4222" ht="20" customHeight="1">
      <x:c r="A4222" s="1" t="str">
        <x:v>22666</x:v>
      </x:c>
      <x:c r="B4222" s="9" t="d">
        <x:v>2011-06-20T00:00:00.000Z</x:v>
      </x:c>
      <x:c r="C4222" s="13" t="n">
        <x:v>11</x:v>
      </x:c>
    </x:row>
    <x:row r="4223" ht="20" customHeight="1">
      <x:c r="A4223" s="1" t="str">
        <x:v>22666</x:v>
      </x:c>
      <x:c r="B4223" s="9" t="d">
        <x:v>2011-06-21T00:00:00.000Z</x:v>
      </x:c>
      <x:c r="C4223" s="13" t="n">
        <x:v>9</x:v>
      </x:c>
    </x:row>
    <x:row r="4224" ht="20" customHeight="1">
      <x:c r="A4224" s="1" t="str">
        <x:v>22666</x:v>
      </x:c>
      <x:c r="B4224" s="9" t="d">
        <x:v>2011-06-22T00:00:00.000Z</x:v>
      </x:c>
      <x:c r="C4224" s="13" t="n">
        <x:v>15</x:v>
      </x:c>
    </x:row>
    <x:row r="4225" ht="20" customHeight="1">
      <x:c r="A4225" s="1" t="str">
        <x:v>22666</x:v>
      </x:c>
      <x:c r="B4225" s="9" t="d">
        <x:v>2011-06-23T00:00:00.000Z</x:v>
      </x:c>
      <x:c r="C4225" s="13" t="n">
        <x:v>31</x:v>
      </x:c>
    </x:row>
    <x:row r="4226" ht="20" customHeight="1">
      <x:c r="A4226" s="1" t="str">
        <x:v>22666</x:v>
      </x:c>
      <x:c r="B4226" s="9" t="d">
        <x:v>2011-06-24T00:00:00.000Z</x:v>
      </x:c>
      <x:c r="C4226" s="13" t="n">
        <x:v>1</x:v>
      </x:c>
    </x:row>
    <x:row r="4227" ht="20" customHeight="1">
      <x:c r="A4227" s="1" t="str">
        <x:v>22666</x:v>
      </x:c>
      <x:c r="B4227" s="9" t="d">
        <x:v>2011-06-25T00:00:00.000Z</x:v>
      </x:c>
      <x:c r="C4227" s="13" t="n">
        <x:v>0</x:v>
      </x:c>
    </x:row>
    <x:row r="4228" ht="20" customHeight="1">
      <x:c r="A4228" s="1" t="str">
        <x:v>22666</x:v>
      </x:c>
      <x:c r="B4228" s="9" t="d">
        <x:v>2011-06-26T00:00:00.000Z</x:v>
      </x:c>
      <x:c r="C4228" s="13" t="n">
        <x:v>2</x:v>
      </x:c>
    </x:row>
    <x:row r="4229" ht="20" customHeight="1">
      <x:c r="A4229" s="1" t="str">
        <x:v>22666</x:v>
      </x:c>
      <x:c r="B4229" s="9" t="d">
        <x:v>2011-06-27T00:00:00.000Z</x:v>
      </x:c>
      <x:c r="C4229" s="13" t="n">
        <x:v>0</x:v>
      </x:c>
    </x:row>
    <x:row r="4230" ht="20" customHeight="1">
      <x:c r="A4230" s="1" t="str">
        <x:v>22666</x:v>
      </x:c>
      <x:c r="B4230" s="9" t="d">
        <x:v>2011-06-28T00:00:00.000Z</x:v>
      </x:c>
      <x:c r="C4230" s="13" t="n">
        <x:v>55</x:v>
      </x:c>
    </x:row>
    <x:row r="4231" ht="20" customHeight="1">
      <x:c r="A4231" s="1" t="str">
        <x:v>22666</x:v>
      </x:c>
      <x:c r="B4231" s="9" t="d">
        <x:v>2011-06-29T00:00:00.000Z</x:v>
      </x:c>
      <x:c r="C4231" s="13" t="n">
        <x:v>1</x:v>
      </x:c>
    </x:row>
    <x:row r="4232" ht="20" customHeight="1">
      <x:c r="A4232" s="1" t="str">
        <x:v>22666</x:v>
      </x:c>
      <x:c r="B4232" s="9" t="d">
        <x:v>2011-06-30T00:00:00.000Z</x:v>
      </x:c>
      <x:c r="C4232" s="13" t="n">
        <x:v>12</x:v>
      </x:c>
    </x:row>
    <x:row r="4233" ht="20" customHeight="1">
      <x:c r="A4233" s="1" t="str">
        <x:v>22666</x:v>
      </x:c>
      <x:c r="B4233" s="9" t="d">
        <x:v>2011-07-01T00:00:00.000Z</x:v>
      </x:c>
      <x:c r="C4233" s="13" t="n">
        <x:v>0</x:v>
      </x:c>
    </x:row>
    <x:row r="4234" ht="20" customHeight="1">
      <x:c r="A4234" s="1" t="str">
        <x:v>22666</x:v>
      </x:c>
      <x:c r="B4234" s="9" t="d">
        <x:v>2011-07-02T00:00:00.000Z</x:v>
      </x:c>
      <x:c r="C4234" s="13" t="n">
        <x:v>0</x:v>
      </x:c>
    </x:row>
    <x:row r="4235" ht="20" customHeight="1">
      <x:c r="A4235" s="1" t="str">
        <x:v>22666</x:v>
      </x:c>
      <x:c r="B4235" s="9" t="d">
        <x:v>2011-07-03T00:00:00.000Z</x:v>
      </x:c>
      <x:c r="C4235" s="13" t="n">
        <x:v>5</x:v>
      </x:c>
    </x:row>
    <x:row r="4236" ht="20" customHeight="1">
      <x:c r="A4236" s="1" t="str">
        <x:v>22666</x:v>
      </x:c>
      <x:c r="B4236" s="9" t="d">
        <x:v>2011-07-04T00:00:00.000Z</x:v>
      </x:c>
      <x:c r="C4236" s="13" t="n">
        <x:v>0</x:v>
      </x:c>
    </x:row>
    <x:row r="4237" ht="20" customHeight="1">
      <x:c r="A4237" s="1" t="str">
        <x:v>22666</x:v>
      </x:c>
      <x:c r="B4237" s="9" t="d">
        <x:v>2011-07-05T00:00:00.000Z</x:v>
      </x:c>
      <x:c r="C4237" s="13" t="n">
        <x:v>7</x:v>
      </x:c>
    </x:row>
    <x:row r="4238" ht="20" customHeight="1">
      <x:c r="A4238" s="1" t="str">
        <x:v>22666</x:v>
      </x:c>
      <x:c r="B4238" s="9" t="d">
        <x:v>2011-07-06T00:00:00.000Z</x:v>
      </x:c>
      <x:c r="C4238" s="13" t="n">
        <x:v>1</x:v>
      </x:c>
    </x:row>
    <x:row r="4239" ht="20" customHeight="1">
      <x:c r="A4239" s="1" t="str">
        <x:v>22666</x:v>
      </x:c>
      <x:c r="B4239" s="9" t="d">
        <x:v>2011-07-07T00:00:00.000Z</x:v>
      </x:c>
      <x:c r="C4239" s="13" t="n">
        <x:v>31</x:v>
      </x:c>
    </x:row>
    <x:row r="4240" ht="20" customHeight="1">
      <x:c r="A4240" s="1" t="str">
        <x:v>22666</x:v>
      </x:c>
      <x:c r="B4240" s="9" t="d">
        <x:v>2011-07-08T00:00:00.000Z</x:v>
      </x:c>
      <x:c r="C4240" s="13" t="n">
        <x:v>5</x:v>
      </x:c>
    </x:row>
    <x:row r="4241" ht="20" customHeight="1">
      <x:c r="A4241" s="1" t="str">
        <x:v>22666</x:v>
      </x:c>
      <x:c r="B4241" s="9" t="d">
        <x:v>2011-07-09T00:00:00.000Z</x:v>
      </x:c>
      <x:c r="C4241" s="13" t="n">
        <x:v>0</x:v>
      </x:c>
    </x:row>
    <x:row r="4242" ht="20" customHeight="1">
      <x:c r="A4242" s="1" t="str">
        <x:v>22666</x:v>
      </x:c>
      <x:c r="B4242" s="9" t="d">
        <x:v>2011-07-10T00:00:00.000Z</x:v>
      </x:c>
      <x:c r="C4242" s="13" t="n">
        <x:v>1</x:v>
      </x:c>
    </x:row>
    <x:row r="4243" ht="20" customHeight="1">
      <x:c r="A4243" s="1" t="str">
        <x:v>22666</x:v>
      </x:c>
      <x:c r="B4243" s="9" t="d">
        <x:v>2011-07-11T00:00:00.000Z</x:v>
      </x:c>
      <x:c r="C4243" s="13" t="n">
        <x:v>21</x:v>
      </x:c>
    </x:row>
    <x:row r="4244" ht="20" customHeight="1">
      <x:c r="A4244" s="1" t="str">
        <x:v>22666</x:v>
      </x:c>
      <x:c r="B4244" s="9" t="d">
        <x:v>2011-07-12T00:00:00.000Z</x:v>
      </x:c>
      <x:c r="C4244" s="13" t="n">
        <x:v>26</x:v>
      </x:c>
    </x:row>
    <x:row r="4245" ht="20" customHeight="1">
      <x:c r="A4245" s="1" t="str">
        <x:v>22666</x:v>
      </x:c>
      <x:c r="B4245" s="9" t="d">
        <x:v>2011-07-13T00:00:00.000Z</x:v>
      </x:c>
      <x:c r="C4245" s="13" t="n">
        <x:v>14</x:v>
      </x:c>
    </x:row>
    <x:row r="4246" ht="20" customHeight="1">
      <x:c r="A4246" s="1" t="str">
        <x:v>22666</x:v>
      </x:c>
      <x:c r="B4246" s="9" t="d">
        <x:v>2011-07-14T00:00:00.000Z</x:v>
      </x:c>
      <x:c r="C4246" s="13" t="n">
        <x:v>13</x:v>
      </x:c>
    </x:row>
    <x:row r="4247" ht="20" customHeight="1">
      <x:c r="A4247" s="1" t="str">
        <x:v>22666</x:v>
      </x:c>
      <x:c r="B4247" s="9" t="d">
        <x:v>2011-07-15T00:00:00.000Z</x:v>
      </x:c>
      <x:c r="C4247" s="13" t="n">
        <x:v>2</x:v>
      </x:c>
    </x:row>
    <x:row r="4248" ht="20" customHeight="1">
      <x:c r="A4248" s="1" t="str">
        <x:v>22666</x:v>
      </x:c>
      <x:c r="B4248" s="9" t="d">
        <x:v>2011-07-16T00:00:00.000Z</x:v>
      </x:c>
      <x:c r="C4248" s="13" t="n">
        <x:v>0</x:v>
      </x:c>
    </x:row>
    <x:row r="4249" ht="20" customHeight="1">
      <x:c r="A4249" s="1" t="str">
        <x:v>22666</x:v>
      </x:c>
      <x:c r="B4249" s="9" t="d">
        <x:v>2011-07-17T00:00:00.000Z</x:v>
      </x:c>
      <x:c r="C4249" s="13" t="n">
        <x:v>28</x:v>
      </x:c>
    </x:row>
    <x:row r="4250" ht="20" customHeight="1">
      <x:c r="A4250" s="1" t="str">
        <x:v>22666</x:v>
      </x:c>
      <x:c r="B4250" s="9" t="d">
        <x:v>2011-07-18T00:00:00.000Z</x:v>
      </x:c>
      <x:c r="C4250" s="13" t="n">
        <x:v>13</x:v>
      </x:c>
    </x:row>
    <x:row r="4251" ht="20" customHeight="1">
      <x:c r="A4251" s="1" t="str">
        <x:v>22666</x:v>
      </x:c>
      <x:c r="B4251" s="9" t="d">
        <x:v>2011-07-19T00:00:00.000Z</x:v>
      </x:c>
      <x:c r="C4251" s="13" t="n">
        <x:v>68</x:v>
      </x:c>
    </x:row>
    <x:row r="4252" ht="20" customHeight="1">
      <x:c r="A4252" s="1" t="str">
        <x:v>22666</x:v>
      </x:c>
      <x:c r="B4252" s="9" t="d">
        <x:v>2011-07-20T00:00:00.000Z</x:v>
      </x:c>
      <x:c r="C4252" s="13" t="n">
        <x:v>5</x:v>
      </x:c>
    </x:row>
    <x:row r="4253" ht="20" customHeight="1">
      <x:c r="A4253" s="1" t="str">
        <x:v>22666</x:v>
      </x:c>
      <x:c r="B4253" s="9" t="d">
        <x:v>2011-07-21T00:00:00.000Z</x:v>
      </x:c>
      <x:c r="C4253" s="13" t="n">
        <x:v>13</x:v>
      </x:c>
    </x:row>
    <x:row r="4254" ht="20" customHeight="1">
      <x:c r="A4254" s="1" t="str">
        <x:v>22666</x:v>
      </x:c>
      <x:c r="B4254" s="9" t="d">
        <x:v>2011-07-22T00:00:00.000Z</x:v>
      </x:c>
      <x:c r="C4254" s="13" t="n">
        <x:v>37</x:v>
      </x:c>
    </x:row>
    <x:row r="4255" ht="20" customHeight="1">
      <x:c r="A4255" s="1" t="str">
        <x:v>22666</x:v>
      </x:c>
      <x:c r="B4255" s="9" t="d">
        <x:v>2011-07-23T00:00:00.000Z</x:v>
      </x:c>
      <x:c r="C4255" s="13" t="n">
        <x:v>0</x:v>
      </x:c>
    </x:row>
    <x:row r="4256" ht="20" customHeight="1">
      <x:c r="A4256" s="1" t="str">
        <x:v>22666</x:v>
      </x:c>
      <x:c r="B4256" s="9" t="d">
        <x:v>2011-07-24T00:00:00.000Z</x:v>
      </x:c>
      <x:c r="C4256" s="13" t="n">
        <x:v>12</x:v>
      </x:c>
    </x:row>
    <x:row r="4257" ht="20" customHeight="1">
      <x:c r="A4257" s="1" t="str">
        <x:v>22666</x:v>
      </x:c>
      <x:c r="B4257" s="9" t="d">
        <x:v>2011-07-25T00:00:00.000Z</x:v>
      </x:c>
      <x:c r="C4257" s="13" t="n">
        <x:v>2</x:v>
      </x:c>
    </x:row>
    <x:row r="4258" ht="20" customHeight="1">
      <x:c r="A4258" s="1" t="str">
        <x:v>22666</x:v>
      </x:c>
      <x:c r="B4258" s="9" t="d">
        <x:v>2011-07-26T00:00:00.000Z</x:v>
      </x:c>
      <x:c r="C4258" s="13" t="n">
        <x:v>2</x:v>
      </x:c>
    </x:row>
    <x:row r="4259" ht="20" customHeight="1">
      <x:c r="A4259" s="1" t="str">
        <x:v>22666</x:v>
      </x:c>
      <x:c r="B4259" s="9" t="d">
        <x:v>2011-07-27T00:00:00.000Z</x:v>
      </x:c>
      <x:c r="C4259" s="13" t="n">
        <x:v>25</x:v>
      </x:c>
    </x:row>
    <x:row r="4260" ht="20" customHeight="1">
      <x:c r="A4260" s="1" t="str">
        <x:v>22666</x:v>
      </x:c>
      <x:c r="B4260" s="9" t="d">
        <x:v>2011-07-28T00:00:00.000Z</x:v>
      </x:c>
      <x:c r="C4260" s="13" t="n">
        <x:v>19</x:v>
      </x:c>
    </x:row>
    <x:row r="4261" ht="20" customHeight="1">
      <x:c r="A4261" s="1" t="str">
        <x:v>22666</x:v>
      </x:c>
      <x:c r="B4261" s="9" t="d">
        <x:v>2011-07-29T00:00:00.000Z</x:v>
      </x:c>
      <x:c r="C4261" s="13" t="n">
        <x:v>8</x:v>
      </x:c>
    </x:row>
    <x:row r="4262" ht="20" customHeight="1">
      <x:c r="A4262" s="1" t="str">
        <x:v>22666</x:v>
      </x:c>
      <x:c r="B4262" s="9" t="d">
        <x:v>2011-07-30T00:00:00.000Z</x:v>
      </x:c>
      <x:c r="C4262" s="13" t="n">
        <x:v>0</x:v>
      </x:c>
    </x:row>
    <x:row r="4263" ht="20" customHeight="1">
      <x:c r="A4263" s="1" t="str">
        <x:v>22666</x:v>
      </x:c>
      <x:c r="B4263" s="9" t="d">
        <x:v>2011-07-31T00:00:00.000Z</x:v>
      </x:c>
      <x:c r="C4263" s="13" t="n">
        <x:v>419</x:v>
      </x:c>
    </x:row>
    <x:row r="4264" ht="20" customHeight="1">
      <x:c r="A4264" s="1" t="str">
        <x:v>22666</x:v>
      </x:c>
      <x:c r="B4264" s="9" t="d">
        <x:v>2011-08-01T00:00:00.000Z</x:v>
      </x:c>
      <x:c r="C4264" s="13" t="n">
        <x:v>31</x:v>
      </x:c>
    </x:row>
    <x:row r="4265" ht="20" customHeight="1">
      <x:c r="A4265" s="1" t="str">
        <x:v>22666</x:v>
      </x:c>
      <x:c r="B4265" s="9" t="d">
        <x:v>2011-08-02T00:00:00.000Z</x:v>
      </x:c>
      <x:c r="C4265" s="13" t="n">
        <x:v>13</x:v>
      </x:c>
    </x:row>
    <x:row r="4266" ht="20" customHeight="1">
      <x:c r="A4266" s="1" t="str">
        <x:v>22666</x:v>
      </x:c>
      <x:c r="B4266" s="9" t="d">
        <x:v>2011-08-03T00:00:00.000Z</x:v>
      </x:c>
      <x:c r="C4266" s="13" t="n">
        <x:v>15</x:v>
      </x:c>
    </x:row>
    <x:row r="4267" ht="20" customHeight="1">
      <x:c r="A4267" s="1" t="str">
        <x:v>22666</x:v>
      </x:c>
      <x:c r="B4267" s="9" t="d">
        <x:v>2011-08-04T00:00:00.000Z</x:v>
      </x:c>
      <x:c r="C4267" s="13" t="n">
        <x:v>27</x:v>
      </x:c>
    </x:row>
    <x:row r="4268" ht="20" customHeight="1">
      <x:c r="A4268" s="1" t="str">
        <x:v>22666</x:v>
      </x:c>
      <x:c r="B4268" s="9" t="d">
        <x:v>2011-08-05T00:00:00.000Z</x:v>
      </x:c>
      <x:c r="C4268" s="13" t="n">
        <x:v>7</x:v>
      </x:c>
    </x:row>
    <x:row r="4269" ht="20" customHeight="1">
      <x:c r="A4269" s="1" t="str">
        <x:v>22666</x:v>
      </x:c>
      <x:c r="B4269" s="9" t="d">
        <x:v>2011-08-06T00:00:00.000Z</x:v>
      </x:c>
      <x:c r="C4269" s="13" t="n">
        <x:v>0</x:v>
      </x:c>
    </x:row>
    <x:row r="4270" ht="20" customHeight="1">
      <x:c r="A4270" s="1" t="str">
        <x:v>22666</x:v>
      </x:c>
      <x:c r="B4270" s="9" t="d">
        <x:v>2011-08-07T00:00:00.000Z</x:v>
      </x:c>
      <x:c r="C4270" s="13" t="n">
        <x:v>0</x:v>
      </x:c>
    </x:row>
    <x:row r="4271" ht="20" customHeight="1">
      <x:c r="A4271" s="1" t="str">
        <x:v>22666</x:v>
      </x:c>
      <x:c r="B4271" s="9" t="d">
        <x:v>2011-08-08T00:00:00.000Z</x:v>
      </x:c>
      <x:c r="C4271" s="13" t="n">
        <x:v>7</x:v>
      </x:c>
    </x:row>
    <x:row r="4272" ht="20" customHeight="1">
      <x:c r="A4272" s="1" t="str">
        <x:v>22666</x:v>
      </x:c>
      <x:c r="B4272" s="9" t="d">
        <x:v>2011-08-09T00:00:00.000Z</x:v>
      </x:c>
      <x:c r="C4272" s="13" t="n">
        <x:v>36</x:v>
      </x:c>
    </x:row>
    <x:row r="4273" ht="20" customHeight="1">
      <x:c r="A4273" s="1" t="str">
        <x:v>22666</x:v>
      </x:c>
      <x:c r="B4273" s="9" t="d">
        <x:v>2011-08-10T00:00:00.000Z</x:v>
      </x:c>
      <x:c r="C4273" s="13" t="n">
        <x:v>60</x:v>
      </x:c>
    </x:row>
    <x:row r="4274" ht="20" customHeight="1">
      <x:c r="A4274" s="1" t="str">
        <x:v>22666</x:v>
      </x:c>
      <x:c r="B4274" s="9" t="d">
        <x:v>2011-08-11T00:00:00.000Z</x:v>
      </x:c>
      <x:c r="C4274" s="13" t="n">
        <x:v>22</x:v>
      </x:c>
    </x:row>
    <x:row r="4275" ht="20" customHeight="1">
      <x:c r="A4275" s="1" t="str">
        <x:v>22666</x:v>
      </x:c>
      <x:c r="B4275" s="9" t="d">
        <x:v>2011-08-12T00:00:00.000Z</x:v>
      </x:c>
      <x:c r="C4275" s="13" t="n">
        <x:v>12</x:v>
      </x:c>
    </x:row>
    <x:row r="4276" ht="20" customHeight="1">
      <x:c r="A4276" s="1" t="str">
        <x:v>22666</x:v>
      </x:c>
      <x:c r="B4276" s="9" t="d">
        <x:v>2011-08-13T00:00:00.000Z</x:v>
      </x:c>
      <x:c r="C4276" s="13" t="n">
        <x:v>0</x:v>
      </x:c>
    </x:row>
    <x:row r="4277" ht="20" customHeight="1">
      <x:c r="A4277" s="1" t="str">
        <x:v>22666</x:v>
      </x:c>
      <x:c r="B4277" s="9" t="d">
        <x:v>2011-08-14T00:00:00.000Z</x:v>
      </x:c>
      <x:c r="C4277" s="13" t="n">
        <x:v>7</x:v>
      </x:c>
    </x:row>
    <x:row r="4278" ht="20" customHeight="1">
      <x:c r="A4278" s="1" t="str">
        <x:v>22666</x:v>
      </x:c>
      <x:c r="B4278" s="9" t="d">
        <x:v>2011-08-15T00:00:00.000Z</x:v>
      </x:c>
      <x:c r="C4278" s="13" t="n">
        <x:v>0</x:v>
      </x:c>
    </x:row>
    <x:row r="4279" ht="20" customHeight="1">
      <x:c r="A4279" s="1" t="str">
        <x:v>22666</x:v>
      </x:c>
      <x:c r="B4279" s="9" t="d">
        <x:v>2011-08-16T00:00:00.000Z</x:v>
      </x:c>
      <x:c r="C4279" s="13" t="n">
        <x:v>21</x:v>
      </x:c>
    </x:row>
    <x:row r="4280" ht="20" customHeight="1">
      <x:c r="A4280" s="1" t="str">
        <x:v>22666</x:v>
      </x:c>
      <x:c r="B4280" s="9" t="d">
        <x:v>2011-08-17T00:00:00.000Z</x:v>
      </x:c>
      <x:c r="C4280" s="13" t="n">
        <x:v>136</x:v>
      </x:c>
    </x:row>
    <x:row r="4281" ht="20" customHeight="1">
      <x:c r="A4281" s="1" t="str">
        <x:v>22666</x:v>
      </x:c>
      <x:c r="B4281" s="9" t="d">
        <x:v>2011-08-18T00:00:00.000Z</x:v>
      </x:c>
      <x:c r="C4281" s="13" t="n">
        <x:v>14</x:v>
      </x:c>
    </x:row>
    <x:row r="4282" ht="20" customHeight="1">
      <x:c r="A4282" s="1" t="str">
        <x:v>22666</x:v>
      </x:c>
      <x:c r="B4282" s="9" t="d">
        <x:v>2011-08-19T00:00:00.000Z</x:v>
      </x:c>
      <x:c r="C4282" s="13" t="n">
        <x:v>0</x:v>
      </x:c>
    </x:row>
    <x:row r="4283" ht="20" customHeight="1">
      <x:c r="A4283" s="1" t="str">
        <x:v>22666</x:v>
      </x:c>
      <x:c r="B4283" s="9" t="d">
        <x:v>2011-08-20T00:00:00.000Z</x:v>
      </x:c>
      <x:c r="C4283" s="13" t="n">
        <x:v>0</x:v>
      </x:c>
    </x:row>
    <x:row r="4284" ht="20" customHeight="1">
      <x:c r="A4284" s="1" t="str">
        <x:v>22666</x:v>
      </x:c>
      <x:c r="B4284" s="9" t="d">
        <x:v>2011-08-21T00:00:00.000Z</x:v>
      </x:c>
      <x:c r="C4284" s="13" t="n">
        <x:v>3</x:v>
      </x:c>
    </x:row>
    <x:row r="4285" ht="20" customHeight="1">
      <x:c r="A4285" s="1" t="str">
        <x:v>22666</x:v>
      </x:c>
      <x:c r="B4285" s="9" t="d">
        <x:v>2011-08-22T00:00:00.000Z</x:v>
      </x:c>
      <x:c r="C4285" s="13" t="n">
        <x:v>0</x:v>
      </x:c>
    </x:row>
    <x:row r="4286" ht="20" customHeight="1">
      <x:c r="A4286" s="1" t="str">
        <x:v>22666</x:v>
      </x:c>
      <x:c r="B4286" s="9" t="d">
        <x:v>2011-08-23T00:00:00.000Z</x:v>
      </x:c>
      <x:c r="C4286" s="13" t="n">
        <x:v>4</x:v>
      </x:c>
    </x:row>
    <x:row r="4287" ht="20" customHeight="1">
      <x:c r="A4287" s="1" t="str">
        <x:v>22666</x:v>
      </x:c>
      <x:c r="B4287" s="9" t="d">
        <x:v>2011-08-24T00:00:00.000Z</x:v>
      </x:c>
      <x:c r="C4287" s="13" t="n">
        <x:v>7</x:v>
      </x:c>
    </x:row>
    <x:row r="4288" ht="20" customHeight="1">
      <x:c r="A4288" s="1" t="str">
        <x:v>22666</x:v>
      </x:c>
      <x:c r="B4288" s="9" t="d">
        <x:v>2011-08-25T00:00:00.000Z</x:v>
      </x:c>
      <x:c r="C4288" s="13" t="n">
        <x:v>6</x:v>
      </x:c>
    </x:row>
    <x:row r="4289" ht="20" customHeight="1">
      <x:c r="A4289" s="1" t="str">
        <x:v>22666</x:v>
      </x:c>
      <x:c r="B4289" s="9" t="d">
        <x:v>2011-08-26T00:00:00.000Z</x:v>
      </x:c>
      <x:c r="C4289" s="13" t="n">
        <x:v>10</x:v>
      </x:c>
    </x:row>
    <x:row r="4290" ht="20" customHeight="1">
      <x:c r="A4290" s="1" t="str">
        <x:v>22666</x:v>
      </x:c>
      <x:c r="B4290" s="9" t="d">
        <x:v>2011-08-27T00:00:00.000Z</x:v>
      </x:c>
      <x:c r="C4290" s="13" t="n">
        <x:v>0</x:v>
      </x:c>
    </x:row>
    <x:row r="4291" ht="20" customHeight="1">
      <x:c r="A4291" s="1" t="str">
        <x:v>22666</x:v>
      </x:c>
      <x:c r="B4291" s="9" t="d">
        <x:v>2011-08-28T00:00:00.000Z</x:v>
      </x:c>
      <x:c r="C4291" s="13" t="n">
        <x:v>5</x:v>
      </x:c>
    </x:row>
    <x:row r="4292" ht="20" customHeight="1">
      <x:c r="A4292" s="1" t="str">
        <x:v>22666</x:v>
      </x:c>
      <x:c r="B4292" s="9" t="d">
        <x:v>2011-08-29T00:00:00.000Z</x:v>
      </x:c>
      <x:c r="C4292" s="13" t="n">
        <x:v>0</x:v>
      </x:c>
    </x:row>
    <x:row r="4293" ht="20" customHeight="1">
      <x:c r="A4293" s="1" t="str">
        <x:v>22666</x:v>
      </x:c>
      <x:c r="B4293" s="9" t="d">
        <x:v>2011-08-30T00:00:00.000Z</x:v>
      </x:c>
      <x:c r="C4293" s="13" t="n">
        <x:v>8</x:v>
      </x:c>
    </x:row>
    <x:row r="4294" ht="20" customHeight="1">
      <x:c r="A4294" s="1" t="str">
        <x:v>22666</x:v>
      </x:c>
      <x:c r="B4294" s="9" t="d">
        <x:v>2011-08-31T00:00:00.000Z</x:v>
      </x:c>
      <x:c r="C4294" s="13" t="n">
        <x:v>1</x:v>
      </x:c>
    </x:row>
    <x:row r="4295" ht="20" customHeight="1">
      <x:c r="A4295" s="1" t="str">
        <x:v>22666</x:v>
      </x:c>
      <x:c r="B4295" s="9" t="d">
        <x:v>2011-09-01T00:00:00.000Z</x:v>
      </x:c>
      <x:c r="C4295" s="13" t="n">
        <x:v>14</x:v>
      </x:c>
    </x:row>
    <x:row r="4296" ht="20" customHeight="1">
      <x:c r="A4296" s="1" t="str">
        <x:v>22666</x:v>
      </x:c>
      <x:c r="B4296" s="9" t="d">
        <x:v>2011-09-02T00:00:00.000Z</x:v>
      </x:c>
      <x:c r="C4296" s="13" t="n">
        <x:v>71</x:v>
      </x:c>
    </x:row>
    <x:row r="4297" ht="20" customHeight="1">
      <x:c r="A4297" s="1" t="str">
        <x:v>22666</x:v>
      </x:c>
      <x:c r="B4297" s="9" t="d">
        <x:v>2011-09-03T00:00:00.000Z</x:v>
      </x:c>
      <x:c r="C4297" s="13" t="n">
        <x:v>0</x:v>
      </x:c>
    </x:row>
    <x:row r="4298" ht="20" customHeight="1">
      <x:c r="A4298" s="1" t="str">
        <x:v>22666</x:v>
      </x:c>
      <x:c r="B4298" s="9" t="d">
        <x:v>2011-09-04T00:00:00.000Z</x:v>
      </x:c>
      <x:c r="C4298" s="13" t="n">
        <x:v>25</x:v>
      </x:c>
    </x:row>
    <x:row r="4299" ht="20" customHeight="1">
      <x:c r="A4299" s="1" t="str">
        <x:v>22666</x:v>
      </x:c>
      <x:c r="B4299" s="9" t="d">
        <x:v>2011-09-05T00:00:00.000Z</x:v>
      </x:c>
      <x:c r="C4299" s="13" t="n">
        <x:v>13</x:v>
      </x:c>
    </x:row>
    <x:row r="4300" ht="20" customHeight="1">
      <x:c r="A4300" s="1" t="str">
        <x:v>22666</x:v>
      </x:c>
      <x:c r="B4300" s="9" t="d">
        <x:v>2011-09-06T00:00:00.000Z</x:v>
      </x:c>
      <x:c r="C4300" s="13" t="n">
        <x:v>7</x:v>
      </x:c>
    </x:row>
    <x:row r="4301" ht="20" customHeight="1">
      <x:c r="A4301" s="1" t="str">
        <x:v>22666</x:v>
      </x:c>
      <x:c r="B4301" s="9" t="d">
        <x:v>2011-09-07T00:00:00.000Z</x:v>
      </x:c>
      <x:c r="C4301" s="13" t="n">
        <x:v>16</x:v>
      </x:c>
    </x:row>
    <x:row r="4302" ht="20" customHeight="1">
      <x:c r="A4302" s="1" t="str">
        <x:v>22666</x:v>
      </x:c>
      <x:c r="B4302" s="9" t="d">
        <x:v>2011-09-08T00:00:00.000Z</x:v>
      </x:c>
      <x:c r="C4302" s="13" t="n">
        <x:v>11</x:v>
      </x:c>
    </x:row>
    <x:row r="4303" ht="20" customHeight="1">
      <x:c r="A4303" s="1" t="str">
        <x:v>22666</x:v>
      </x:c>
      <x:c r="B4303" s="9" t="d">
        <x:v>2011-09-09T00:00:00.000Z</x:v>
      </x:c>
      <x:c r="C4303" s="13" t="n">
        <x:v>32</x:v>
      </x:c>
    </x:row>
    <x:row r="4304" ht="20" customHeight="1">
      <x:c r="A4304" s="1" t="str">
        <x:v>22666</x:v>
      </x:c>
      <x:c r="B4304" s="9" t="d">
        <x:v>2011-09-10T00:00:00.000Z</x:v>
      </x:c>
      <x:c r="C4304" s="13" t="n">
        <x:v>0</x:v>
      </x:c>
    </x:row>
    <x:row r="4305" ht="20" customHeight="1">
      <x:c r="A4305" s="1" t="str">
        <x:v>22666</x:v>
      </x:c>
      <x:c r="B4305" s="9" t="d">
        <x:v>2011-09-11T00:00:00.000Z</x:v>
      </x:c>
      <x:c r="C4305" s="13" t="n">
        <x:v>26</x:v>
      </x:c>
    </x:row>
    <x:row r="4306" ht="20" customHeight="1">
      <x:c r="A4306" s="1" t="str">
        <x:v>22666</x:v>
      </x:c>
      <x:c r="B4306" s="9" t="d">
        <x:v>2011-09-12T00:00:00.000Z</x:v>
      </x:c>
      <x:c r="C4306" s="13" t="n">
        <x:v>15</x:v>
      </x:c>
    </x:row>
    <x:row r="4307" ht="20" customHeight="1">
      <x:c r="A4307" s="1" t="str">
        <x:v>22666</x:v>
      </x:c>
      <x:c r="B4307" s="9" t="d">
        <x:v>2011-09-13T00:00:00.000Z</x:v>
      </x:c>
      <x:c r="C4307" s="13" t="n">
        <x:v>8</x:v>
      </x:c>
    </x:row>
    <x:row r="4308" ht="20" customHeight="1">
      <x:c r="A4308" s="1" t="str">
        <x:v>22666</x:v>
      </x:c>
      <x:c r="B4308" s="9" t="d">
        <x:v>2011-09-14T00:00:00.000Z</x:v>
      </x:c>
      <x:c r="C4308" s="13" t="n">
        <x:v>1</x:v>
      </x:c>
    </x:row>
    <x:row r="4309" ht="20" customHeight="1">
      <x:c r="A4309" s="1" t="str">
        <x:v>22666</x:v>
      </x:c>
      <x:c r="B4309" s="9" t="d">
        <x:v>2011-09-15T00:00:00.000Z</x:v>
      </x:c>
      <x:c r="C4309" s="13" t="n">
        <x:v>20</x:v>
      </x:c>
    </x:row>
    <x:row r="4310" ht="20" customHeight="1">
      <x:c r="A4310" s="1" t="str">
        <x:v>22666</x:v>
      </x:c>
      <x:c r="B4310" s="9" t="d">
        <x:v>2011-09-16T00:00:00.000Z</x:v>
      </x:c>
      <x:c r="C4310" s="13" t="n">
        <x:v>7</x:v>
      </x:c>
    </x:row>
    <x:row r="4311" ht="20" customHeight="1">
      <x:c r="A4311" s="1" t="str">
        <x:v>22666</x:v>
      </x:c>
      <x:c r="B4311" s="9" t="d">
        <x:v>2011-09-17T00:00:00.000Z</x:v>
      </x:c>
      <x:c r="C4311" s="13" t="n">
        <x:v>0</x:v>
      </x:c>
    </x:row>
    <x:row r="4312" ht="20" customHeight="1">
      <x:c r="A4312" s="1" t="str">
        <x:v>22666</x:v>
      </x:c>
      <x:c r="B4312" s="9" t="d">
        <x:v>2011-09-18T00:00:00.000Z</x:v>
      </x:c>
      <x:c r="C4312" s="13" t="n">
        <x:v>19</x:v>
      </x:c>
    </x:row>
    <x:row r="4313" ht="20" customHeight="1">
      <x:c r="A4313" s="1" t="str">
        <x:v>22666</x:v>
      </x:c>
      <x:c r="B4313" s="9" t="d">
        <x:v>2011-09-19T00:00:00.000Z</x:v>
      </x:c>
      <x:c r="C4313" s="13" t="n">
        <x:v>7</x:v>
      </x:c>
    </x:row>
    <x:row r="4314" ht="20" customHeight="1">
      <x:c r="A4314" s="1" t="str">
        <x:v>22666</x:v>
      </x:c>
      <x:c r="B4314" s="9" t="d">
        <x:v>2011-09-20T00:00:00.000Z</x:v>
      </x:c>
      <x:c r="C4314" s="13" t="n">
        <x:v>644</x:v>
      </x:c>
    </x:row>
    <x:row r="4315" ht="20" customHeight="1">
      <x:c r="A4315" s="1" t="str">
        <x:v>22666</x:v>
      </x:c>
      <x:c r="B4315" s="9" t="d">
        <x:v>2011-09-21T00:00:00.000Z</x:v>
      </x:c>
      <x:c r="C4315" s="13" t="n">
        <x:v>17</x:v>
      </x:c>
    </x:row>
    <x:row r="4316" ht="20" customHeight="1">
      <x:c r="A4316" s="1" t="str">
        <x:v>22666</x:v>
      </x:c>
      <x:c r="B4316" s="9" t="d">
        <x:v>2011-09-22T00:00:00.000Z</x:v>
      </x:c>
      <x:c r="C4316" s="13" t="n">
        <x:v>97</x:v>
      </x:c>
    </x:row>
    <x:row r="4317" ht="20" customHeight="1">
      <x:c r="A4317" s="1" t="str">
        <x:v>22666</x:v>
      </x:c>
      <x:c r="B4317" s="9" t="d">
        <x:v>2011-09-23T00:00:00.000Z</x:v>
      </x:c>
      <x:c r="C4317" s="13" t="n">
        <x:v>24</x:v>
      </x:c>
    </x:row>
    <x:row r="4318" ht="20" customHeight="1">
      <x:c r="A4318" s="1" t="str">
        <x:v>22666</x:v>
      </x:c>
      <x:c r="B4318" s="9" t="d">
        <x:v>2011-09-24T00:00:00.000Z</x:v>
      </x:c>
      <x:c r="C4318" s="13" t="n">
        <x:v>0</x:v>
      </x:c>
    </x:row>
    <x:row r="4319" ht="20" customHeight="1">
      <x:c r="A4319" s="1" t="str">
        <x:v>22666</x:v>
      </x:c>
      <x:c r="B4319" s="9" t="d">
        <x:v>2011-09-25T00:00:00.000Z</x:v>
      </x:c>
      <x:c r="C4319" s="13" t="n">
        <x:v>21</x:v>
      </x:c>
    </x:row>
    <x:row r="4320" ht="20" customHeight="1">
      <x:c r="A4320" s="1" t="str">
        <x:v>22666</x:v>
      </x:c>
      <x:c r="B4320" s="9" t="d">
        <x:v>2011-09-26T00:00:00.000Z</x:v>
      </x:c>
      <x:c r="C4320" s="13" t="n">
        <x:v>211</x:v>
      </x:c>
    </x:row>
    <x:row r="4321" ht="20" customHeight="1">
      <x:c r="A4321" s="1" t="str">
        <x:v>22666</x:v>
      </x:c>
      <x:c r="B4321" s="9" t="d">
        <x:v>2011-09-27T00:00:00.000Z</x:v>
      </x:c>
      <x:c r="C4321" s="13" t="n">
        <x:v>19</x:v>
      </x:c>
    </x:row>
    <x:row r="4322" ht="20" customHeight="1">
      <x:c r="A4322" s="1" t="str">
        <x:v>22666</x:v>
      </x:c>
      <x:c r="B4322" s="9" t="d">
        <x:v>2011-09-28T00:00:00.000Z</x:v>
      </x:c>
      <x:c r="C4322" s="13" t="n">
        <x:v>15</x:v>
      </x:c>
    </x:row>
    <x:row r="4323" ht="20" customHeight="1">
      <x:c r="A4323" s="1" t="str">
        <x:v>22666</x:v>
      </x:c>
      <x:c r="B4323" s="9" t="d">
        <x:v>2011-09-29T00:00:00.000Z</x:v>
      </x:c>
      <x:c r="C4323" s="13" t="n">
        <x:v>50</x:v>
      </x:c>
    </x:row>
    <x:row r="4324" ht="20" customHeight="1">
      <x:c r="A4324" s="1" t="str">
        <x:v>22666</x:v>
      </x:c>
      <x:c r="B4324" s="9" t="d">
        <x:v>2011-09-30T00:00:00.000Z</x:v>
      </x:c>
      <x:c r="C4324" s="13" t="n">
        <x:v>7</x:v>
      </x:c>
    </x:row>
    <x:row r="4325" ht="20" customHeight="1">
      <x:c r="A4325" s="1" t="str">
        <x:v>22666</x:v>
      </x:c>
      <x:c r="B4325" s="9" t="d">
        <x:v>2011-10-01T00:00:00.000Z</x:v>
      </x:c>
      <x:c r="C4325" s="13" t="n">
        <x:v>0</x:v>
      </x:c>
    </x:row>
    <x:row r="4326" ht="20" customHeight="1">
      <x:c r="A4326" s="1" t="str">
        <x:v>22666</x:v>
      </x:c>
      <x:c r="B4326" s="9" t="d">
        <x:v>2011-10-02T00:00:00.000Z</x:v>
      </x:c>
      <x:c r="C4326" s="13" t="n">
        <x:v>1</x:v>
      </x:c>
    </x:row>
    <x:row r="4327" ht="20" customHeight="1">
      <x:c r="A4327" s="1" t="str">
        <x:v>22666</x:v>
      </x:c>
      <x:c r="B4327" s="9" t="d">
        <x:v>2011-10-03T00:00:00.000Z</x:v>
      </x:c>
      <x:c r="C4327" s="13" t="n">
        <x:v>21</x:v>
      </x:c>
    </x:row>
    <x:row r="4328" ht="20" customHeight="1">
      <x:c r="A4328" s="1" t="str">
        <x:v>22666</x:v>
      </x:c>
      <x:c r="B4328" s="9" t="d">
        <x:v>2011-10-04T00:00:00.000Z</x:v>
      </x:c>
      <x:c r="C4328" s="13" t="n">
        <x:v>12</x:v>
      </x:c>
    </x:row>
    <x:row r="4329" ht="20" customHeight="1">
      <x:c r="A4329" s="1" t="str">
        <x:v>22666</x:v>
      </x:c>
      <x:c r="B4329" s="9" t="d">
        <x:v>2011-10-05T00:00:00.000Z</x:v>
      </x:c>
      <x:c r="C4329" s="13" t="n">
        <x:v>3</x:v>
      </x:c>
    </x:row>
    <x:row r="4330" ht="20" customHeight="1">
      <x:c r="A4330" s="1" t="str">
        <x:v>22666</x:v>
      </x:c>
      <x:c r="B4330" s="9" t="d">
        <x:v>2011-10-06T00:00:00.000Z</x:v>
      </x:c>
      <x:c r="C4330" s="13" t="n">
        <x:v>25</x:v>
      </x:c>
    </x:row>
    <x:row r="4331" ht="20" customHeight="1">
      <x:c r="A4331" s="1" t="str">
        <x:v>22666</x:v>
      </x:c>
      <x:c r="B4331" s="9" t="d">
        <x:v>2011-10-07T00:00:00.000Z</x:v>
      </x:c>
      <x:c r="C4331" s="13" t="n">
        <x:v>7</x:v>
      </x:c>
    </x:row>
    <x:row r="4332" ht="20" customHeight="1">
      <x:c r="A4332" s="1" t="str">
        <x:v>22666</x:v>
      </x:c>
      <x:c r="B4332" s="9" t="d">
        <x:v>2011-10-08T00:00:00.000Z</x:v>
      </x:c>
      <x:c r="C4332" s="13" t="n">
        <x:v>0</x:v>
      </x:c>
    </x:row>
    <x:row r="4333" ht="20" customHeight="1">
      <x:c r="A4333" s="1" t="str">
        <x:v>22666</x:v>
      </x:c>
      <x:c r="B4333" s="9" t="d">
        <x:v>2011-10-09T00:00:00.000Z</x:v>
      </x:c>
      <x:c r="C4333" s="13" t="n">
        <x:v>14</x:v>
      </x:c>
    </x:row>
    <x:row r="4334" ht="20" customHeight="1">
      <x:c r="A4334" s="1" t="str">
        <x:v>22666</x:v>
      </x:c>
      <x:c r="B4334" s="9" t="d">
        <x:v>2011-10-10T00:00:00.000Z</x:v>
      </x:c>
      <x:c r="C4334" s="13" t="n">
        <x:v>39</x:v>
      </x:c>
    </x:row>
    <x:row r="4335" ht="20" customHeight="1">
      <x:c r="A4335" s="1" t="str">
        <x:v>22666</x:v>
      </x:c>
      <x:c r="B4335" s="9" t="d">
        <x:v>2011-10-11T00:00:00.000Z</x:v>
      </x:c>
      <x:c r="C4335" s="13" t="n">
        <x:v>13</x:v>
      </x:c>
    </x:row>
    <x:row r="4336" ht="20" customHeight="1">
      <x:c r="A4336" s="1" t="str">
        <x:v>22666</x:v>
      </x:c>
      <x:c r="B4336" s="9" t="d">
        <x:v>2011-10-12T00:00:00.000Z</x:v>
      </x:c>
      <x:c r="C4336" s="13" t="n">
        <x:v>23</x:v>
      </x:c>
    </x:row>
    <x:row r="4337" ht="20" customHeight="1">
      <x:c r="A4337" s="1" t="str">
        <x:v>22666</x:v>
      </x:c>
      <x:c r="B4337" s="9" t="d">
        <x:v>2011-10-13T00:00:00.000Z</x:v>
      </x:c>
      <x:c r="C4337" s="13" t="n">
        <x:v>29</x:v>
      </x:c>
    </x:row>
    <x:row r="4338" ht="20" customHeight="1">
      <x:c r="A4338" s="1" t="str">
        <x:v>22666</x:v>
      </x:c>
      <x:c r="B4338" s="9" t="d">
        <x:v>2011-10-14T00:00:00.000Z</x:v>
      </x:c>
      <x:c r="C4338" s="13" t="n">
        <x:v>14</x:v>
      </x:c>
    </x:row>
    <x:row r="4339" ht="20" customHeight="1">
      <x:c r="A4339" s="1" t="str">
        <x:v>22666</x:v>
      </x:c>
      <x:c r="B4339" s="9" t="d">
        <x:v>2011-10-15T00:00:00.000Z</x:v>
      </x:c>
      <x:c r="C4339" s="13" t="n">
        <x:v>0</x:v>
      </x:c>
    </x:row>
    <x:row r="4340" ht="20" customHeight="1">
      <x:c r="A4340" s="1" t="str">
        <x:v>22666</x:v>
      </x:c>
      <x:c r="B4340" s="9" t="d">
        <x:v>2011-10-16T00:00:00.000Z</x:v>
      </x:c>
      <x:c r="C4340" s="13" t="n">
        <x:v>6</x:v>
      </x:c>
    </x:row>
    <x:row r="4341" ht="20" customHeight="1">
      <x:c r="A4341" s="1" t="str">
        <x:v>22666</x:v>
      </x:c>
      <x:c r="B4341" s="9" t="d">
        <x:v>2011-10-17T00:00:00.000Z</x:v>
      </x:c>
      <x:c r="C4341" s="13" t="n">
        <x:v>11</x:v>
      </x:c>
    </x:row>
    <x:row r="4342" ht="20" customHeight="1">
      <x:c r="A4342" s="1" t="str">
        <x:v>22666</x:v>
      </x:c>
      <x:c r="B4342" s="9" t="d">
        <x:v>2011-10-18T00:00:00.000Z</x:v>
      </x:c>
      <x:c r="C4342" s="13" t="n">
        <x:v>17</x:v>
      </x:c>
    </x:row>
    <x:row r="4343" ht="20" customHeight="1">
      <x:c r="A4343" s="1" t="str">
        <x:v>22666</x:v>
      </x:c>
      <x:c r="B4343" s="9" t="d">
        <x:v>2011-10-19T00:00:00.000Z</x:v>
      </x:c>
      <x:c r="C4343" s="13" t="n">
        <x:v>30</x:v>
      </x:c>
    </x:row>
    <x:row r="4344" ht="20" customHeight="1">
      <x:c r="A4344" s="1" t="str">
        <x:v>22666</x:v>
      </x:c>
      <x:c r="B4344" s="9" t="d">
        <x:v>2011-10-20T00:00:00.000Z</x:v>
      </x:c>
      <x:c r="C4344" s="13" t="n">
        <x:v>6</x:v>
      </x:c>
    </x:row>
    <x:row r="4345" ht="20" customHeight="1">
      <x:c r="A4345" s="1" t="str">
        <x:v>22666</x:v>
      </x:c>
      <x:c r="B4345" s="9" t="d">
        <x:v>2011-10-21T00:00:00.000Z</x:v>
      </x:c>
      <x:c r="C4345" s="13" t="n">
        <x:v>11</x:v>
      </x:c>
    </x:row>
    <x:row r="4346" ht="20" customHeight="1">
      <x:c r="A4346" s="1" t="str">
        <x:v>22666</x:v>
      </x:c>
      <x:c r="B4346" s="9" t="d">
        <x:v>2011-10-22T00:00:00.000Z</x:v>
      </x:c>
      <x:c r="C4346" s="13" t="n">
        <x:v>0</x:v>
      </x:c>
    </x:row>
    <x:row r="4347" ht="20" customHeight="1">
      <x:c r="A4347" s="1" t="str">
        <x:v>22666</x:v>
      </x:c>
      <x:c r="B4347" s="9" t="d">
        <x:v>2011-10-23T00:00:00.000Z</x:v>
      </x:c>
      <x:c r="C4347" s="13" t="n">
        <x:v>11</x:v>
      </x:c>
    </x:row>
    <x:row r="4348" ht="20" customHeight="1">
      <x:c r="A4348" s="1" t="str">
        <x:v>22666</x:v>
      </x:c>
      <x:c r="B4348" s="9" t="d">
        <x:v>2011-10-24T00:00:00.000Z</x:v>
      </x:c>
      <x:c r="C4348" s="13" t="n">
        <x:v>12</x:v>
      </x:c>
    </x:row>
    <x:row r="4349" ht="20" customHeight="1">
      <x:c r="A4349" s="1" t="str">
        <x:v>22666</x:v>
      </x:c>
      <x:c r="B4349" s="9" t="d">
        <x:v>2011-10-25T00:00:00.000Z</x:v>
      </x:c>
      <x:c r="C4349" s="13" t="n">
        <x:v>29</x:v>
      </x:c>
    </x:row>
    <x:row r="4350" ht="20" customHeight="1">
      <x:c r="A4350" s="1" t="str">
        <x:v>22666</x:v>
      </x:c>
      <x:c r="B4350" s="9" t="d">
        <x:v>2011-10-26T00:00:00.000Z</x:v>
      </x:c>
      <x:c r="C4350" s="13" t="n">
        <x:v>4</x:v>
      </x:c>
    </x:row>
    <x:row r="4351" ht="20" customHeight="1">
      <x:c r="A4351" s="1" t="str">
        <x:v>22666</x:v>
      </x:c>
      <x:c r="B4351" s="9" t="d">
        <x:v>2011-10-27T00:00:00.000Z</x:v>
      </x:c>
      <x:c r="C4351" s="13" t="n">
        <x:v>25</x:v>
      </x:c>
    </x:row>
    <x:row r="4352" ht="20" customHeight="1">
      <x:c r="A4352" s="1" t="str">
        <x:v>22666</x:v>
      </x:c>
      <x:c r="B4352" s="9" t="d">
        <x:v>2011-10-28T00:00:00.000Z</x:v>
      </x:c>
      <x:c r="C4352" s="13" t="n">
        <x:v>7</x:v>
      </x:c>
    </x:row>
    <x:row r="4353" ht="20" customHeight="1">
      <x:c r="A4353" s="1" t="str">
        <x:v>22666</x:v>
      </x:c>
      <x:c r="B4353" s="9" t="d">
        <x:v>2011-10-29T00:00:00.000Z</x:v>
      </x:c>
      <x:c r="C4353" s="13" t="n">
        <x:v>0</x:v>
      </x:c>
    </x:row>
    <x:row r="4354" ht="20" customHeight="1">
      <x:c r="A4354" s="1" t="str">
        <x:v>22666</x:v>
      </x:c>
      <x:c r="B4354" s="9" t="d">
        <x:v>2011-10-30T00:00:00.000Z</x:v>
      </x:c>
      <x:c r="C4354" s="13" t="n">
        <x:v>26</x:v>
      </x:c>
    </x:row>
    <x:row r="4355" ht="20" customHeight="1">
      <x:c r="A4355" s="1" t="str">
        <x:v>22666</x:v>
      </x:c>
      <x:c r="B4355" s="9" t="d">
        <x:v>2011-10-31T00:00:00.000Z</x:v>
      </x:c>
      <x:c r="C4355" s="13" t="n">
        <x:v>22</x:v>
      </x:c>
    </x:row>
    <x:row r="4356" ht="20" customHeight="1">
      <x:c r="A4356" s="1" t="str">
        <x:v>22666</x:v>
      </x:c>
      <x:c r="B4356" s="9" t="d">
        <x:v>2011-11-01T00:00:00.000Z</x:v>
      </x:c>
      <x:c r="C4356" s="13" t="n">
        <x:v>41</x:v>
      </x:c>
    </x:row>
    <x:row r="4357" ht="20" customHeight="1">
      <x:c r="A4357" s="1" t="str">
        <x:v>22666</x:v>
      </x:c>
      <x:c r="B4357" s="9" t="d">
        <x:v>2011-11-02T00:00:00.000Z</x:v>
      </x:c>
      <x:c r="C4357" s="13" t="n">
        <x:v>56</x:v>
      </x:c>
    </x:row>
    <x:row r="4358" ht="20" customHeight="1">
      <x:c r="A4358" s="1" t="str">
        <x:v>22666</x:v>
      </x:c>
      <x:c r="B4358" s="9" t="d">
        <x:v>2011-11-03T00:00:00.000Z</x:v>
      </x:c>
      <x:c r="C4358" s="13" t="n">
        <x:v>355</x:v>
      </x:c>
    </x:row>
    <x:row r="4359" ht="20" customHeight="1">
      <x:c r="A4359" s="1" t="str">
        <x:v>22666</x:v>
      </x:c>
      <x:c r="B4359" s="9" t="d">
        <x:v>2011-11-04T00:00:00.000Z</x:v>
      </x:c>
      <x:c r="C4359" s="13" t="n">
        <x:v>7</x:v>
      </x:c>
    </x:row>
    <x:row r="4360" ht="20" customHeight="1">
      <x:c r="A4360" s="1" t="str">
        <x:v>22666</x:v>
      </x:c>
      <x:c r="B4360" s="9" t="d">
        <x:v>2011-11-05T00:00:00.000Z</x:v>
      </x:c>
      <x:c r="C4360" s="13" t="n">
        <x:v>0</x:v>
      </x:c>
    </x:row>
    <x:row r="4361" ht="20" customHeight="1">
      <x:c r="A4361" s="1" t="str">
        <x:v>22666</x:v>
      </x:c>
      <x:c r="B4361" s="9" t="d">
        <x:v>2011-11-06T00:00:00.000Z</x:v>
      </x:c>
      <x:c r="C4361" s="13" t="n">
        <x:v>26</x:v>
      </x:c>
    </x:row>
    <x:row r="4362" ht="20" customHeight="1">
      <x:c r="A4362" s="1" t="str">
        <x:v>22666</x:v>
      </x:c>
      <x:c r="B4362" s="9" t="d">
        <x:v>2011-11-07T00:00:00.000Z</x:v>
      </x:c>
      <x:c r="C4362" s="13" t="n">
        <x:v>9</x:v>
      </x:c>
    </x:row>
    <x:row r="4363" ht="20" customHeight="1">
      <x:c r="A4363" s="1" t="str">
        <x:v>22666</x:v>
      </x:c>
      <x:c r="B4363" s="9" t="d">
        <x:v>2011-11-08T00:00:00.000Z</x:v>
      </x:c>
      <x:c r="C4363" s="13" t="n">
        <x:v>23</x:v>
      </x:c>
    </x:row>
    <x:row r="4364" ht="20" customHeight="1">
      <x:c r="A4364" s="1" t="str">
        <x:v>22666</x:v>
      </x:c>
      <x:c r="B4364" s="9" t="d">
        <x:v>2011-11-09T00:00:00.000Z</x:v>
      </x:c>
      <x:c r="C4364" s="13" t="n">
        <x:v>7</x:v>
      </x:c>
    </x:row>
    <x:row r="4365" ht="20" customHeight="1">
      <x:c r="A4365" s="1" t="str">
        <x:v>22666</x:v>
      </x:c>
      <x:c r="B4365" s="9" t="d">
        <x:v>2011-11-10T00:00:00.000Z</x:v>
      </x:c>
      <x:c r="C4365" s="13" t="n">
        <x:v>215</x:v>
      </x:c>
    </x:row>
    <x:row r="4366" ht="20" customHeight="1">
      <x:c r="A4366" s="1" t="str">
        <x:v>22666</x:v>
      </x:c>
      <x:c r="B4366" s="9" t="d">
        <x:v>2011-11-11T00:00:00.000Z</x:v>
      </x:c>
      <x:c r="C4366" s="13" t="n">
        <x:v>13</x:v>
      </x:c>
    </x:row>
    <x:row r="4367" ht="20" customHeight="1">
      <x:c r="A4367" s="1" t="str">
        <x:v>22666</x:v>
      </x:c>
      <x:c r="B4367" s="9" t="d">
        <x:v>2011-11-12T00:00:00.000Z</x:v>
      </x:c>
      <x:c r="C4367" s="13" t="n">
        <x:v>0</x:v>
      </x:c>
    </x:row>
    <x:row r="4368" ht="20" customHeight="1">
      <x:c r="A4368" s="1" t="str">
        <x:v>22666</x:v>
      </x:c>
      <x:c r="B4368" s="9" t="d">
        <x:v>2011-11-13T00:00:00.000Z</x:v>
      </x:c>
      <x:c r="C4368" s="13" t="n">
        <x:v>28</x:v>
      </x:c>
    </x:row>
    <x:row r="4369" ht="20" customHeight="1">
      <x:c r="A4369" s="1" t="str">
        <x:v>22666</x:v>
      </x:c>
      <x:c r="B4369" s="9" t="d">
        <x:v>2011-11-14T00:00:00.000Z</x:v>
      </x:c>
      <x:c r="C4369" s="13" t="n">
        <x:v>5</x:v>
      </x:c>
    </x:row>
    <x:row r="4370" ht="20" customHeight="1">
      <x:c r="A4370" s="1" t="str">
        <x:v>22666</x:v>
      </x:c>
      <x:c r="B4370" s="9" t="d">
        <x:v>2011-11-15T00:00:00.000Z</x:v>
      </x:c>
      <x:c r="C4370" s="13" t="n">
        <x:v>10</x:v>
      </x:c>
    </x:row>
    <x:row r="4371" ht="20" customHeight="1">
      <x:c r="A4371" s="1" t="str">
        <x:v>22666</x:v>
      </x:c>
      <x:c r="B4371" s="9" t="d">
        <x:v>2011-11-16T00:00:00.000Z</x:v>
      </x:c>
      <x:c r="C4371" s="13" t="n">
        <x:v>43</x:v>
      </x:c>
    </x:row>
    <x:row r="4372" ht="20" customHeight="1">
      <x:c r="A4372" s="1" t="str">
        <x:v>22666</x:v>
      </x:c>
      <x:c r="B4372" s="9" t="d">
        <x:v>2011-11-17T00:00:00.000Z</x:v>
      </x:c>
      <x:c r="C4372" s="13" t="n">
        <x:v>2</x:v>
      </x:c>
    </x:row>
    <x:row r="4373" ht="20" customHeight="1">
      <x:c r="A4373" s="1" t="str">
        <x:v>22666</x:v>
      </x:c>
      <x:c r="B4373" s="9" t="d">
        <x:v>2011-11-18T00:00:00.000Z</x:v>
      </x:c>
      <x:c r="C4373" s="13" t="n">
        <x:v>36</x:v>
      </x:c>
    </x:row>
    <x:row r="4374" ht="20" customHeight="1">
      <x:c r="A4374" s="1" t="str">
        <x:v>22666</x:v>
      </x:c>
      <x:c r="B4374" s="9" t="d">
        <x:v>2011-11-19T00:00:00.000Z</x:v>
      </x:c>
      <x:c r="C4374" s="13" t="n">
        <x:v>0</x:v>
      </x:c>
    </x:row>
    <x:row r="4375" ht="20" customHeight="1">
      <x:c r="A4375" s="1" t="str">
        <x:v>22666</x:v>
      </x:c>
      <x:c r="B4375" s="9" t="d">
        <x:v>2011-11-20T00:00:00.000Z</x:v>
      </x:c>
      <x:c r="C4375" s="13" t="n">
        <x:v>23</x:v>
      </x:c>
    </x:row>
    <x:row r="4376" ht="20" customHeight="1">
      <x:c r="A4376" s="1" t="str">
        <x:v>22666</x:v>
      </x:c>
      <x:c r="B4376" s="9" t="d">
        <x:v>2011-11-21T00:00:00.000Z</x:v>
      </x:c>
      <x:c r="C4376" s="13" t="n">
        <x:v>32</x:v>
      </x:c>
    </x:row>
    <x:row r="4377" ht="20" customHeight="1">
      <x:c r="A4377" s="1" t="str">
        <x:v>22666</x:v>
      </x:c>
      <x:c r="B4377" s="9" t="d">
        <x:v>2011-11-22T00:00:00.000Z</x:v>
      </x:c>
      <x:c r="C4377" s="13" t="n">
        <x:v>37</x:v>
      </x:c>
    </x:row>
    <x:row r="4378" ht="20" customHeight="1">
      <x:c r="A4378" s="1" t="str">
        <x:v>22666</x:v>
      </x:c>
      <x:c r="B4378" s="9" t="d">
        <x:v>2011-11-23T00:00:00.000Z</x:v>
      </x:c>
      <x:c r="C4378" s="13" t="n">
        <x:v>75</x:v>
      </x:c>
    </x:row>
    <x:row r="4379" ht="20" customHeight="1">
      <x:c r="A4379" s="1" t="str">
        <x:v>22666</x:v>
      </x:c>
      <x:c r="B4379" s="9" t="d">
        <x:v>2011-11-24T00:00:00.000Z</x:v>
      </x:c>
      <x:c r="C4379" s="13" t="n">
        <x:v>11</x:v>
      </x:c>
    </x:row>
    <x:row r="4380" ht="20" customHeight="1">
      <x:c r="A4380" s="1" t="str">
        <x:v>22666</x:v>
      </x:c>
      <x:c r="B4380" s="9" t="d">
        <x:v>2011-11-25T00:00:00.000Z</x:v>
      </x:c>
      <x:c r="C4380" s="13" t="n">
        <x:v>25</x:v>
      </x:c>
    </x:row>
    <x:row r="4381" ht="20" customHeight="1">
      <x:c r="A4381" s="1" t="str">
        <x:v>22666</x:v>
      </x:c>
      <x:c r="B4381" s="9" t="d">
        <x:v>2011-11-26T00:00:00.000Z</x:v>
      </x:c>
      <x:c r="C4381" s="13" t="n">
        <x:v>0</x:v>
      </x:c>
    </x:row>
    <x:row r="4382" ht="20" customHeight="1">
      <x:c r="A4382" s="1" t="str">
        <x:v>22666</x:v>
      </x:c>
      <x:c r="B4382" s="9" t="d">
        <x:v>2011-11-27T00:00:00.000Z</x:v>
      </x:c>
      <x:c r="C4382" s="13" t="n">
        <x:v>21</x:v>
      </x:c>
    </x:row>
    <x:row r="4383" ht="20" customHeight="1">
      <x:c r="A4383" s="1" t="str">
        <x:v>22666</x:v>
      </x:c>
      <x:c r="B4383" s="9" t="d">
        <x:v>2011-11-28T00:00:00.000Z</x:v>
      </x:c>
      <x:c r="C4383" s="13" t="n">
        <x:v>22</x:v>
      </x:c>
    </x:row>
    <x:row r="4384" ht="20" customHeight="1">
      <x:c r="A4384" s="1" t="str">
        <x:v>22666</x:v>
      </x:c>
      <x:c r="B4384" s="9" t="d">
        <x:v>2011-11-29T00:00:00.000Z</x:v>
      </x:c>
      <x:c r="C4384" s="13" t="n">
        <x:v>37</x:v>
      </x:c>
    </x:row>
    <x:row r="4385" ht="20" customHeight="1">
      <x:c r="A4385" s="1" t="str">
        <x:v>22666</x:v>
      </x:c>
      <x:c r="B4385" s="9" t="d">
        <x:v>2011-11-30T00:00:00.000Z</x:v>
      </x:c>
      <x:c r="C4385" s="13" t="n">
        <x:v>60</x:v>
      </x:c>
    </x:row>
    <x:row r="4386" ht="20" customHeight="1">
      <x:c r="A4386" s="1" t="str">
        <x:v>22720</x:v>
      </x:c>
      <x:c r="B4386" s="9" t="d">
        <x:v>2010-12-01T00:00:00.000Z</x:v>
      </x:c>
      <x:c r="C4386" s="13" t="n">
        <x:v>0</x:v>
      </x:c>
    </x:row>
    <x:row r="4387" ht="20" customHeight="1">
      <x:c r="A4387" s="1" t="str">
        <x:v>22720</x:v>
      </x:c>
      <x:c r="B4387" s="9" t="d">
        <x:v>2010-12-02T00:00:00.000Z</x:v>
      </x:c>
      <x:c r="C4387" s="13" t="n">
        <x:v>0</x:v>
      </x:c>
    </x:row>
    <x:row r="4388" ht="20" customHeight="1">
      <x:c r="A4388" s="1" t="str">
        <x:v>22720</x:v>
      </x:c>
      <x:c r="B4388" s="9" t="d">
        <x:v>2010-12-03T00:00:00.000Z</x:v>
      </x:c>
      <x:c r="C4388" s="13" t="n">
        <x:v>0</x:v>
      </x:c>
    </x:row>
    <x:row r="4389" ht="20" customHeight="1">
      <x:c r="A4389" s="1" t="str">
        <x:v>22720</x:v>
      </x:c>
      <x:c r="B4389" s="9" t="d">
        <x:v>2010-12-04T00:00:00.000Z</x:v>
      </x:c>
      <x:c r="C4389" s="13" t="n">
        <x:v>0</x:v>
      </x:c>
    </x:row>
    <x:row r="4390" ht="20" customHeight="1">
      <x:c r="A4390" s="1" t="str">
        <x:v>22720</x:v>
      </x:c>
      <x:c r="B4390" s="9" t="d">
        <x:v>2010-12-05T00:00:00.000Z</x:v>
      </x:c>
      <x:c r="C4390" s="13" t="n">
        <x:v>0</x:v>
      </x:c>
    </x:row>
    <x:row r="4391" ht="20" customHeight="1">
      <x:c r="A4391" s="1" t="str">
        <x:v>22720</x:v>
      </x:c>
      <x:c r="B4391" s="9" t="d">
        <x:v>2010-12-06T00:00:00.000Z</x:v>
      </x:c>
      <x:c r="C4391" s="13" t="n">
        <x:v>0</x:v>
      </x:c>
    </x:row>
    <x:row r="4392" ht="20" customHeight="1">
      <x:c r="A4392" s="1" t="str">
        <x:v>22720</x:v>
      </x:c>
      <x:c r="B4392" s="9" t="d">
        <x:v>2010-12-07T00:00:00.000Z</x:v>
      </x:c>
      <x:c r="C4392" s="13" t="n">
        <x:v>0</x:v>
      </x:c>
    </x:row>
    <x:row r="4393" ht="20" customHeight="1">
      <x:c r="A4393" s="1" t="str">
        <x:v>22720</x:v>
      </x:c>
      <x:c r="B4393" s="9" t="d">
        <x:v>2010-12-08T00:00:00.000Z</x:v>
      </x:c>
      <x:c r="C4393" s="13" t="n">
        <x:v>0</x:v>
      </x:c>
    </x:row>
    <x:row r="4394" ht="20" customHeight="1">
      <x:c r="A4394" s="1" t="str">
        <x:v>22720</x:v>
      </x:c>
      <x:c r="B4394" s="9" t="d">
        <x:v>2010-12-09T00:00:00.000Z</x:v>
      </x:c>
      <x:c r="C4394" s="13" t="n">
        <x:v>0</x:v>
      </x:c>
    </x:row>
    <x:row r="4395" ht="20" customHeight="1">
      <x:c r="A4395" s="1" t="str">
        <x:v>22720</x:v>
      </x:c>
      <x:c r="B4395" s="9" t="d">
        <x:v>2010-12-10T00:00:00.000Z</x:v>
      </x:c>
      <x:c r="C4395" s="13" t="n">
        <x:v>0</x:v>
      </x:c>
    </x:row>
    <x:row r="4396" ht="20" customHeight="1">
      <x:c r="A4396" s="1" t="str">
        <x:v>22720</x:v>
      </x:c>
      <x:c r="B4396" s="9" t="d">
        <x:v>2010-12-11T00:00:00.000Z</x:v>
      </x:c>
      <x:c r="C4396" s="13" t="n">
        <x:v>0</x:v>
      </x:c>
    </x:row>
    <x:row r="4397" ht="20" customHeight="1">
      <x:c r="A4397" s="1" t="str">
        <x:v>22720</x:v>
      </x:c>
      <x:c r="B4397" s="9" t="d">
        <x:v>2010-12-12T00:00:00.000Z</x:v>
      </x:c>
      <x:c r="C4397" s="13" t="n">
        <x:v>0</x:v>
      </x:c>
    </x:row>
    <x:row r="4398" ht="20" customHeight="1">
      <x:c r="A4398" s="1" t="str">
        <x:v>22720</x:v>
      </x:c>
      <x:c r="B4398" s="9" t="d">
        <x:v>2010-12-13T00:00:00.000Z</x:v>
      </x:c>
      <x:c r="C4398" s="13" t="n">
        <x:v>6</x:v>
      </x:c>
    </x:row>
    <x:row r="4399" ht="20" customHeight="1">
      <x:c r="A4399" s="1" t="str">
        <x:v>22720</x:v>
      </x:c>
      <x:c r="B4399" s="9" t="d">
        <x:v>2010-12-14T00:00:00.000Z</x:v>
      </x:c>
      <x:c r="C4399" s="13" t="n">
        <x:v>47</x:v>
      </x:c>
    </x:row>
    <x:row r="4400" ht="20" customHeight="1">
      <x:c r="A4400" s="1" t="str">
        <x:v>22720</x:v>
      </x:c>
      <x:c r="B4400" s="9" t="d">
        <x:v>2010-12-15T00:00:00.000Z</x:v>
      </x:c>
      <x:c r="C4400" s="13" t="n">
        <x:v>41</x:v>
      </x:c>
    </x:row>
    <x:row r="4401" ht="20" customHeight="1">
      <x:c r="A4401" s="1" t="str">
        <x:v>22720</x:v>
      </x:c>
      <x:c r="B4401" s="9" t="d">
        <x:v>2010-12-16T00:00:00.000Z</x:v>
      </x:c>
      <x:c r="C4401" s="13" t="n">
        <x:v>36</x:v>
      </x:c>
    </x:row>
    <x:row r="4402" ht="20" customHeight="1">
      <x:c r="A4402" s="1" t="str">
        <x:v>22720</x:v>
      </x:c>
      <x:c r="B4402" s="9" t="d">
        <x:v>2010-12-17T00:00:00.000Z</x:v>
      </x:c>
      <x:c r="C4402" s="13" t="n">
        <x:v>64</x:v>
      </x:c>
    </x:row>
    <x:row r="4403" ht="20" customHeight="1">
      <x:c r="A4403" s="1" t="str">
        <x:v>22720</x:v>
      </x:c>
      <x:c r="B4403" s="9" t="d">
        <x:v>2010-12-18T00:00:00.000Z</x:v>
      </x:c>
      <x:c r="C4403" s="13" t="n">
        <x:v>0</x:v>
      </x:c>
    </x:row>
    <x:row r="4404" ht="20" customHeight="1">
      <x:c r="A4404" s="1" t="str">
        <x:v>22720</x:v>
      </x:c>
      <x:c r="B4404" s="9" t="d">
        <x:v>2010-12-19T00:00:00.000Z</x:v>
      </x:c>
      <x:c r="C4404" s="13" t="n">
        <x:v>0</x:v>
      </x:c>
    </x:row>
    <x:row r="4405" ht="20" customHeight="1">
      <x:c r="A4405" s="1" t="str">
        <x:v>22720</x:v>
      </x:c>
      <x:c r="B4405" s="9" t="d">
        <x:v>2010-12-20T00:00:00.000Z</x:v>
      </x:c>
      <x:c r="C4405" s="13" t="n">
        <x:v>32</x:v>
      </x:c>
    </x:row>
    <x:row r="4406" ht="20" customHeight="1">
      <x:c r="A4406" s="1" t="str">
        <x:v>22720</x:v>
      </x:c>
      <x:c r="B4406" s="9" t="d">
        <x:v>2010-12-21T00:00:00.000Z</x:v>
      </x:c>
      <x:c r="C4406" s="13" t="n">
        <x:v>11</x:v>
      </x:c>
    </x:row>
    <x:row r="4407" ht="20" customHeight="1">
      <x:c r="A4407" s="1" t="str">
        <x:v>22720</x:v>
      </x:c>
      <x:c r="B4407" s="9" t="d">
        <x:v>2010-12-22T00:00:00.000Z</x:v>
      </x:c>
      <x:c r="C4407" s="13" t="n">
        <x:v>13</x:v>
      </x:c>
    </x:row>
    <x:row r="4408" ht="20" customHeight="1">
      <x:c r="A4408" s="1" t="str">
        <x:v>22720</x:v>
      </x:c>
      <x:c r="B4408" s="9" t="d">
        <x:v>2010-12-23T00:00:00.000Z</x:v>
      </x:c>
      <x:c r="C4408" s="13" t="n">
        <x:v>4</x:v>
      </x:c>
    </x:row>
    <x:row r="4409" ht="20" customHeight="1">
      <x:c r="A4409" s="1" t="str">
        <x:v>22720</x:v>
      </x:c>
      <x:c r="B4409" s="9" t="d">
        <x:v>2010-12-24T00:00:00.000Z</x:v>
      </x:c>
      <x:c r="C4409" s="13" t="n">
        <x:v>0</x:v>
      </x:c>
    </x:row>
    <x:row r="4410" ht="20" customHeight="1">
      <x:c r="A4410" s="1" t="str">
        <x:v>22720</x:v>
      </x:c>
      <x:c r="B4410" s="9" t="d">
        <x:v>2010-12-25T00:00:00.000Z</x:v>
      </x:c>
      <x:c r="C4410" s="13" t="n">
        <x:v>0</x:v>
      </x:c>
    </x:row>
    <x:row r="4411" ht="20" customHeight="1">
      <x:c r="A4411" s="1" t="str">
        <x:v>22720</x:v>
      </x:c>
      <x:c r="B4411" s="9" t="d">
        <x:v>2010-12-26T00:00:00.000Z</x:v>
      </x:c>
      <x:c r="C4411" s="13" t="n">
        <x:v>0</x:v>
      </x:c>
    </x:row>
    <x:row r="4412" ht="20" customHeight="1">
      <x:c r="A4412" s="1" t="str">
        <x:v>22720</x:v>
      </x:c>
      <x:c r="B4412" s="9" t="d">
        <x:v>2010-12-27T00:00:00.000Z</x:v>
      </x:c>
      <x:c r="C4412" s="13" t="n">
        <x:v>0</x:v>
      </x:c>
    </x:row>
    <x:row r="4413" ht="20" customHeight="1">
      <x:c r="A4413" s="1" t="str">
        <x:v>22720</x:v>
      </x:c>
      <x:c r="B4413" s="9" t="d">
        <x:v>2010-12-28T00:00:00.000Z</x:v>
      </x:c>
      <x:c r="C4413" s="13" t="n">
        <x:v>0</x:v>
      </x:c>
    </x:row>
    <x:row r="4414" ht="20" customHeight="1">
      <x:c r="A4414" s="1" t="str">
        <x:v>22720</x:v>
      </x:c>
      <x:c r="B4414" s="9" t="d">
        <x:v>2010-12-29T00:00:00.000Z</x:v>
      </x:c>
      <x:c r="C4414" s="13" t="n">
        <x:v>0</x:v>
      </x:c>
    </x:row>
    <x:row r="4415" ht="20" customHeight="1">
      <x:c r="A4415" s="1" t="str">
        <x:v>22720</x:v>
      </x:c>
      <x:c r="B4415" s="9" t="d">
        <x:v>2010-12-30T00:00:00.000Z</x:v>
      </x:c>
      <x:c r="C4415" s="13" t="n">
        <x:v>0</x:v>
      </x:c>
    </x:row>
    <x:row r="4416" ht="20" customHeight="1">
      <x:c r="A4416" s="1" t="str">
        <x:v>22720</x:v>
      </x:c>
      <x:c r="B4416" s="9" t="d">
        <x:v>2010-12-31T00:00:00.000Z</x:v>
      </x:c>
      <x:c r="C4416" s="13" t="n">
        <x:v>0</x:v>
      </x:c>
    </x:row>
    <x:row r="4417" ht="20" customHeight="1">
      <x:c r="A4417" s="1" t="str">
        <x:v>22720</x:v>
      </x:c>
      <x:c r="B4417" s="9" t="d">
        <x:v>2011-01-01T00:00:00.000Z</x:v>
      </x:c>
      <x:c r="C4417" s="13" t="n">
        <x:v>0</x:v>
      </x:c>
    </x:row>
    <x:row r="4418" ht="20" customHeight="1">
      <x:c r="A4418" s="1" t="str">
        <x:v>22720</x:v>
      </x:c>
      <x:c r="B4418" s="9" t="d">
        <x:v>2011-01-02T00:00:00.000Z</x:v>
      </x:c>
      <x:c r="C4418" s="13" t="n">
        <x:v>0</x:v>
      </x:c>
    </x:row>
    <x:row r="4419" ht="20" customHeight="1">
      <x:c r="A4419" s="1" t="str">
        <x:v>22720</x:v>
      </x:c>
      <x:c r="B4419" s="9" t="d">
        <x:v>2011-01-03T00:00:00.000Z</x:v>
      </x:c>
      <x:c r="C4419" s="13" t="n">
        <x:v>0</x:v>
      </x:c>
    </x:row>
    <x:row r="4420" ht="20" customHeight="1">
      <x:c r="A4420" s="1" t="str">
        <x:v>22720</x:v>
      </x:c>
      <x:c r="B4420" s="9" t="d">
        <x:v>2011-01-04T00:00:00.000Z</x:v>
      </x:c>
      <x:c r="C4420" s="13" t="n">
        <x:v>51</x:v>
      </x:c>
    </x:row>
    <x:row r="4421" ht="20" customHeight="1">
      <x:c r="A4421" s="1" t="str">
        <x:v>22720</x:v>
      </x:c>
      <x:c r="B4421" s="9" t="d">
        <x:v>2011-01-05T00:00:00.000Z</x:v>
      </x:c>
      <x:c r="C4421" s="13" t="n">
        <x:v>34</x:v>
      </x:c>
    </x:row>
    <x:row r="4422" ht="20" customHeight="1">
      <x:c r="A4422" s="1" t="str">
        <x:v>22720</x:v>
      </x:c>
      <x:c r="B4422" s="9" t="d">
        <x:v>2011-01-06T00:00:00.000Z</x:v>
      </x:c>
      <x:c r="C4422" s="13" t="n">
        <x:v>269</x:v>
      </x:c>
    </x:row>
    <x:row r="4423" ht="20" customHeight="1">
      <x:c r="A4423" s="1" t="str">
        <x:v>22720</x:v>
      </x:c>
      <x:c r="B4423" s="9" t="d">
        <x:v>2011-01-07T00:00:00.000Z</x:v>
      </x:c>
      <x:c r="C4423" s="13" t="n">
        <x:v>39</x:v>
      </x:c>
    </x:row>
    <x:row r="4424" ht="20" customHeight="1">
      <x:c r="A4424" s="1" t="str">
        <x:v>22720</x:v>
      </x:c>
      <x:c r="B4424" s="9" t="d">
        <x:v>2011-01-08T00:00:00.000Z</x:v>
      </x:c>
      <x:c r="C4424" s="13" t="n">
        <x:v>0</x:v>
      </x:c>
    </x:row>
    <x:row r="4425" ht="20" customHeight="1">
      <x:c r="A4425" s="1" t="str">
        <x:v>22720</x:v>
      </x:c>
      <x:c r="B4425" s="9" t="d">
        <x:v>2011-01-09T00:00:00.000Z</x:v>
      </x:c>
      <x:c r="C4425" s="13" t="n">
        <x:v>19</x:v>
      </x:c>
    </x:row>
    <x:row r="4426" ht="20" customHeight="1">
      <x:c r="A4426" s="1" t="str">
        <x:v>22720</x:v>
      </x:c>
      <x:c r="B4426" s="9" t="d">
        <x:v>2011-01-10T00:00:00.000Z</x:v>
      </x:c>
      <x:c r="C4426" s="13" t="n">
        <x:v>21</x:v>
      </x:c>
    </x:row>
    <x:row r="4427" ht="20" customHeight="1">
      <x:c r="A4427" s="1" t="str">
        <x:v>22720</x:v>
      </x:c>
      <x:c r="B4427" s="9" t="d">
        <x:v>2011-01-11T00:00:00.000Z</x:v>
      </x:c>
      <x:c r="C4427" s="13" t="n">
        <x:v>33</x:v>
      </x:c>
    </x:row>
    <x:row r="4428" ht="20" customHeight="1">
      <x:c r="A4428" s="1" t="str">
        <x:v>22720</x:v>
      </x:c>
      <x:c r="B4428" s="9" t="d">
        <x:v>2011-01-12T00:00:00.000Z</x:v>
      </x:c>
      <x:c r="C4428" s="13" t="n">
        <x:v>26</x:v>
      </x:c>
    </x:row>
    <x:row r="4429" ht="20" customHeight="1">
      <x:c r="A4429" s="1" t="str">
        <x:v>22720</x:v>
      </x:c>
      <x:c r="B4429" s="9" t="d">
        <x:v>2011-01-13T00:00:00.000Z</x:v>
      </x:c>
      <x:c r="C4429" s="13" t="n">
        <x:v>8</x:v>
      </x:c>
    </x:row>
    <x:row r="4430" ht="20" customHeight="1">
      <x:c r="A4430" s="1" t="str">
        <x:v>22720</x:v>
      </x:c>
      <x:c r="B4430" s="9" t="d">
        <x:v>2011-01-14T00:00:00.000Z</x:v>
      </x:c>
      <x:c r="C4430" s="13" t="n">
        <x:v>150</x:v>
      </x:c>
    </x:row>
    <x:row r="4431" ht="20" customHeight="1">
      <x:c r="A4431" s="1" t="str">
        <x:v>22720</x:v>
      </x:c>
      <x:c r="B4431" s="9" t="d">
        <x:v>2011-01-15T00:00:00.000Z</x:v>
      </x:c>
      <x:c r="C4431" s="13" t="n">
        <x:v>0</x:v>
      </x:c>
    </x:row>
    <x:row r="4432" ht="20" customHeight="1">
      <x:c r="A4432" s="1" t="str">
        <x:v>22720</x:v>
      </x:c>
      <x:c r="B4432" s="9" t="d">
        <x:v>2011-01-16T00:00:00.000Z</x:v>
      </x:c>
      <x:c r="C4432" s="13" t="n">
        <x:v>11</x:v>
      </x:c>
    </x:row>
    <x:row r="4433" ht="20" customHeight="1">
      <x:c r="A4433" s="1" t="str">
        <x:v>22720</x:v>
      </x:c>
      <x:c r="B4433" s="9" t="d">
        <x:v>2011-01-17T00:00:00.000Z</x:v>
      </x:c>
      <x:c r="C4433" s="13" t="n">
        <x:v>32</x:v>
      </x:c>
    </x:row>
    <x:row r="4434" ht="20" customHeight="1">
      <x:c r="A4434" s="1" t="str">
        <x:v>22720</x:v>
      </x:c>
      <x:c r="B4434" s="9" t="d">
        <x:v>2011-01-18T00:00:00.000Z</x:v>
      </x:c>
      <x:c r="C4434" s="13" t="n">
        <x:v>6</x:v>
      </x:c>
    </x:row>
    <x:row r="4435" ht="20" customHeight="1">
      <x:c r="A4435" s="1" t="str">
        <x:v>22720</x:v>
      </x:c>
      <x:c r="B4435" s="9" t="d">
        <x:v>2011-01-19T00:00:00.000Z</x:v>
      </x:c>
      <x:c r="C4435" s="13" t="n">
        <x:v>4</x:v>
      </x:c>
    </x:row>
    <x:row r="4436" ht="20" customHeight="1">
      <x:c r="A4436" s="1" t="str">
        <x:v>22720</x:v>
      </x:c>
      <x:c r="B4436" s="9" t="d">
        <x:v>2011-01-20T00:00:00.000Z</x:v>
      </x:c>
      <x:c r="C4436" s="13" t="n">
        <x:v>54</x:v>
      </x:c>
    </x:row>
    <x:row r="4437" ht="20" customHeight="1">
      <x:c r="A4437" s="1" t="str">
        <x:v>22720</x:v>
      </x:c>
      <x:c r="B4437" s="9" t="d">
        <x:v>2011-01-21T00:00:00.000Z</x:v>
      </x:c>
      <x:c r="C4437" s="13" t="n">
        <x:v>73</x:v>
      </x:c>
    </x:row>
    <x:row r="4438" ht="20" customHeight="1">
      <x:c r="A4438" s="1" t="str">
        <x:v>22720</x:v>
      </x:c>
      <x:c r="B4438" s="9" t="d">
        <x:v>2011-01-22T00:00:00.000Z</x:v>
      </x:c>
      <x:c r="C4438" s="13" t="n">
        <x:v>0</x:v>
      </x:c>
    </x:row>
    <x:row r="4439" ht="20" customHeight="1">
      <x:c r="A4439" s="1" t="str">
        <x:v>22720</x:v>
      </x:c>
      <x:c r="B4439" s="9" t="d">
        <x:v>2011-01-23T00:00:00.000Z</x:v>
      </x:c>
      <x:c r="C4439" s="13" t="n">
        <x:v>19</x:v>
      </x:c>
    </x:row>
    <x:row r="4440" ht="20" customHeight="1">
      <x:c r="A4440" s="1" t="str">
        <x:v>22720</x:v>
      </x:c>
      <x:c r="B4440" s="9" t="d">
        <x:v>2011-01-24T00:00:00.000Z</x:v>
      </x:c>
      <x:c r="C4440" s="13" t="n">
        <x:v>71</x:v>
      </x:c>
    </x:row>
    <x:row r="4441" ht="20" customHeight="1">
      <x:c r="A4441" s="1" t="str">
        <x:v>22720</x:v>
      </x:c>
      <x:c r="B4441" s="9" t="d">
        <x:v>2011-01-25T00:00:00.000Z</x:v>
      </x:c>
      <x:c r="C4441" s="13" t="n">
        <x:v>11</x:v>
      </x:c>
    </x:row>
    <x:row r="4442" ht="20" customHeight="1">
      <x:c r="A4442" s="1" t="str">
        <x:v>22720</x:v>
      </x:c>
      <x:c r="B4442" s="9" t="d">
        <x:v>2011-01-26T00:00:00.000Z</x:v>
      </x:c>
      <x:c r="C4442" s="13" t="n">
        <x:v>16</x:v>
      </x:c>
    </x:row>
    <x:row r="4443" ht="20" customHeight="1">
      <x:c r="A4443" s="1" t="str">
        <x:v>22720</x:v>
      </x:c>
      <x:c r="B4443" s="9" t="d">
        <x:v>2011-01-27T00:00:00.000Z</x:v>
      </x:c>
      <x:c r="C4443" s="13" t="n">
        <x:v>42</x:v>
      </x:c>
    </x:row>
    <x:row r="4444" ht="20" customHeight="1">
      <x:c r="A4444" s="1" t="str">
        <x:v>22720</x:v>
      </x:c>
      <x:c r="B4444" s="9" t="d">
        <x:v>2011-01-28T00:00:00.000Z</x:v>
      </x:c>
      <x:c r="C4444" s="13" t="n">
        <x:v>80</x:v>
      </x:c>
    </x:row>
    <x:row r="4445" ht="20" customHeight="1">
      <x:c r="A4445" s="1" t="str">
        <x:v>22720</x:v>
      </x:c>
      <x:c r="B4445" s="9" t="d">
        <x:v>2011-01-29T00:00:00.000Z</x:v>
      </x:c>
      <x:c r="C4445" s="13" t="n">
        <x:v>0</x:v>
      </x:c>
    </x:row>
    <x:row r="4446" ht="20" customHeight="1">
      <x:c r="A4446" s="1" t="str">
        <x:v>22720</x:v>
      </x:c>
      <x:c r="B4446" s="9" t="d">
        <x:v>2011-01-30T00:00:00.000Z</x:v>
      </x:c>
      <x:c r="C4446" s="13" t="n">
        <x:v>17</x:v>
      </x:c>
    </x:row>
    <x:row r="4447" ht="20" customHeight="1">
      <x:c r="A4447" s="1" t="str">
        <x:v>22720</x:v>
      </x:c>
      <x:c r="B4447" s="9" t="d">
        <x:v>2011-01-31T00:00:00.000Z</x:v>
      </x:c>
      <x:c r="C4447" s="13" t="n">
        <x:v>16</x:v>
      </x:c>
    </x:row>
    <x:row r="4448" ht="20" customHeight="1">
      <x:c r="A4448" s="1" t="str">
        <x:v>22720</x:v>
      </x:c>
      <x:c r="B4448" s="9" t="d">
        <x:v>2011-02-01T00:00:00.000Z</x:v>
      </x:c>
      <x:c r="C4448" s="13" t="n">
        <x:v>22</x:v>
      </x:c>
    </x:row>
    <x:row r="4449" ht="20" customHeight="1">
      <x:c r="A4449" s="1" t="str">
        <x:v>22720</x:v>
      </x:c>
      <x:c r="B4449" s="9" t="d">
        <x:v>2011-02-02T00:00:00.000Z</x:v>
      </x:c>
      <x:c r="C4449" s="13" t="n">
        <x:v>39</x:v>
      </x:c>
    </x:row>
    <x:row r="4450" ht="20" customHeight="1">
      <x:c r="A4450" s="1" t="str">
        <x:v>22720</x:v>
      </x:c>
      <x:c r="B4450" s="9" t="d">
        <x:v>2011-02-03T00:00:00.000Z</x:v>
      </x:c>
      <x:c r="C4450" s="13" t="n">
        <x:v>25</x:v>
      </x:c>
    </x:row>
    <x:row r="4451" ht="20" customHeight="1">
      <x:c r="A4451" s="1" t="str">
        <x:v>22720</x:v>
      </x:c>
      <x:c r="B4451" s="9" t="d">
        <x:v>2011-02-04T00:00:00.000Z</x:v>
      </x:c>
      <x:c r="C4451" s="13" t="n">
        <x:v>45</x:v>
      </x:c>
    </x:row>
    <x:row r="4452" ht="20" customHeight="1">
      <x:c r="A4452" s="1" t="str">
        <x:v>22720</x:v>
      </x:c>
      <x:c r="B4452" s="9" t="d">
        <x:v>2011-02-05T00:00:00.000Z</x:v>
      </x:c>
      <x:c r="C4452" s="13" t="n">
        <x:v>0</x:v>
      </x:c>
    </x:row>
    <x:row r="4453" ht="20" customHeight="1">
      <x:c r="A4453" s="1" t="str">
        <x:v>22720</x:v>
      </x:c>
      <x:c r="B4453" s="9" t="d">
        <x:v>2011-02-06T00:00:00.000Z</x:v>
      </x:c>
      <x:c r="C4453" s="13" t="n">
        <x:v>3</x:v>
      </x:c>
    </x:row>
    <x:row r="4454" ht="20" customHeight="1">
      <x:c r="A4454" s="1" t="str">
        <x:v>22720</x:v>
      </x:c>
      <x:c r="B4454" s="9" t="d">
        <x:v>2011-02-07T00:00:00.000Z</x:v>
      </x:c>
      <x:c r="C4454" s="13" t="n">
        <x:v>41</x:v>
      </x:c>
    </x:row>
    <x:row r="4455" ht="20" customHeight="1">
      <x:c r="A4455" s="1" t="str">
        <x:v>22720</x:v>
      </x:c>
      <x:c r="B4455" s="9" t="d">
        <x:v>2011-02-08T00:00:00.000Z</x:v>
      </x:c>
      <x:c r="C4455" s="13" t="n">
        <x:v>9</x:v>
      </x:c>
    </x:row>
    <x:row r="4456" ht="20" customHeight="1">
      <x:c r="A4456" s="1" t="str">
        <x:v>22720</x:v>
      </x:c>
      <x:c r="B4456" s="9" t="d">
        <x:v>2011-02-09T00:00:00.000Z</x:v>
      </x:c>
      <x:c r="C4456" s="13" t="n">
        <x:v>19</x:v>
      </x:c>
    </x:row>
    <x:row r="4457" ht="20" customHeight="1">
      <x:c r="A4457" s="1" t="str">
        <x:v>22720</x:v>
      </x:c>
      <x:c r="B4457" s="9" t="d">
        <x:v>2011-02-10T00:00:00.000Z</x:v>
      </x:c>
      <x:c r="C4457" s="13" t="n">
        <x:v>4</x:v>
      </x:c>
    </x:row>
    <x:row r="4458" ht="20" customHeight="1">
      <x:c r="A4458" s="1" t="str">
        <x:v>22720</x:v>
      </x:c>
      <x:c r="B4458" s="9" t="d">
        <x:v>2011-02-11T00:00:00.000Z</x:v>
      </x:c>
      <x:c r="C4458" s="13" t="n">
        <x:v>40</x:v>
      </x:c>
    </x:row>
    <x:row r="4459" ht="20" customHeight="1">
      <x:c r="A4459" s="1" t="str">
        <x:v>22720</x:v>
      </x:c>
      <x:c r="B4459" s="9" t="d">
        <x:v>2011-02-12T00:00:00.000Z</x:v>
      </x:c>
      <x:c r="C4459" s="13" t="n">
        <x:v>0</x:v>
      </x:c>
    </x:row>
    <x:row r="4460" ht="20" customHeight="1">
      <x:c r="A4460" s="1" t="str">
        <x:v>22720</x:v>
      </x:c>
      <x:c r="B4460" s="9" t="d">
        <x:v>2011-02-13T00:00:00.000Z</x:v>
      </x:c>
      <x:c r="C4460" s="13" t="n">
        <x:v>12</x:v>
      </x:c>
    </x:row>
    <x:row r="4461" ht="20" customHeight="1">
      <x:c r="A4461" s="1" t="str">
        <x:v>22720</x:v>
      </x:c>
      <x:c r="B4461" s="9" t="d">
        <x:v>2011-02-14T00:00:00.000Z</x:v>
      </x:c>
      <x:c r="C4461" s="13" t="n">
        <x:v>20</x:v>
      </x:c>
    </x:row>
    <x:row r="4462" ht="20" customHeight="1">
      <x:c r="A4462" s="1" t="str">
        <x:v>22720</x:v>
      </x:c>
      <x:c r="B4462" s="9" t="d">
        <x:v>2011-02-15T00:00:00.000Z</x:v>
      </x:c>
      <x:c r="C4462" s="13" t="n">
        <x:v>117</x:v>
      </x:c>
    </x:row>
    <x:row r="4463" ht="20" customHeight="1">
      <x:c r="A4463" s="1" t="str">
        <x:v>22720</x:v>
      </x:c>
      <x:c r="B4463" s="9" t="d">
        <x:v>2011-02-16T00:00:00.000Z</x:v>
      </x:c>
      <x:c r="C4463" s="13" t="n">
        <x:v>24</x:v>
      </x:c>
    </x:row>
    <x:row r="4464" ht="20" customHeight="1">
      <x:c r="A4464" s="1" t="str">
        <x:v>22720</x:v>
      </x:c>
      <x:c r="B4464" s="9" t="d">
        <x:v>2011-02-17T00:00:00.000Z</x:v>
      </x:c>
      <x:c r="C4464" s="13" t="n">
        <x:v>71</x:v>
      </x:c>
    </x:row>
    <x:row r="4465" ht="20" customHeight="1">
      <x:c r="A4465" s="1" t="str">
        <x:v>22720</x:v>
      </x:c>
      <x:c r="B4465" s="9" t="d">
        <x:v>2011-02-18T00:00:00.000Z</x:v>
      </x:c>
      <x:c r="C4465" s="13" t="n">
        <x:v>27</x:v>
      </x:c>
    </x:row>
    <x:row r="4466" ht="20" customHeight="1">
      <x:c r="A4466" s="1" t="str">
        <x:v>22720</x:v>
      </x:c>
      <x:c r="B4466" s="9" t="d">
        <x:v>2011-02-19T00:00:00.000Z</x:v>
      </x:c>
      <x:c r="C4466" s="13" t="n">
        <x:v>0</x:v>
      </x:c>
    </x:row>
    <x:row r="4467" ht="20" customHeight="1">
      <x:c r="A4467" s="1" t="str">
        <x:v>22720</x:v>
      </x:c>
      <x:c r="B4467" s="9" t="d">
        <x:v>2011-02-20T00:00:00.000Z</x:v>
      </x:c>
      <x:c r="C4467" s="13" t="n">
        <x:v>23</x:v>
      </x:c>
    </x:row>
    <x:row r="4468" ht="20" customHeight="1">
      <x:c r="A4468" s="1" t="str">
        <x:v>22720</x:v>
      </x:c>
      <x:c r="B4468" s="9" t="d">
        <x:v>2011-02-21T00:00:00.000Z</x:v>
      </x:c>
      <x:c r="C4468" s="13" t="n">
        <x:v>15</x:v>
      </x:c>
    </x:row>
    <x:row r="4469" ht="20" customHeight="1">
      <x:c r="A4469" s="1" t="str">
        <x:v>22720</x:v>
      </x:c>
      <x:c r="B4469" s="9" t="d">
        <x:v>2011-02-22T00:00:00.000Z</x:v>
      </x:c>
      <x:c r="C4469" s="13" t="n">
        <x:v>41</x:v>
      </x:c>
    </x:row>
    <x:row r="4470" ht="20" customHeight="1">
      <x:c r="A4470" s="1" t="str">
        <x:v>22720</x:v>
      </x:c>
      <x:c r="B4470" s="9" t="d">
        <x:v>2011-02-23T00:00:00.000Z</x:v>
      </x:c>
      <x:c r="C4470" s="13" t="n">
        <x:v>24</x:v>
      </x:c>
    </x:row>
    <x:row r="4471" ht="20" customHeight="1">
      <x:c r="A4471" s="1" t="str">
        <x:v>22720</x:v>
      </x:c>
      <x:c r="B4471" s="9" t="d">
        <x:v>2011-02-24T00:00:00.000Z</x:v>
      </x:c>
      <x:c r="C4471" s="13" t="n">
        <x:v>22</x:v>
      </x:c>
    </x:row>
    <x:row r="4472" ht="20" customHeight="1">
      <x:c r="A4472" s="1" t="str">
        <x:v>22720</x:v>
      </x:c>
      <x:c r="B4472" s="9" t="d">
        <x:v>2011-02-25T00:00:00.000Z</x:v>
      </x:c>
      <x:c r="C4472" s="13" t="n">
        <x:v>20</x:v>
      </x:c>
    </x:row>
    <x:row r="4473" ht="20" customHeight="1">
      <x:c r="A4473" s="1" t="str">
        <x:v>22720</x:v>
      </x:c>
      <x:c r="B4473" s="9" t="d">
        <x:v>2011-02-26T00:00:00.000Z</x:v>
      </x:c>
      <x:c r="C4473" s="13" t="n">
        <x:v>0</x:v>
      </x:c>
    </x:row>
    <x:row r="4474" ht="20" customHeight="1">
      <x:c r="A4474" s="1" t="str">
        <x:v>22720</x:v>
      </x:c>
      <x:c r="B4474" s="9" t="d">
        <x:v>2011-02-27T00:00:00.000Z</x:v>
      </x:c>
      <x:c r="C4474" s="13" t="n">
        <x:v>14</x:v>
      </x:c>
    </x:row>
    <x:row r="4475" ht="20" customHeight="1">
      <x:c r="A4475" s="1" t="str">
        <x:v>22720</x:v>
      </x:c>
      <x:c r="B4475" s="9" t="d">
        <x:v>2011-02-28T00:00:00.000Z</x:v>
      </x:c>
      <x:c r="C4475" s="13" t="n">
        <x:v>22</x:v>
      </x:c>
    </x:row>
    <x:row r="4476" ht="20" customHeight="1">
      <x:c r="A4476" s="1" t="str">
        <x:v>22720</x:v>
      </x:c>
      <x:c r="B4476" s="9" t="d">
        <x:v>2011-03-01T00:00:00.000Z</x:v>
      </x:c>
      <x:c r="C4476" s="13" t="n">
        <x:v>30</x:v>
      </x:c>
    </x:row>
    <x:row r="4477" ht="20" customHeight="1">
      <x:c r="A4477" s="1" t="str">
        <x:v>22720</x:v>
      </x:c>
      <x:c r="B4477" s="9" t="d">
        <x:v>2011-03-02T00:00:00.000Z</x:v>
      </x:c>
      <x:c r="C4477" s="13" t="n">
        <x:v>48</x:v>
      </x:c>
    </x:row>
    <x:row r="4478" ht="20" customHeight="1">
      <x:c r="A4478" s="1" t="str">
        <x:v>22720</x:v>
      </x:c>
      <x:c r="B4478" s="9" t="d">
        <x:v>2011-03-03T00:00:00.000Z</x:v>
      </x:c>
      <x:c r="C4478" s="13" t="n">
        <x:v>31</x:v>
      </x:c>
    </x:row>
    <x:row r="4479" ht="20" customHeight="1">
      <x:c r="A4479" s="1" t="str">
        <x:v>22720</x:v>
      </x:c>
      <x:c r="B4479" s="9" t="d">
        <x:v>2011-03-04T00:00:00.000Z</x:v>
      </x:c>
      <x:c r="C4479" s="13" t="n">
        <x:v>16</x:v>
      </x:c>
    </x:row>
    <x:row r="4480" ht="20" customHeight="1">
      <x:c r="A4480" s="1" t="str">
        <x:v>22720</x:v>
      </x:c>
      <x:c r="B4480" s="9" t="d">
        <x:v>2011-03-05T00:00:00.000Z</x:v>
      </x:c>
      <x:c r="C4480" s="13" t="n">
        <x:v>0</x:v>
      </x:c>
    </x:row>
    <x:row r="4481" ht="20" customHeight="1">
      <x:c r="A4481" s="1" t="str">
        <x:v>22720</x:v>
      </x:c>
      <x:c r="B4481" s="9" t="d">
        <x:v>2011-03-06T00:00:00.000Z</x:v>
      </x:c>
      <x:c r="C4481" s="13" t="n">
        <x:v>18</x:v>
      </x:c>
    </x:row>
    <x:row r="4482" ht="20" customHeight="1">
      <x:c r="A4482" s="1" t="str">
        <x:v>22720</x:v>
      </x:c>
      <x:c r="B4482" s="9" t="d">
        <x:v>2011-03-07T00:00:00.000Z</x:v>
      </x:c>
      <x:c r="C4482" s="13" t="n">
        <x:v>30</x:v>
      </x:c>
    </x:row>
    <x:row r="4483" ht="20" customHeight="1">
      <x:c r="A4483" s="1" t="str">
        <x:v>22720</x:v>
      </x:c>
      <x:c r="B4483" s="9" t="d">
        <x:v>2011-03-08T00:00:00.000Z</x:v>
      </x:c>
      <x:c r="C4483" s="13" t="n">
        <x:v>53</x:v>
      </x:c>
    </x:row>
    <x:row r="4484" ht="20" customHeight="1">
      <x:c r="A4484" s="1" t="str">
        <x:v>22720</x:v>
      </x:c>
      <x:c r="B4484" s="9" t="d">
        <x:v>2011-03-09T00:00:00.000Z</x:v>
      </x:c>
      <x:c r="C4484" s="13" t="n">
        <x:v>23</x:v>
      </x:c>
    </x:row>
    <x:row r="4485" ht="20" customHeight="1">
      <x:c r="A4485" s="1" t="str">
        <x:v>22720</x:v>
      </x:c>
      <x:c r="B4485" s="9" t="d">
        <x:v>2011-03-10T00:00:00.000Z</x:v>
      </x:c>
      <x:c r="C4485" s="13" t="n">
        <x:v>31</x:v>
      </x:c>
    </x:row>
    <x:row r="4486" ht="20" customHeight="1">
      <x:c r="A4486" s="1" t="str">
        <x:v>22720</x:v>
      </x:c>
      <x:c r="B4486" s="9" t="d">
        <x:v>2011-03-11T00:00:00.000Z</x:v>
      </x:c>
      <x:c r="C4486" s="13" t="n">
        <x:v>29</x:v>
      </x:c>
    </x:row>
    <x:row r="4487" ht="20" customHeight="1">
      <x:c r="A4487" s="1" t="str">
        <x:v>22720</x:v>
      </x:c>
      <x:c r="B4487" s="9" t="d">
        <x:v>2011-03-12T00:00:00.000Z</x:v>
      </x:c>
      <x:c r="C4487" s="13" t="n">
        <x:v>0</x:v>
      </x:c>
    </x:row>
    <x:row r="4488" ht="20" customHeight="1">
      <x:c r="A4488" s="1" t="str">
        <x:v>22720</x:v>
      </x:c>
      <x:c r="B4488" s="9" t="d">
        <x:v>2011-03-13T00:00:00.000Z</x:v>
      </x:c>
      <x:c r="C4488" s="13" t="n">
        <x:v>3</x:v>
      </x:c>
    </x:row>
    <x:row r="4489" ht="20" customHeight="1">
      <x:c r="A4489" s="1" t="str">
        <x:v>22720</x:v>
      </x:c>
      <x:c r="B4489" s="9" t="d">
        <x:v>2011-03-14T00:00:00.000Z</x:v>
      </x:c>
      <x:c r="C4489" s="13" t="n">
        <x:v>161</x:v>
      </x:c>
    </x:row>
    <x:row r="4490" ht="20" customHeight="1">
      <x:c r="A4490" s="1" t="str">
        <x:v>22720</x:v>
      </x:c>
      <x:c r="B4490" s="9" t="d">
        <x:v>2011-03-15T00:00:00.000Z</x:v>
      </x:c>
      <x:c r="C4490" s="13" t="n">
        <x:v>43</x:v>
      </x:c>
    </x:row>
    <x:row r="4491" ht="20" customHeight="1">
      <x:c r="A4491" s="1" t="str">
        <x:v>22720</x:v>
      </x:c>
      <x:c r="B4491" s="9" t="d">
        <x:v>2011-03-16T00:00:00.000Z</x:v>
      </x:c>
      <x:c r="C4491" s="13" t="n">
        <x:v>22</x:v>
      </x:c>
    </x:row>
    <x:row r="4492" ht="20" customHeight="1">
      <x:c r="A4492" s="1" t="str">
        <x:v>22720</x:v>
      </x:c>
      <x:c r="B4492" s="9" t="d">
        <x:v>2011-03-17T00:00:00.000Z</x:v>
      </x:c>
      <x:c r="C4492" s="13" t="n">
        <x:v>24</x:v>
      </x:c>
    </x:row>
    <x:row r="4493" ht="20" customHeight="1">
      <x:c r="A4493" s="1" t="str">
        <x:v>22720</x:v>
      </x:c>
      <x:c r="B4493" s="9" t="d">
        <x:v>2011-03-18T00:00:00.000Z</x:v>
      </x:c>
      <x:c r="C4493" s="13" t="n">
        <x:v>27</x:v>
      </x:c>
    </x:row>
    <x:row r="4494" ht="20" customHeight="1">
      <x:c r="A4494" s="1" t="str">
        <x:v>22720</x:v>
      </x:c>
      <x:c r="B4494" s="9" t="d">
        <x:v>2011-03-19T00:00:00.000Z</x:v>
      </x:c>
      <x:c r="C4494" s="13" t="n">
        <x:v>0</x:v>
      </x:c>
    </x:row>
    <x:row r="4495" ht="20" customHeight="1">
      <x:c r="A4495" s="1" t="str">
        <x:v>22720</x:v>
      </x:c>
      <x:c r="B4495" s="9" t="d">
        <x:v>2011-03-20T00:00:00.000Z</x:v>
      </x:c>
      <x:c r="C4495" s="13" t="n">
        <x:v>22</x:v>
      </x:c>
    </x:row>
    <x:row r="4496" ht="20" customHeight="1">
      <x:c r="A4496" s="1" t="str">
        <x:v>22720</x:v>
      </x:c>
      <x:c r="B4496" s="9" t="d">
        <x:v>2011-03-21T00:00:00.000Z</x:v>
      </x:c>
      <x:c r="C4496" s="13" t="n">
        <x:v>18</x:v>
      </x:c>
    </x:row>
    <x:row r="4497" ht="20" customHeight="1">
      <x:c r="A4497" s="1" t="str">
        <x:v>22720</x:v>
      </x:c>
      <x:c r="B4497" s="9" t="d">
        <x:v>2011-03-22T00:00:00.000Z</x:v>
      </x:c>
      <x:c r="C4497" s="13" t="n">
        <x:v>26</x:v>
      </x:c>
    </x:row>
    <x:row r="4498" ht="20" customHeight="1">
      <x:c r="A4498" s="1" t="str">
        <x:v>22720</x:v>
      </x:c>
      <x:c r="B4498" s="9" t="d">
        <x:v>2011-03-23T00:00:00.000Z</x:v>
      </x:c>
      <x:c r="C4498" s="13" t="n">
        <x:v>8</x:v>
      </x:c>
    </x:row>
    <x:row r="4499" ht="20" customHeight="1">
      <x:c r="A4499" s="1" t="str">
        <x:v>22720</x:v>
      </x:c>
      <x:c r="B4499" s="9" t="d">
        <x:v>2011-03-24T00:00:00.000Z</x:v>
      </x:c>
      <x:c r="C4499" s="13" t="n">
        <x:v>63</x:v>
      </x:c>
    </x:row>
    <x:row r="4500" ht="20" customHeight="1">
      <x:c r="A4500" s="1" t="str">
        <x:v>22720</x:v>
      </x:c>
      <x:c r="B4500" s="9" t="d">
        <x:v>2011-03-25T00:00:00.000Z</x:v>
      </x:c>
      <x:c r="C4500" s="13" t="n">
        <x:v>4</x:v>
      </x:c>
    </x:row>
    <x:row r="4501" ht="20" customHeight="1">
      <x:c r="A4501" s="1" t="str">
        <x:v>22720</x:v>
      </x:c>
      <x:c r="B4501" s="9" t="d">
        <x:v>2011-03-26T00:00:00.000Z</x:v>
      </x:c>
      <x:c r="C4501" s="13" t="n">
        <x:v>0</x:v>
      </x:c>
    </x:row>
    <x:row r="4502" ht="20" customHeight="1">
      <x:c r="A4502" s="1" t="str">
        <x:v>22720</x:v>
      </x:c>
      <x:c r="B4502" s="9" t="d">
        <x:v>2011-03-27T00:00:00.000Z</x:v>
      </x:c>
      <x:c r="C4502" s="13" t="n">
        <x:v>3</x:v>
      </x:c>
    </x:row>
    <x:row r="4503" ht="20" customHeight="1">
      <x:c r="A4503" s="1" t="str">
        <x:v>22720</x:v>
      </x:c>
      <x:c r="B4503" s="9" t="d">
        <x:v>2011-03-28T00:00:00.000Z</x:v>
      </x:c>
      <x:c r="C4503" s="13" t="n">
        <x:v>15</x:v>
      </x:c>
    </x:row>
    <x:row r="4504" ht="20" customHeight="1">
      <x:c r="A4504" s="1" t="str">
        <x:v>22720</x:v>
      </x:c>
      <x:c r="B4504" s="9" t="d">
        <x:v>2011-03-29T00:00:00.000Z</x:v>
      </x:c>
      <x:c r="C4504" s="13" t="n">
        <x:v>28</x:v>
      </x:c>
    </x:row>
    <x:row r="4505" ht="20" customHeight="1">
      <x:c r="A4505" s="1" t="str">
        <x:v>22720</x:v>
      </x:c>
      <x:c r="B4505" s="9" t="d">
        <x:v>2011-03-30T00:00:00.000Z</x:v>
      </x:c>
      <x:c r="C4505" s="13" t="n">
        <x:v>13</x:v>
      </x:c>
    </x:row>
    <x:row r="4506" ht="20" customHeight="1">
      <x:c r="A4506" s="1" t="str">
        <x:v>22720</x:v>
      </x:c>
      <x:c r="B4506" s="9" t="d">
        <x:v>2011-03-31T00:00:00.000Z</x:v>
      </x:c>
      <x:c r="C4506" s="13" t="n">
        <x:v>20</x:v>
      </x:c>
    </x:row>
    <x:row r="4507" ht="20" customHeight="1">
      <x:c r="A4507" s="1" t="str">
        <x:v>22720</x:v>
      </x:c>
      <x:c r="B4507" s="9" t="d">
        <x:v>2011-04-01T00:00:00.000Z</x:v>
      </x:c>
      <x:c r="C4507" s="13" t="n">
        <x:v>8</x:v>
      </x:c>
    </x:row>
    <x:row r="4508" ht="20" customHeight="1">
      <x:c r="A4508" s="1" t="str">
        <x:v>22720</x:v>
      </x:c>
      <x:c r="B4508" s="9" t="d">
        <x:v>2011-04-02T00:00:00.000Z</x:v>
      </x:c>
      <x:c r="C4508" s="13" t="n">
        <x:v>0</x:v>
      </x:c>
    </x:row>
    <x:row r="4509" ht="20" customHeight="1">
      <x:c r="A4509" s="1" t="str">
        <x:v>22720</x:v>
      </x:c>
      <x:c r="B4509" s="9" t="d">
        <x:v>2011-04-03T00:00:00.000Z</x:v>
      </x:c>
      <x:c r="C4509" s="13" t="n">
        <x:v>4</x:v>
      </x:c>
    </x:row>
    <x:row r="4510" ht="20" customHeight="1">
      <x:c r="A4510" s="1" t="str">
        <x:v>22720</x:v>
      </x:c>
      <x:c r="B4510" s="9" t="d">
        <x:v>2011-04-04T00:00:00.000Z</x:v>
      </x:c>
      <x:c r="C4510" s="13" t="n">
        <x:v>14</x:v>
      </x:c>
    </x:row>
    <x:row r="4511" ht="20" customHeight="1">
      <x:c r="A4511" s="1" t="str">
        <x:v>22720</x:v>
      </x:c>
      <x:c r="B4511" s="9" t="d">
        <x:v>2011-04-05T00:00:00.000Z</x:v>
      </x:c>
      <x:c r="C4511" s="13" t="n">
        <x:v>10</x:v>
      </x:c>
    </x:row>
    <x:row r="4512" ht="20" customHeight="1">
      <x:c r="A4512" s="1" t="str">
        <x:v>22720</x:v>
      </x:c>
      <x:c r="B4512" s="9" t="d">
        <x:v>2011-04-06T00:00:00.000Z</x:v>
      </x:c>
      <x:c r="C4512" s="13" t="n">
        <x:v>1</x:v>
      </x:c>
    </x:row>
    <x:row r="4513" ht="20" customHeight="1">
      <x:c r="A4513" s="1" t="str">
        <x:v>22720</x:v>
      </x:c>
      <x:c r="B4513" s="9" t="d">
        <x:v>2011-04-07T00:00:00.000Z</x:v>
      </x:c>
      <x:c r="C4513" s="13" t="n">
        <x:v>4</x:v>
      </x:c>
    </x:row>
    <x:row r="4514" ht="20" customHeight="1">
      <x:c r="A4514" s="1" t="str">
        <x:v>22720</x:v>
      </x:c>
      <x:c r="B4514" s="9" t="d">
        <x:v>2011-04-08T00:00:00.000Z</x:v>
      </x:c>
      <x:c r="C4514" s="13" t="n">
        <x:v>4</x:v>
      </x:c>
    </x:row>
    <x:row r="4515" ht="20" customHeight="1">
      <x:c r="A4515" s="1" t="str">
        <x:v>22720</x:v>
      </x:c>
      <x:c r="B4515" s="9" t="d">
        <x:v>2011-04-09T00:00:00.000Z</x:v>
      </x:c>
      <x:c r="C4515" s="13" t="n">
        <x:v>0</x:v>
      </x:c>
    </x:row>
    <x:row r="4516" ht="20" customHeight="1">
      <x:c r="A4516" s="1" t="str">
        <x:v>22720</x:v>
      </x:c>
      <x:c r="B4516" s="9" t="d">
        <x:v>2011-04-10T00:00:00.000Z</x:v>
      </x:c>
      <x:c r="C4516" s="13" t="n">
        <x:v>4</x:v>
      </x:c>
    </x:row>
    <x:row r="4517" ht="20" customHeight="1">
      <x:c r="A4517" s="1" t="str">
        <x:v>22720</x:v>
      </x:c>
      <x:c r="B4517" s="9" t="d">
        <x:v>2011-04-11T00:00:00.000Z</x:v>
      </x:c>
      <x:c r="C4517" s="13" t="n">
        <x:v>0</x:v>
      </x:c>
    </x:row>
    <x:row r="4518" ht="20" customHeight="1">
      <x:c r="A4518" s="1" t="str">
        <x:v>22720</x:v>
      </x:c>
      <x:c r="B4518" s="9" t="d">
        <x:v>2011-04-12T00:00:00.000Z</x:v>
      </x:c>
      <x:c r="C4518" s="13" t="n">
        <x:v>4</x:v>
      </x:c>
    </x:row>
    <x:row r="4519" ht="20" customHeight="1">
      <x:c r="A4519" s="1" t="str">
        <x:v>22720</x:v>
      </x:c>
      <x:c r="B4519" s="9" t="d">
        <x:v>2011-04-13T00:00:00.000Z</x:v>
      </x:c>
      <x:c r="C4519" s="13" t="n">
        <x:v>0</x:v>
      </x:c>
    </x:row>
    <x:row r="4520" ht="20" customHeight="1">
      <x:c r="A4520" s="1" t="str">
        <x:v>22720</x:v>
      </x:c>
      <x:c r="B4520" s="9" t="d">
        <x:v>2011-04-14T00:00:00.000Z</x:v>
      </x:c>
      <x:c r="C4520" s="13" t="n">
        <x:v>0</x:v>
      </x:c>
    </x:row>
    <x:row r="4521" ht="20" customHeight="1">
      <x:c r="A4521" s="1" t="str">
        <x:v>22720</x:v>
      </x:c>
      <x:c r="B4521" s="9" t="d">
        <x:v>2011-04-15T00:00:00.000Z</x:v>
      </x:c>
      <x:c r="C4521" s="13" t="n">
        <x:v>3</x:v>
      </x:c>
    </x:row>
    <x:row r="4522" ht="20" customHeight="1">
      <x:c r="A4522" s="1" t="str">
        <x:v>22720</x:v>
      </x:c>
      <x:c r="B4522" s="9" t="d">
        <x:v>2011-04-16T00:00:00.000Z</x:v>
      </x:c>
      <x:c r="C4522" s="13" t="n">
        <x:v>0</x:v>
      </x:c>
    </x:row>
    <x:row r="4523" ht="20" customHeight="1">
      <x:c r="A4523" s="1" t="str">
        <x:v>22720</x:v>
      </x:c>
      <x:c r="B4523" s="9" t="d">
        <x:v>2011-04-17T00:00:00.000Z</x:v>
      </x:c>
      <x:c r="C4523" s="13" t="n">
        <x:v>0</x:v>
      </x:c>
    </x:row>
    <x:row r="4524" ht="20" customHeight="1">
      <x:c r="A4524" s="1" t="str">
        <x:v>22720</x:v>
      </x:c>
      <x:c r="B4524" s="9" t="d">
        <x:v>2011-04-18T00:00:00.000Z</x:v>
      </x:c>
      <x:c r="C4524" s="13" t="n">
        <x:v>5</x:v>
      </x:c>
    </x:row>
    <x:row r="4525" ht="20" customHeight="1">
      <x:c r="A4525" s="1" t="str">
        <x:v>22720</x:v>
      </x:c>
      <x:c r="B4525" s="9" t="d">
        <x:v>2011-04-19T00:00:00.000Z</x:v>
      </x:c>
      <x:c r="C4525" s="13" t="n">
        <x:v>3</x:v>
      </x:c>
    </x:row>
    <x:row r="4526" ht="20" customHeight="1">
      <x:c r="A4526" s="1" t="str">
        <x:v>22720</x:v>
      </x:c>
      <x:c r="B4526" s="9" t="d">
        <x:v>2011-04-20T00:00:00.000Z</x:v>
      </x:c>
      <x:c r="C4526" s="13" t="n">
        <x:v>0</x:v>
      </x:c>
    </x:row>
    <x:row r="4527" ht="20" customHeight="1">
      <x:c r="A4527" s="1" t="str">
        <x:v>22720</x:v>
      </x:c>
      <x:c r="B4527" s="9" t="d">
        <x:v>2011-04-21T00:00:00.000Z</x:v>
      </x:c>
      <x:c r="C4527" s="13" t="n">
        <x:v>1</x:v>
      </x:c>
    </x:row>
    <x:row r="4528" ht="20" customHeight="1">
      <x:c r="A4528" s="1" t="str">
        <x:v>22720</x:v>
      </x:c>
      <x:c r="B4528" s="9" t="d">
        <x:v>2011-04-22T00:00:00.000Z</x:v>
      </x:c>
      <x:c r="C4528" s="13" t="n">
        <x:v>0</x:v>
      </x:c>
    </x:row>
    <x:row r="4529" ht="20" customHeight="1">
      <x:c r="A4529" s="1" t="str">
        <x:v>22720</x:v>
      </x:c>
      <x:c r="B4529" s="9" t="d">
        <x:v>2011-04-23T00:00:00.000Z</x:v>
      </x:c>
      <x:c r="C4529" s="13" t="n">
        <x:v>0</x:v>
      </x:c>
    </x:row>
    <x:row r="4530" ht="20" customHeight="1">
      <x:c r="A4530" s="1" t="str">
        <x:v>22720</x:v>
      </x:c>
      <x:c r="B4530" s="9" t="d">
        <x:v>2011-04-24T00:00:00.000Z</x:v>
      </x:c>
      <x:c r="C4530" s="13" t="n">
        <x:v>0</x:v>
      </x:c>
    </x:row>
    <x:row r="4531" ht="20" customHeight="1">
      <x:c r="A4531" s="1" t="str">
        <x:v>22720</x:v>
      </x:c>
      <x:c r="B4531" s="9" t="d">
        <x:v>2011-04-25T00:00:00.000Z</x:v>
      </x:c>
      <x:c r="C4531" s="13" t="n">
        <x:v>0</x:v>
      </x:c>
    </x:row>
    <x:row r="4532" ht="20" customHeight="1">
      <x:c r="A4532" s="1" t="str">
        <x:v>22720</x:v>
      </x:c>
      <x:c r="B4532" s="9" t="d">
        <x:v>2011-04-26T00:00:00.000Z</x:v>
      </x:c>
      <x:c r="C4532" s="13" t="n">
        <x:v>2</x:v>
      </x:c>
    </x:row>
    <x:row r="4533" ht="20" customHeight="1">
      <x:c r="A4533" s="1" t="str">
        <x:v>22720</x:v>
      </x:c>
      <x:c r="B4533" s="9" t="d">
        <x:v>2011-04-27T00:00:00.000Z</x:v>
      </x:c>
      <x:c r="C4533" s="13" t="n">
        <x:v>0</x:v>
      </x:c>
    </x:row>
    <x:row r="4534" ht="20" customHeight="1">
      <x:c r="A4534" s="1" t="str">
        <x:v>22720</x:v>
      </x:c>
      <x:c r="B4534" s="9" t="d">
        <x:v>2011-04-28T00:00:00.000Z</x:v>
      </x:c>
      <x:c r="C4534" s="13" t="n">
        <x:v>0</x:v>
      </x:c>
    </x:row>
    <x:row r="4535" ht="20" customHeight="1">
      <x:c r="A4535" s="1" t="str">
        <x:v>22720</x:v>
      </x:c>
      <x:c r="B4535" s="9" t="d">
        <x:v>2011-04-29T00:00:00.000Z</x:v>
      </x:c>
      <x:c r="C4535" s="13" t="n">
        <x:v>0</x:v>
      </x:c>
    </x:row>
    <x:row r="4536" ht="20" customHeight="1">
      <x:c r="A4536" s="1" t="str">
        <x:v>22720</x:v>
      </x:c>
      <x:c r="B4536" s="9" t="d">
        <x:v>2011-04-30T00:00:00.000Z</x:v>
      </x:c>
      <x:c r="C4536" s="13" t="n">
        <x:v>0</x:v>
      </x:c>
    </x:row>
    <x:row r="4537" ht="20" customHeight="1">
      <x:c r="A4537" s="1" t="str">
        <x:v>22720</x:v>
      </x:c>
      <x:c r="B4537" s="9" t="d">
        <x:v>2011-05-01T00:00:00.000Z</x:v>
      </x:c>
      <x:c r="C4537" s="13" t="n">
        <x:v>0</x:v>
      </x:c>
    </x:row>
    <x:row r="4538" ht="20" customHeight="1">
      <x:c r="A4538" s="1" t="str">
        <x:v>22720</x:v>
      </x:c>
      <x:c r="B4538" s="9" t="d">
        <x:v>2011-05-02T00:00:00.000Z</x:v>
      </x:c>
      <x:c r="C4538" s="13" t="n">
        <x:v>0</x:v>
      </x:c>
    </x:row>
    <x:row r="4539" ht="20" customHeight="1">
      <x:c r="A4539" s="1" t="str">
        <x:v>22720</x:v>
      </x:c>
      <x:c r="B4539" s="9" t="d">
        <x:v>2011-05-03T00:00:00.000Z</x:v>
      </x:c>
      <x:c r="C4539" s="13" t="n">
        <x:v>0</x:v>
      </x:c>
    </x:row>
    <x:row r="4540" ht="20" customHeight="1">
      <x:c r="A4540" s="1" t="str">
        <x:v>22720</x:v>
      </x:c>
      <x:c r="B4540" s="9" t="d">
        <x:v>2011-05-04T00:00:00.000Z</x:v>
      </x:c>
      <x:c r="C4540" s="13" t="n">
        <x:v>1</x:v>
      </x:c>
    </x:row>
    <x:row r="4541" ht="20" customHeight="1">
      <x:c r="A4541" s="1" t="str">
        <x:v>22720</x:v>
      </x:c>
      <x:c r="B4541" s="9" t="d">
        <x:v>2011-05-05T00:00:00.000Z</x:v>
      </x:c>
      <x:c r="C4541" s="13" t="n">
        <x:v>0</x:v>
      </x:c>
    </x:row>
    <x:row r="4542" ht="20" customHeight="1">
      <x:c r="A4542" s="1" t="str">
        <x:v>22720</x:v>
      </x:c>
      <x:c r="B4542" s="9" t="d">
        <x:v>2011-05-06T00:00:00.000Z</x:v>
      </x:c>
      <x:c r="C4542" s="13" t="n">
        <x:v>2</x:v>
      </x:c>
    </x:row>
    <x:row r="4543" ht="20" customHeight="1">
      <x:c r="A4543" s="1" t="str">
        <x:v>22720</x:v>
      </x:c>
      <x:c r="B4543" s="9" t="d">
        <x:v>2011-05-07T00:00:00.000Z</x:v>
      </x:c>
      <x:c r="C4543" s="13" t="n">
        <x:v>0</x:v>
      </x:c>
    </x:row>
    <x:row r="4544" ht="20" customHeight="1">
      <x:c r="A4544" s="1" t="str">
        <x:v>22720</x:v>
      </x:c>
      <x:c r="B4544" s="9" t="d">
        <x:v>2011-05-08T00:00:00.000Z</x:v>
      </x:c>
      <x:c r="C4544" s="13" t="n">
        <x:v>0</x:v>
      </x:c>
    </x:row>
    <x:row r="4545" ht="20" customHeight="1">
      <x:c r="A4545" s="1" t="str">
        <x:v>22720</x:v>
      </x:c>
      <x:c r="B4545" s="9" t="d">
        <x:v>2011-05-09T00:00:00.000Z</x:v>
      </x:c>
      <x:c r="C4545" s="13" t="n">
        <x:v>4</x:v>
      </x:c>
    </x:row>
    <x:row r="4546" ht="20" customHeight="1">
      <x:c r="A4546" s="1" t="str">
        <x:v>22720</x:v>
      </x:c>
      <x:c r="B4546" s="9" t="d">
        <x:v>2011-05-10T00:00:00.000Z</x:v>
      </x:c>
      <x:c r="C4546" s="13" t="n">
        <x:v>1</x:v>
      </x:c>
    </x:row>
    <x:row r="4547" ht="20" customHeight="1">
      <x:c r="A4547" s="1" t="str">
        <x:v>22720</x:v>
      </x:c>
      <x:c r="B4547" s="9" t="d">
        <x:v>2011-05-11T00:00:00.000Z</x:v>
      </x:c>
      <x:c r="C4547" s="13" t="n">
        <x:v>0</x:v>
      </x:c>
    </x:row>
    <x:row r="4548" ht="20" customHeight="1">
      <x:c r="A4548" s="1" t="str">
        <x:v>22720</x:v>
      </x:c>
      <x:c r="B4548" s="9" t="d">
        <x:v>2011-05-12T00:00:00.000Z</x:v>
      </x:c>
      <x:c r="C4548" s="13" t="n">
        <x:v>1</x:v>
      </x:c>
    </x:row>
    <x:row r="4549" ht="20" customHeight="1">
      <x:c r="A4549" s="1" t="str">
        <x:v>22720</x:v>
      </x:c>
      <x:c r="B4549" s="9" t="d">
        <x:v>2011-05-13T00:00:00.000Z</x:v>
      </x:c>
      <x:c r="C4549" s="13" t="n">
        <x:v>2</x:v>
      </x:c>
    </x:row>
    <x:row r="4550" ht="20" customHeight="1">
      <x:c r="A4550" s="1" t="str">
        <x:v>22720</x:v>
      </x:c>
      <x:c r="B4550" s="9" t="d">
        <x:v>2011-05-14T00:00:00.000Z</x:v>
      </x:c>
      <x:c r="C4550" s="13" t="n">
        <x:v>0</x:v>
      </x:c>
    </x:row>
    <x:row r="4551" ht="20" customHeight="1">
      <x:c r="A4551" s="1" t="str">
        <x:v>22720</x:v>
      </x:c>
      <x:c r="B4551" s="9" t="d">
        <x:v>2011-05-15T00:00:00.000Z</x:v>
      </x:c>
      <x:c r="C4551" s="13" t="n">
        <x:v>0</x:v>
      </x:c>
    </x:row>
    <x:row r="4552" ht="20" customHeight="1">
      <x:c r="A4552" s="1" t="str">
        <x:v>22720</x:v>
      </x:c>
      <x:c r="B4552" s="9" t="d">
        <x:v>2011-05-16T00:00:00.000Z</x:v>
      </x:c>
      <x:c r="C4552" s="13" t="n">
        <x:v>2</x:v>
      </x:c>
    </x:row>
    <x:row r="4553" ht="20" customHeight="1">
      <x:c r="A4553" s="1" t="str">
        <x:v>22720</x:v>
      </x:c>
      <x:c r="B4553" s="9" t="d">
        <x:v>2011-05-17T00:00:00.000Z</x:v>
      </x:c>
      <x:c r="C4553" s="13" t="n">
        <x:v>1</x:v>
      </x:c>
    </x:row>
    <x:row r="4554" ht="20" customHeight="1">
      <x:c r="A4554" s="1" t="str">
        <x:v>22720</x:v>
      </x:c>
      <x:c r="B4554" s="9" t="d">
        <x:v>2011-05-18T00:00:00.000Z</x:v>
      </x:c>
      <x:c r="C4554" s="13" t="n">
        <x:v>0</x:v>
      </x:c>
    </x:row>
    <x:row r="4555" ht="20" customHeight="1">
      <x:c r="A4555" s="1" t="str">
        <x:v>22720</x:v>
      </x:c>
      <x:c r="B4555" s="9" t="d">
        <x:v>2011-05-19T00:00:00.000Z</x:v>
      </x:c>
      <x:c r="C4555" s="13" t="n">
        <x:v>0</x:v>
      </x:c>
    </x:row>
    <x:row r="4556" ht="20" customHeight="1">
      <x:c r="A4556" s="1" t="str">
        <x:v>22720</x:v>
      </x:c>
      <x:c r="B4556" s="9" t="d">
        <x:v>2011-05-20T00:00:00.000Z</x:v>
      </x:c>
      <x:c r="C4556" s="13" t="n">
        <x:v>0</x:v>
      </x:c>
    </x:row>
    <x:row r="4557" ht="20" customHeight="1">
      <x:c r="A4557" s="1" t="str">
        <x:v>22720</x:v>
      </x:c>
      <x:c r="B4557" s="9" t="d">
        <x:v>2011-05-21T00:00:00.000Z</x:v>
      </x:c>
      <x:c r="C4557" s="13" t="n">
        <x:v>0</x:v>
      </x:c>
    </x:row>
    <x:row r="4558" ht="20" customHeight="1">
      <x:c r="A4558" s="1" t="str">
        <x:v>22720</x:v>
      </x:c>
      <x:c r="B4558" s="9" t="d">
        <x:v>2011-05-22T00:00:00.000Z</x:v>
      </x:c>
      <x:c r="C4558" s="13" t="n">
        <x:v>0</x:v>
      </x:c>
    </x:row>
    <x:row r="4559" ht="20" customHeight="1">
      <x:c r="A4559" s="1" t="str">
        <x:v>22720</x:v>
      </x:c>
      <x:c r="B4559" s="9" t="d">
        <x:v>2011-05-23T00:00:00.000Z</x:v>
      </x:c>
      <x:c r="C4559" s="13" t="n">
        <x:v>0</x:v>
      </x:c>
    </x:row>
    <x:row r="4560" ht="20" customHeight="1">
      <x:c r="A4560" s="1" t="str">
        <x:v>22720</x:v>
      </x:c>
      <x:c r="B4560" s="9" t="d">
        <x:v>2011-05-24T00:00:00.000Z</x:v>
      </x:c>
      <x:c r="C4560" s="13" t="n">
        <x:v>0</x:v>
      </x:c>
    </x:row>
    <x:row r="4561" ht="20" customHeight="1">
      <x:c r="A4561" s="1" t="str">
        <x:v>22720</x:v>
      </x:c>
      <x:c r="B4561" s="9" t="d">
        <x:v>2011-05-25T00:00:00.000Z</x:v>
      </x:c>
      <x:c r="C4561" s="13" t="n">
        <x:v>0</x:v>
      </x:c>
    </x:row>
    <x:row r="4562" ht="20" customHeight="1">
      <x:c r="A4562" s="1" t="str">
        <x:v>22720</x:v>
      </x:c>
      <x:c r="B4562" s="9" t="d">
        <x:v>2011-05-26T00:00:00.000Z</x:v>
      </x:c>
      <x:c r="C4562" s="13" t="n">
        <x:v>0</x:v>
      </x:c>
    </x:row>
    <x:row r="4563" ht="20" customHeight="1">
      <x:c r="A4563" s="1" t="str">
        <x:v>22720</x:v>
      </x:c>
      <x:c r="B4563" s="9" t="d">
        <x:v>2011-05-27T00:00:00.000Z</x:v>
      </x:c>
      <x:c r="C4563" s="13" t="n">
        <x:v>0</x:v>
      </x:c>
    </x:row>
    <x:row r="4564" ht="20" customHeight="1">
      <x:c r="A4564" s="1" t="str">
        <x:v>22720</x:v>
      </x:c>
      <x:c r="B4564" s="9" t="d">
        <x:v>2011-05-28T00:00:00.000Z</x:v>
      </x:c>
      <x:c r="C4564" s="13" t="n">
        <x:v>0</x:v>
      </x:c>
    </x:row>
    <x:row r="4565" ht="20" customHeight="1">
      <x:c r="A4565" s="1" t="str">
        <x:v>22720</x:v>
      </x:c>
      <x:c r="B4565" s="9" t="d">
        <x:v>2011-05-29T00:00:00.000Z</x:v>
      </x:c>
      <x:c r="C4565" s="13" t="n">
        <x:v>0</x:v>
      </x:c>
    </x:row>
    <x:row r="4566" ht="20" customHeight="1">
      <x:c r="A4566" s="1" t="str">
        <x:v>22720</x:v>
      </x:c>
      <x:c r="B4566" s="9" t="d">
        <x:v>2011-05-30T00:00:00.000Z</x:v>
      </x:c>
      <x:c r="C4566" s="13" t="n">
        <x:v>0</x:v>
      </x:c>
    </x:row>
    <x:row r="4567" ht="20" customHeight="1">
      <x:c r="A4567" s="1" t="str">
        <x:v>22720</x:v>
      </x:c>
      <x:c r="B4567" s="9" t="d">
        <x:v>2011-05-31T00:00:00.000Z</x:v>
      </x:c>
      <x:c r="C4567" s="13" t="n">
        <x:v>3</x:v>
      </x:c>
    </x:row>
    <x:row r="4568" ht="20" customHeight="1">
      <x:c r="A4568" s="1" t="str">
        <x:v>22720</x:v>
      </x:c>
      <x:c r="B4568" s="9" t="d">
        <x:v>2011-06-01T00:00:00.000Z</x:v>
      </x:c>
      <x:c r="C4568" s="13" t="n">
        <x:v>0</x:v>
      </x:c>
    </x:row>
    <x:row r="4569" ht="20" customHeight="1">
      <x:c r="A4569" s="1" t="str">
        <x:v>22720</x:v>
      </x:c>
      <x:c r="B4569" s="9" t="d">
        <x:v>2011-06-02T00:00:00.000Z</x:v>
      </x:c>
      <x:c r="C4569" s="13" t="n">
        <x:v>0</x:v>
      </x:c>
    </x:row>
    <x:row r="4570" ht="20" customHeight="1">
      <x:c r="A4570" s="1" t="str">
        <x:v>22720</x:v>
      </x:c>
      <x:c r="B4570" s="9" t="d">
        <x:v>2011-06-03T00:00:00.000Z</x:v>
      </x:c>
      <x:c r="C4570" s="13" t="n">
        <x:v>0</x:v>
      </x:c>
    </x:row>
    <x:row r="4571" ht="20" customHeight="1">
      <x:c r="A4571" s="1" t="str">
        <x:v>22720</x:v>
      </x:c>
      <x:c r="B4571" s="9" t="d">
        <x:v>2011-06-04T00:00:00.000Z</x:v>
      </x:c>
      <x:c r="C4571" s="13" t="n">
        <x:v>0</x:v>
      </x:c>
    </x:row>
    <x:row r="4572" ht="20" customHeight="1">
      <x:c r="A4572" s="1" t="str">
        <x:v>22720</x:v>
      </x:c>
      <x:c r="B4572" s="9" t="d">
        <x:v>2011-06-05T00:00:00.000Z</x:v>
      </x:c>
      <x:c r="C4572" s="13" t="n">
        <x:v>0</x:v>
      </x:c>
    </x:row>
    <x:row r="4573" ht="20" customHeight="1">
      <x:c r="A4573" s="1" t="str">
        <x:v>22720</x:v>
      </x:c>
      <x:c r="B4573" s="9" t="d">
        <x:v>2011-06-06T00:00:00.000Z</x:v>
      </x:c>
      <x:c r="C4573" s="13" t="n">
        <x:v>0</x:v>
      </x:c>
    </x:row>
    <x:row r="4574" ht="20" customHeight="1">
      <x:c r="A4574" s="1" t="str">
        <x:v>22720</x:v>
      </x:c>
      <x:c r="B4574" s="9" t="d">
        <x:v>2011-06-07T00:00:00.000Z</x:v>
      </x:c>
      <x:c r="C4574" s="13" t="n">
        <x:v>0</x:v>
      </x:c>
    </x:row>
    <x:row r="4575" ht="20" customHeight="1">
      <x:c r="A4575" s="1" t="str">
        <x:v>22720</x:v>
      </x:c>
      <x:c r="B4575" s="9" t="d">
        <x:v>2011-06-08T00:00:00.000Z</x:v>
      </x:c>
      <x:c r="C4575" s="13" t="n">
        <x:v>55</x:v>
      </x:c>
    </x:row>
    <x:row r="4576" ht="20" customHeight="1">
      <x:c r="A4576" s="1" t="str">
        <x:v>22720</x:v>
      </x:c>
      <x:c r="B4576" s="9" t="d">
        <x:v>2011-06-09T00:00:00.000Z</x:v>
      </x:c>
      <x:c r="C4576" s="13" t="n">
        <x:v>39</x:v>
      </x:c>
    </x:row>
    <x:row r="4577" ht="20" customHeight="1">
      <x:c r="A4577" s="1" t="str">
        <x:v>22720</x:v>
      </x:c>
      <x:c r="B4577" s="9" t="d">
        <x:v>2011-06-10T00:00:00.000Z</x:v>
      </x:c>
      <x:c r="C4577" s="13" t="n">
        <x:v>34</x:v>
      </x:c>
    </x:row>
    <x:row r="4578" ht="20" customHeight="1">
      <x:c r="A4578" s="1" t="str">
        <x:v>22720</x:v>
      </x:c>
      <x:c r="B4578" s="9" t="d">
        <x:v>2011-06-11T00:00:00.000Z</x:v>
      </x:c>
      <x:c r="C4578" s="13" t="n">
        <x:v>0</x:v>
      </x:c>
    </x:row>
    <x:row r="4579" ht="20" customHeight="1">
      <x:c r="A4579" s="1" t="str">
        <x:v>22720</x:v>
      </x:c>
      <x:c r="B4579" s="9" t="d">
        <x:v>2011-06-12T00:00:00.000Z</x:v>
      </x:c>
      <x:c r="C4579" s="13" t="n">
        <x:v>14</x:v>
      </x:c>
    </x:row>
    <x:row r="4580" ht="20" customHeight="1">
      <x:c r="A4580" s="1" t="str">
        <x:v>22720</x:v>
      </x:c>
      <x:c r="B4580" s="9" t="d">
        <x:v>2011-06-13T00:00:00.000Z</x:v>
      </x:c>
      <x:c r="C4580" s="13" t="n">
        <x:v>15</x:v>
      </x:c>
    </x:row>
    <x:row r="4581" ht="20" customHeight="1">
      <x:c r="A4581" s="1" t="str">
        <x:v>22720</x:v>
      </x:c>
      <x:c r="B4581" s="9" t="d">
        <x:v>2011-06-14T00:00:00.000Z</x:v>
      </x:c>
      <x:c r="C4581" s="13" t="n">
        <x:v>67</x:v>
      </x:c>
    </x:row>
    <x:row r="4582" ht="20" customHeight="1">
      <x:c r="A4582" s="1" t="str">
        <x:v>22720</x:v>
      </x:c>
      <x:c r="B4582" s="9" t="d">
        <x:v>2011-06-15T00:00:00.000Z</x:v>
      </x:c>
      <x:c r="C4582" s="13" t="n">
        <x:v>104</x:v>
      </x:c>
    </x:row>
    <x:row r="4583" ht="20" customHeight="1">
      <x:c r="A4583" s="1" t="str">
        <x:v>22720</x:v>
      </x:c>
      <x:c r="B4583" s="9" t="d">
        <x:v>2011-06-16T00:00:00.000Z</x:v>
      </x:c>
      <x:c r="C4583" s="13" t="n">
        <x:v>214</x:v>
      </x:c>
    </x:row>
    <x:row r="4584" ht="20" customHeight="1">
      <x:c r="A4584" s="1" t="str">
        <x:v>22720</x:v>
      </x:c>
      <x:c r="B4584" s="9" t="d">
        <x:v>2011-06-17T00:00:00.000Z</x:v>
      </x:c>
      <x:c r="C4584" s="13" t="n">
        <x:v>10</x:v>
      </x:c>
    </x:row>
    <x:row r="4585" ht="20" customHeight="1">
      <x:c r="A4585" s="1" t="str">
        <x:v>22720</x:v>
      </x:c>
      <x:c r="B4585" s="9" t="d">
        <x:v>2011-06-18T00:00:00.000Z</x:v>
      </x:c>
      <x:c r="C4585" s="13" t="n">
        <x:v>0</x:v>
      </x:c>
    </x:row>
    <x:row r="4586" ht="20" customHeight="1">
      <x:c r="A4586" s="1" t="str">
        <x:v>22720</x:v>
      </x:c>
      <x:c r="B4586" s="9" t="d">
        <x:v>2011-06-19T00:00:00.000Z</x:v>
      </x:c>
      <x:c r="C4586" s="13" t="n">
        <x:v>11</x:v>
      </x:c>
    </x:row>
    <x:row r="4587" ht="20" customHeight="1">
      <x:c r="A4587" s="1" t="str">
        <x:v>22720</x:v>
      </x:c>
      <x:c r="B4587" s="9" t="d">
        <x:v>2011-06-20T00:00:00.000Z</x:v>
      </x:c>
      <x:c r="C4587" s="13" t="n">
        <x:v>44</x:v>
      </x:c>
    </x:row>
    <x:row r="4588" ht="20" customHeight="1">
      <x:c r="A4588" s="1" t="str">
        <x:v>22720</x:v>
      </x:c>
      <x:c r="B4588" s="9" t="d">
        <x:v>2011-06-21T00:00:00.000Z</x:v>
      </x:c>
      <x:c r="C4588" s="13" t="n">
        <x:v>2</x:v>
      </x:c>
    </x:row>
    <x:row r="4589" ht="20" customHeight="1">
      <x:c r="A4589" s="1" t="str">
        <x:v>22720</x:v>
      </x:c>
      <x:c r="B4589" s="9" t="d">
        <x:v>2011-06-22T00:00:00.000Z</x:v>
      </x:c>
      <x:c r="C4589" s="13" t="n">
        <x:v>35</x:v>
      </x:c>
    </x:row>
    <x:row r="4590" ht="20" customHeight="1">
      <x:c r="A4590" s="1" t="str">
        <x:v>22720</x:v>
      </x:c>
      <x:c r="B4590" s="9" t="d">
        <x:v>2011-06-23T00:00:00.000Z</x:v>
      </x:c>
      <x:c r="C4590" s="13" t="n">
        <x:v>52</x:v>
      </x:c>
    </x:row>
    <x:row r="4591" ht="20" customHeight="1">
      <x:c r="A4591" s="1" t="str">
        <x:v>22720</x:v>
      </x:c>
      <x:c r="B4591" s="9" t="d">
        <x:v>2011-06-24T00:00:00.000Z</x:v>
      </x:c>
      <x:c r="C4591" s="13" t="n">
        <x:v>6</x:v>
      </x:c>
    </x:row>
    <x:row r="4592" ht="20" customHeight="1">
      <x:c r="A4592" s="1" t="str">
        <x:v>22720</x:v>
      </x:c>
      <x:c r="B4592" s="9" t="d">
        <x:v>2011-06-25T00:00:00.000Z</x:v>
      </x:c>
      <x:c r="C4592" s="13" t="n">
        <x:v>0</x:v>
      </x:c>
    </x:row>
    <x:row r="4593" ht="20" customHeight="1">
      <x:c r="A4593" s="1" t="str">
        <x:v>22720</x:v>
      </x:c>
      <x:c r="B4593" s="9" t="d">
        <x:v>2011-06-26T00:00:00.000Z</x:v>
      </x:c>
      <x:c r="C4593" s="13" t="n">
        <x:v>2</x:v>
      </x:c>
    </x:row>
    <x:row r="4594" ht="20" customHeight="1">
      <x:c r="A4594" s="1" t="str">
        <x:v>22720</x:v>
      </x:c>
      <x:c r="B4594" s="9" t="d">
        <x:v>2011-06-27T00:00:00.000Z</x:v>
      </x:c>
      <x:c r="C4594" s="13" t="n">
        <x:v>13</x:v>
      </x:c>
    </x:row>
    <x:row r="4595" ht="20" customHeight="1">
      <x:c r="A4595" s="1" t="str">
        <x:v>22720</x:v>
      </x:c>
      <x:c r="B4595" s="9" t="d">
        <x:v>2011-06-28T00:00:00.000Z</x:v>
      </x:c>
      <x:c r="C4595" s="13" t="n">
        <x:v>3</x:v>
      </x:c>
    </x:row>
    <x:row r="4596" ht="20" customHeight="1">
      <x:c r="A4596" s="1" t="str">
        <x:v>22720</x:v>
      </x:c>
      <x:c r="B4596" s="9" t="d">
        <x:v>2011-06-29T00:00:00.000Z</x:v>
      </x:c>
      <x:c r="C4596" s="13" t="n">
        <x:v>83</x:v>
      </x:c>
    </x:row>
    <x:row r="4597" ht="20" customHeight="1">
      <x:c r="A4597" s="1" t="str">
        <x:v>22720</x:v>
      </x:c>
      <x:c r="B4597" s="9" t="d">
        <x:v>2011-06-30T00:00:00.000Z</x:v>
      </x:c>
      <x:c r="C4597" s="13" t="n">
        <x:v>23</x:v>
      </x:c>
    </x:row>
    <x:row r="4598" ht="20" customHeight="1">
      <x:c r="A4598" s="1" t="str">
        <x:v>22720</x:v>
      </x:c>
      <x:c r="B4598" s="9" t="d">
        <x:v>2011-07-01T00:00:00.000Z</x:v>
      </x:c>
      <x:c r="C4598" s="13" t="n">
        <x:v>3</x:v>
      </x:c>
    </x:row>
    <x:row r="4599" ht="20" customHeight="1">
      <x:c r="A4599" s="1" t="str">
        <x:v>22720</x:v>
      </x:c>
      <x:c r="B4599" s="9" t="d">
        <x:v>2011-07-02T00:00:00.000Z</x:v>
      </x:c>
      <x:c r="C4599" s="13" t="n">
        <x:v>0</x:v>
      </x:c>
    </x:row>
    <x:row r="4600" ht="20" customHeight="1">
      <x:c r="A4600" s="1" t="str">
        <x:v>22720</x:v>
      </x:c>
      <x:c r="B4600" s="9" t="d">
        <x:v>2011-07-03T00:00:00.000Z</x:v>
      </x:c>
      <x:c r="C4600" s="13" t="n">
        <x:v>1</x:v>
      </x:c>
    </x:row>
    <x:row r="4601" ht="20" customHeight="1">
      <x:c r="A4601" s="1" t="str">
        <x:v>22720</x:v>
      </x:c>
      <x:c r="B4601" s="9" t="d">
        <x:v>2011-07-04T00:00:00.000Z</x:v>
      </x:c>
      <x:c r="C4601" s="13" t="n">
        <x:v>13</x:v>
      </x:c>
    </x:row>
    <x:row r="4602" ht="20" customHeight="1">
      <x:c r="A4602" s="1" t="str">
        <x:v>22720</x:v>
      </x:c>
      <x:c r="B4602" s="9" t="d">
        <x:v>2011-07-05T00:00:00.000Z</x:v>
      </x:c>
      <x:c r="C4602" s="13" t="n">
        <x:v>6</x:v>
      </x:c>
    </x:row>
    <x:row r="4603" ht="20" customHeight="1">
      <x:c r="A4603" s="1" t="str">
        <x:v>22720</x:v>
      </x:c>
      <x:c r="B4603" s="9" t="d">
        <x:v>2011-07-06T00:00:00.000Z</x:v>
      </x:c>
      <x:c r="C4603" s="13" t="n">
        <x:v>100</x:v>
      </x:c>
    </x:row>
    <x:row r="4604" ht="20" customHeight="1">
      <x:c r="A4604" s="1" t="str">
        <x:v>22720</x:v>
      </x:c>
      <x:c r="B4604" s="9" t="d">
        <x:v>2011-07-07T00:00:00.000Z</x:v>
      </x:c>
      <x:c r="C4604" s="13" t="n">
        <x:v>45</x:v>
      </x:c>
    </x:row>
    <x:row r="4605" ht="20" customHeight="1">
      <x:c r="A4605" s="1" t="str">
        <x:v>22720</x:v>
      </x:c>
      <x:c r="B4605" s="9" t="d">
        <x:v>2011-07-08T00:00:00.000Z</x:v>
      </x:c>
      <x:c r="C4605" s="13" t="n">
        <x:v>6</x:v>
      </x:c>
    </x:row>
    <x:row r="4606" ht="20" customHeight="1">
      <x:c r="A4606" s="1" t="str">
        <x:v>22720</x:v>
      </x:c>
      <x:c r="B4606" s="9" t="d">
        <x:v>2011-07-09T00:00:00.000Z</x:v>
      </x:c>
      <x:c r="C4606" s="13" t="n">
        <x:v>0</x:v>
      </x:c>
    </x:row>
    <x:row r="4607" ht="20" customHeight="1">
      <x:c r="A4607" s="1" t="str">
        <x:v>22720</x:v>
      </x:c>
      <x:c r="B4607" s="9" t="d">
        <x:v>2011-07-10T00:00:00.000Z</x:v>
      </x:c>
      <x:c r="C4607" s="13" t="n">
        <x:v>0</x:v>
      </x:c>
    </x:row>
    <x:row r="4608" ht="20" customHeight="1">
      <x:c r="A4608" s="1" t="str">
        <x:v>22720</x:v>
      </x:c>
      <x:c r="B4608" s="9" t="d">
        <x:v>2011-07-11T00:00:00.000Z</x:v>
      </x:c>
      <x:c r="C4608" s="13" t="n">
        <x:v>37</x:v>
      </x:c>
    </x:row>
    <x:row r="4609" ht="20" customHeight="1">
      <x:c r="A4609" s="1" t="str">
        <x:v>22720</x:v>
      </x:c>
      <x:c r="B4609" s="9" t="d">
        <x:v>2011-07-12T00:00:00.000Z</x:v>
      </x:c>
      <x:c r="C4609" s="13" t="n">
        <x:v>6</x:v>
      </x:c>
    </x:row>
    <x:row r="4610" ht="20" customHeight="1">
      <x:c r="A4610" s="1" t="str">
        <x:v>22720</x:v>
      </x:c>
      <x:c r="B4610" s="9" t="d">
        <x:v>2011-07-13T00:00:00.000Z</x:v>
      </x:c>
      <x:c r="C4610" s="13" t="n">
        <x:v>8</x:v>
      </x:c>
    </x:row>
    <x:row r="4611" ht="20" customHeight="1">
      <x:c r="A4611" s="1" t="str">
        <x:v>22720</x:v>
      </x:c>
      <x:c r="B4611" s="9" t="d">
        <x:v>2011-07-14T00:00:00.000Z</x:v>
      </x:c>
      <x:c r="C4611" s="13" t="n">
        <x:v>25</x:v>
      </x:c>
    </x:row>
    <x:row r="4612" ht="20" customHeight="1">
      <x:c r="A4612" s="1" t="str">
        <x:v>22720</x:v>
      </x:c>
      <x:c r="B4612" s="9" t="d">
        <x:v>2011-07-15T00:00:00.000Z</x:v>
      </x:c>
      <x:c r="C4612" s="13" t="n">
        <x:v>13</x:v>
      </x:c>
    </x:row>
    <x:row r="4613" ht="20" customHeight="1">
      <x:c r="A4613" s="1" t="str">
        <x:v>22720</x:v>
      </x:c>
      <x:c r="B4613" s="9" t="d">
        <x:v>2011-07-16T00:00:00.000Z</x:v>
      </x:c>
      <x:c r="C4613" s="13" t="n">
        <x:v>0</x:v>
      </x:c>
    </x:row>
    <x:row r="4614" ht="20" customHeight="1">
      <x:c r="A4614" s="1" t="str">
        <x:v>22720</x:v>
      </x:c>
      <x:c r="B4614" s="9" t="d">
        <x:v>2011-07-17T00:00:00.000Z</x:v>
      </x:c>
      <x:c r="C4614" s="13" t="n">
        <x:v>10</x:v>
      </x:c>
    </x:row>
    <x:row r="4615" ht="20" customHeight="1">
      <x:c r="A4615" s="1" t="str">
        <x:v>22720</x:v>
      </x:c>
      <x:c r="B4615" s="9" t="d">
        <x:v>2011-07-18T00:00:00.000Z</x:v>
      </x:c>
      <x:c r="C4615" s="13" t="n">
        <x:v>21</x:v>
      </x:c>
    </x:row>
    <x:row r="4616" ht="20" customHeight="1">
      <x:c r="A4616" s="1" t="str">
        <x:v>22720</x:v>
      </x:c>
      <x:c r="B4616" s="9" t="d">
        <x:v>2011-07-19T00:00:00.000Z</x:v>
      </x:c>
      <x:c r="C4616" s="13" t="n">
        <x:v>20</x:v>
      </x:c>
    </x:row>
    <x:row r="4617" ht="20" customHeight="1">
      <x:c r="A4617" s="1" t="str">
        <x:v>22720</x:v>
      </x:c>
      <x:c r="B4617" s="9" t="d">
        <x:v>2011-07-20T00:00:00.000Z</x:v>
      </x:c>
      <x:c r="C4617" s="13" t="n">
        <x:v>12</x:v>
      </x:c>
    </x:row>
    <x:row r="4618" ht="20" customHeight="1">
      <x:c r="A4618" s="1" t="str">
        <x:v>22720</x:v>
      </x:c>
      <x:c r="B4618" s="9" t="d">
        <x:v>2011-07-21T00:00:00.000Z</x:v>
      </x:c>
      <x:c r="C4618" s="13" t="n">
        <x:v>19</x:v>
      </x:c>
    </x:row>
    <x:row r="4619" ht="20" customHeight="1">
      <x:c r="A4619" s="1" t="str">
        <x:v>22720</x:v>
      </x:c>
      <x:c r="B4619" s="9" t="d">
        <x:v>2011-07-22T00:00:00.000Z</x:v>
      </x:c>
      <x:c r="C4619" s="13" t="n">
        <x:v>22</x:v>
      </x:c>
    </x:row>
    <x:row r="4620" ht="20" customHeight="1">
      <x:c r="A4620" s="1" t="str">
        <x:v>22720</x:v>
      </x:c>
      <x:c r="B4620" s="9" t="d">
        <x:v>2011-07-23T00:00:00.000Z</x:v>
      </x:c>
      <x:c r="C4620" s="13" t="n">
        <x:v>0</x:v>
      </x:c>
    </x:row>
    <x:row r="4621" ht="20" customHeight="1">
      <x:c r="A4621" s="1" t="str">
        <x:v>22720</x:v>
      </x:c>
      <x:c r="B4621" s="9" t="d">
        <x:v>2011-07-24T00:00:00.000Z</x:v>
      </x:c>
      <x:c r="C4621" s="13" t="n">
        <x:v>10</x:v>
      </x:c>
    </x:row>
    <x:row r="4622" ht="20" customHeight="1">
      <x:c r="A4622" s="1" t="str">
        <x:v>22720</x:v>
      </x:c>
      <x:c r="B4622" s="9" t="d">
        <x:v>2011-07-25T00:00:00.000Z</x:v>
      </x:c>
      <x:c r="C4622" s="13" t="n">
        <x:v>17</x:v>
      </x:c>
    </x:row>
    <x:row r="4623" ht="20" customHeight="1">
      <x:c r="A4623" s="1" t="str">
        <x:v>22720</x:v>
      </x:c>
      <x:c r="B4623" s="9" t="d">
        <x:v>2011-07-26T00:00:00.000Z</x:v>
      </x:c>
      <x:c r="C4623" s="13" t="n">
        <x:v>12</x:v>
      </x:c>
    </x:row>
    <x:row r="4624" ht="20" customHeight="1">
      <x:c r="A4624" s="1" t="str">
        <x:v>22720</x:v>
      </x:c>
      <x:c r="B4624" s="9" t="d">
        <x:v>2011-07-27T00:00:00.000Z</x:v>
      </x:c>
      <x:c r="C4624" s="13" t="n">
        <x:v>13</x:v>
      </x:c>
    </x:row>
    <x:row r="4625" ht="20" customHeight="1">
      <x:c r="A4625" s="1" t="str">
        <x:v>22720</x:v>
      </x:c>
      <x:c r="B4625" s="9" t="d">
        <x:v>2011-07-28T00:00:00.000Z</x:v>
      </x:c>
      <x:c r="C4625" s="13" t="n">
        <x:v>13</x:v>
      </x:c>
    </x:row>
    <x:row r="4626" ht="20" customHeight="1">
      <x:c r="A4626" s="1" t="str">
        <x:v>22720</x:v>
      </x:c>
      <x:c r="B4626" s="9" t="d">
        <x:v>2011-07-29T00:00:00.000Z</x:v>
      </x:c>
      <x:c r="C4626" s="13" t="n">
        <x:v>35</x:v>
      </x:c>
    </x:row>
    <x:row r="4627" ht="20" customHeight="1">
      <x:c r="A4627" s="1" t="str">
        <x:v>22720</x:v>
      </x:c>
      <x:c r="B4627" s="9" t="d">
        <x:v>2011-07-30T00:00:00.000Z</x:v>
      </x:c>
      <x:c r="C4627" s="13" t="n">
        <x:v>0</x:v>
      </x:c>
    </x:row>
    <x:row r="4628" ht="20" customHeight="1">
      <x:c r="A4628" s="1" t="str">
        <x:v>22720</x:v>
      </x:c>
      <x:c r="B4628" s="9" t="d">
        <x:v>2011-07-31T00:00:00.000Z</x:v>
      </x:c>
      <x:c r="C4628" s="13" t="n">
        <x:v>35</x:v>
      </x:c>
    </x:row>
    <x:row r="4629" ht="20" customHeight="1">
      <x:c r="A4629" s="1" t="str">
        <x:v>22720</x:v>
      </x:c>
      <x:c r="B4629" s="9" t="d">
        <x:v>2011-08-01T00:00:00.000Z</x:v>
      </x:c>
      <x:c r="C4629" s="13" t="n">
        <x:v>43</x:v>
      </x:c>
    </x:row>
    <x:row r="4630" ht="20" customHeight="1">
      <x:c r="A4630" s="1" t="str">
        <x:v>22720</x:v>
      </x:c>
      <x:c r="B4630" s="9" t="d">
        <x:v>2011-08-02T00:00:00.000Z</x:v>
      </x:c>
      <x:c r="C4630" s="13" t="n">
        <x:v>10</x:v>
      </x:c>
    </x:row>
    <x:row r="4631" ht="20" customHeight="1">
      <x:c r="A4631" s="1" t="str">
        <x:v>22720</x:v>
      </x:c>
      <x:c r="B4631" s="9" t="d">
        <x:v>2011-08-03T00:00:00.000Z</x:v>
      </x:c>
      <x:c r="C4631" s="13" t="n">
        <x:v>16</x:v>
      </x:c>
    </x:row>
    <x:row r="4632" ht="20" customHeight="1">
      <x:c r="A4632" s="1" t="str">
        <x:v>22720</x:v>
      </x:c>
      <x:c r="B4632" s="9" t="d">
        <x:v>2011-08-04T00:00:00.000Z</x:v>
      </x:c>
      <x:c r="C4632" s="13" t="n">
        <x:v>48</x:v>
      </x:c>
    </x:row>
    <x:row r="4633" ht="20" customHeight="1">
      <x:c r="A4633" s="1" t="str">
        <x:v>22720</x:v>
      </x:c>
      <x:c r="B4633" s="9" t="d">
        <x:v>2011-08-05T00:00:00.000Z</x:v>
      </x:c>
      <x:c r="C4633" s="13" t="n">
        <x:v>9</x:v>
      </x:c>
    </x:row>
    <x:row r="4634" ht="20" customHeight="1">
      <x:c r="A4634" s="1" t="str">
        <x:v>22720</x:v>
      </x:c>
      <x:c r="B4634" s="9" t="d">
        <x:v>2011-08-06T00:00:00.000Z</x:v>
      </x:c>
      <x:c r="C4634" s="13" t="n">
        <x:v>0</x:v>
      </x:c>
    </x:row>
    <x:row r="4635" ht="20" customHeight="1">
      <x:c r="A4635" s="1" t="str">
        <x:v>22720</x:v>
      </x:c>
      <x:c r="B4635" s="9" t="d">
        <x:v>2011-08-07T00:00:00.000Z</x:v>
      </x:c>
      <x:c r="C4635" s="13" t="n">
        <x:v>0</x:v>
      </x:c>
    </x:row>
    <x:row r="4636" ht="20" customHeight="1">
      <x:c r="A4636" s="1" t="str">
        <x:v>22720</x:v>
      </x:c>
      <x:c r="B4636" s="9" t="d">
        <x:v>2011-08-08T00:00:00.000Z</x:v>
      </x:c>
      <x:c r="C4636" s="13" t="n">
        <x:v>4</x:v>
      </x:c>
    </x:row>
    <x:row r="4637" ht="20" customHeight="1">
      <x:c r="A4637" s="1" t="str">
        <x:v>22720</x:v>
      </x:c>
      <x:c r="B4637" s="9" t="d">
        <x:v>2011-08-09T00:00:00.000Z</x:v>
      </x:c>
      <x:c r="C4637" s="13" t="n">
        <x:v>38</x:v>
      </x:c>
    </x:row>
    <x:row r="4638" ht="20" customHeight="1">
      <x:c r="A4638" s="1" t="str">
        <x:v>22720</x:v>
      </x:c>
      <x:c r="B4638" s="9" t="d">
        <x:v>2011-08-10T00:00:00.000Z</x:v>
      </x:c>
      <x:c r="C4638" s="13" t="n">
        <x:v>16</x:v>
      </x:c>
    </x:row>
    <x:row r="4639" ht="20" customHeight="1">
      <x:c r="A4639" s="1" t="str">
        <x:v>22720</x:v>
      </x:c>
      <x:c r="B4639" s="9" t="d">
        <x:v>2011-08-11T00:00:00.000Z</x:v>
      </x:c>
      <x:c r="C4639" s="13" t="n">
        <x:v>11</x:v>
      </x:c>
    </x:row>
    <x:row r="4640" ht="20" customHeight="1">
      <x:c r="A4640" s="1" t="str">
        <x:v>22720</x:v>
      </x:c>
      <x:c r="B4640" s="9" t="d">
        <x:v>2011-08-12T00:00:00.000Z</x:v>
      </x:c>
      <x:c r="C4640" s="13" t="n">
        <x:v>36</x:v>
      </x:c>
    </x:row>
    <x:row r="4641" ht="20" customHeight="1">
      <x:c r="A4641" s="1" t="str">
        <x:v>22720</x:v>
      </x:c>
      <x:c r="B4641" s="9" t="d">
        <x:v>2011-08-13T00:00:00.000Z</x:v>
      </x:c>
      <x:c r="C4641" s="13" t="n">
        <x:v>0</x:v>
      </x:c>
    </x:row>
    <x:row r="4642" ht="20" customHeight="1">
      <x:c r="A4642" s="1" t="str">
        <x:v>22720</x:v>
      </x:c>
      <x:c r="B4642" s="9" t="d">
        <x:v>2011-08-14T00:00:00.000Z</x:v>
      </x:c>
      <x:c r="C4642" s="13" t="n">
        <x:v>3</x:v>
      </x:c>
    </x:row>
    <x:row r="4643" ht="20" customHeight="1">
      <x:c r="A4643" s="1" t="str">
        <x:v>22720</x:v>
      </x:c>
      <x:c r="B4643" s="9" t="d">
        <x:v>2011-08-15T00:00:00.000Z</x:v>
      </x:c>
      <x:c r="C4643" s="13" t="n">
        <x:v>12</x:v>
      </x:c>
    </x:row>
    <x:row r="4644" ht="20" customHeight="1">
      <x:c r="A4644" s="1" t="str">
        <x:v>22720</x:v>
      </x:c>
      <x:c r="B4644" s="9" t="d">
        <x:v>2011-08-16T00:00:00.000Z</x:v>
      </x:c>
      <x:c r="C4644" s="13" t="n">
        <x:v>3</x:v>
      </x:c>
    </x:row>
    <x:row r="4645" ht="20" customHeight="1">
      <x:c r="A4645" s="1" t="str">
        <x:v>22720</x:v>
      </x:c>
      <x:c r="B4645" s="9" t="d">
        <x:v>2011-08-17T00:00:00.000Z</x:v>
      </x:c>
      <x:c r="C4645" s="13" t="n">
        <x:v>169</x:v>
      </x:c>
    </x:row>
    <x:row r="4646" ht="20" customHeight="1">
      <x:c r="A4646" s="1" t="str">
        <x:v>22720</x:v>
      </x:c>
      <x:c r="B4646" s="9" t="d">
        <x:v>2011-08-18T00:00:00.000Z</x:v>
      </x:c>
      <x:c r="C4646" s="13" t="n">
        <x:v>84</x:v>
      </x:c>
    </x:row>
    <x:row r="4647" ht="20" customHeight="1">
      <x:c r="A4647" s="1" t="str">
        <x:v>22720</x:v>
      </x:c>
      <x:c r="B4647" s="9" t="d">
        <x:v>2011-08-19T00:00:00.000Z</x:v>
      </x:c>
      <x:c r="C4647" s="13" t="n">
        <x:v>7</x:v>
      </x:c>
    </x:row>
    <x:row r="4648" ht="20" customHeight="1">
      <x:c r="A4648" s="1" t="str">
        <x:v>22720</x:v>
      </x:c>
      <x:c r="B4648" s="9" t="d">
        <x:v>2011-08-20T00:00:00.000Z</x:v>
      </x:c>
      <x:c r="C4648" s="13" t="n">
        <x:v>0</x:v>
      </x:c>
    </x:row>
    <x:row r="4649" ht="20" customHeight="1">
      <x:c r="A4649" s="1" t="str">
        <x:v>22720</x:v>
      </x:c>
      <x:c r="B4649" s="9" t="d">
        <x:v>2011-08-21T00:00:00.000Z</x:v>
      </x:c>
      <x:c r="C4649" s="13" t="n">
        <x:v>13</x:v>
      </x:c>
    </x:row>
    <x:row r="4650" ht="20" customHeight="1">
      <x:c r="A4650" s="1" t="str">
        <x:v>22720</x:v>
      </x:c>
      <x:c r="B4650" s="9" t="d">
        <x:v>2011-08-22T00:00:00.000Z</x:v>
      </x:c>
      <x:c r="C4650" s="13" t="n">
        <x:v>6</x:v>
      </x:c>
    </x:row>
    <x:row r="4651" ht="20" customHeight="1">
      <x:c r="A4651" s="1" t="str">
        <x:v>22720</x:v>
      </x:c>
      <x:c r="B4651" s="9" t="d">
        <x:v>2011-08-23T00:00:00.000Z</x:v>
      </x:c>
      <x:c r="C4651" s="13" t="n">
        <x:v>8</x:v>
      </x:c>
    </x:row>
    <x:row r="4652" ht="20" customHeight="1">
      <x:c r="A4652" s="1" t="str">
        <x:v>22720</x:v>
      </x:c>
      <x:c r="B4652" s="9" t="d">
        <x:v>2011-08-24T00:00:00.000Z</x:v>
      </x:c>
      <x:c r="C4652" s="13" t="n">
        <x:v>27</x:v>
      </x:c>
    </x:row>
    <x:row r="4653" ht="20" customHeight="1">
      <x:c r="A4653" s="1" t="str">
        <x:v>22720</x:v>
      </x:c>
      <x:c r="B4653" s="9" t="d">
        <x:v>2011-08-25T00:00:00.000Z</x:v>
      </x:c>
      <x:c r="C4653" s="13" t="n">
        <x:v>18</x:v>
      </x:c>
    </x:row>
    <x:row r="4654" ht="20" customHeight="1">
      <x:c r="A4654" s="1" t="str">
        <x:v>22720</x:v>
      </x:c>
      <x:c r="B4654" s="9" t="d">
        <x:v>2011-08-26T00:00:00.000Z</x:v>
      </x:c>
      <x:c r="C4654" s="13" t="n">
        <x:v>6</x:v>
      </x:c>
    </x:row>
    <x:row r="4655" ht="20" customHeight="1">
      <x:c r="A4655" s="1" t="str">
        <x:v>22720</x:v>
      </x:c>
      <x:c r="B4655" s="9" t="d">
        <x:v>2011-08-27T00:00:00.000Z</x:v>
      </x:c>
      <x:c r="C4655" s="13" t="n">
        <x:v>0</x:v>
      </x:c>
    </x:row>
    <x:row r="4656" ht="20" customHeight="1">
      <x:c r="A4656" s="1" t="str">
        <x:v>22720</x:v>
      </x:c>
      <x:c r="B4656" s="9" t="d">
        <x:v>2011-08-28T00:00:00.000Z</x:v>
      </x:c>
      <x:c r="C4656" s="13" t="n">
        <x:v>4</x:v>
      </x:c>
    </x:row>
    <x:row r="4657" ht="20" customHeight="1">
      <x:c r="A4657" s="1" t="str">
        <x:v>22720</x:v>
      </x:c>
      <x:c r="B4657" s="9" t="d">
        <x:v>2011-08-29T00:00:00.000Z</x:v>
      </x:c>
      <x:c r="C4657" s="13" t="n">
        <x:v>0</x:v>
      </x:c>
    </x:row>
    <x:row r="4658" ht="20" customHeight="1">
      <x:c r="A4658" s="1" t="str">
        <x:v>22720</x:v>
      </x:c>
      <x:c r="B4658" s="9" t="d">
        <x:v>2011-08-30T00:00:00.000Z</x:v>
      </x:c>
      <x:c r="C4658" s="13" t="n">
        <x:v>15</x:v>
      </x:c>
    </x:row>
    <x:row r="4659" ht="20" customHeight="1">
      <x:c r="A4659" s="1" t="str">
        <x:v>22720</x:v>
      </x:c>
      <x:c r="B4659" s="9" t="d">
        <x:v>2011-08-31T00:00:00.000Z</x:v>
      </x:c>
      <x:c r="C4659" s="13" t="n">
        <x:v>12</x:v>
      </x:c>
    </x:row>
    <x:row r="4660" ht="20" customHeight="1">
      <x:c r="A4660" s="1" t="str">
        <x:v>22720</x:v>
      </x:c>
      <x:c r="B4660" s="9" t="d">
        <x:v>2011-09-01T00:00:00.000Z</x:v>
      </x:c>
      <x:c r="C4660" s="13" t="n">
        <x:v>20</x:v>
      </x:c>
    </x:row>
    <x:row r="4661" ht="20" customHeight="1">
      <x:c r="A4661" s="1" t="str">
        <x:v>22720</x:v>
      </x:c>
      <x:c r="B4661" s="9" t="d">
        <x:v>2011-09-02T00:00:00.000Z</x:v>
      </x:c>
      <x:c r="C4661" s="13" t="n">
        <x:v>8</x:v>
      </x:c>
    </x:row>
    <x:row r="4662" ht="20" customHeight="1">
      <x:c r="A4662" s="1" t="str">
        <x:v>22720</x:v>
      </x:c>
      <x:c r="B4662" s="9" t="d">
        <x:v>2011-09-03T00:00:00.000Z</x:v>
      </x:c>
      <x:c r="C4662" s="13" t="n">
        <x:v>0</x:v>
      </x:c>
    </x:row>
    <x:row r="4663" ht="20" customHeight="1">
      <x:c r="A4663" s="1" t="str">
        <x:v>22720</x:v>
      </x:c>
      <x:c r="B4663" s="9" t="d">
        <x:v>2011-09-04T00:00:00.000Z</x:v>
      </x:c>
      <x:c r="C4663" s="13" t="n">
        <x:v>15</x:v>
      </x:c>
    </x:row>
    <x:row r="4664" ht="20" customHeight="1">
      <x:c r="A4664" s="1" t="str">
        <x:v>22720</x:v>
      </x:c>
      <x:c r="B4664" s="9" t="d">
        <x:v>2011-09-05T00:00:00.000Z</x:v>
      </x:c>
      <x:c r="C4664" s="13" t="n">
        <x:v>11</x:v>
      </x:c>
    </x:row>
    <x:row r="4665" ht="20" customHeight="1">
      <x:c r="A4665" s="1" t="str">
        <x:v>22720</x:v>
      </x:c>
      <x:c r="B4665" s="9" t="d">
        <x:v>2011-09-06T00:00:00.000Z</x:v>
      </x:c>
      <x:c r="C4665" s="13" t="n">
        <x:v>1</x:v>
      </x:c>
    </x:row>
    <x:row r="4666" ht="20" customHeight="1">
      <x:c r="A4666" s="1" t="str">
        <x:v>22720</x:v>
      </x:c>
      <x:c r="B4666" s="9" t="d">
        <x:v>2011-09-07T00:00:00.000Z</x:v>
      </x:c>
      <x:c r="C4666" s="13" t="n">
        <x:v>5</x:v>
      </x:c>
    </x:row>
    <x:row r="4667" ht="20" customHeight="1">
      <x:c r="A4667" s="1" t="str">
        <x:v>22720</x:v>
      </x:c>
      <x:c r="B4667" s="9" t="d">
        <x:v>2011-09-08T00:00:00.000Z</x:v>
      </x:c>
      <x:c r="C4667" s="13" t="n">
        <x:v>10</x:v>
      </x:c>
    </x:row>
    <x:row r="4668" ht="20" customHeight="1">
      <x:c r="A4668" s="1" t="str">
        <x:v>22720</x:v>
      </x:c>
      <x:c r="B4668" s="9" t="d">
        <x:v>2011-09-09T00:00:00.000Z</x:v>
      </x:c>
      <x:c r="C4668" s="13" t="n">
        <x:v>26</x:v>
      </x:c>
    </x:row>
    <x:row r="4669" ht="20" customHeight="1">
      <x:c r="A4669" s="1" t="str">
        <x:v>22720</x:v>
      </x:c>
      <x:c r="B4669" s="9" t="d">
        <x:v>2011-09-10T00:00:00.000Z</x:v>
      </x:c>
      <x:c r="C4669" s="13" t="n">
        <x:v>0</x:v>
      </x:c>
    </x:row>
    <x:row r="4670" ht="20" customHeight="1">
      <x:c r="A4670" s="1" t="str">
        <x:v>22720</x:v>
      </x:c>
      <x:c r="B4670" s="9" t="d">
        <x:v>2011-09-11T00:00:00.000Z</x:v>
      </x:c>
      <x:c r="C4670" s="13" t="n">
        <x:v>60</x:v>
      </x:c>
    </x:row>
    <x:row r="4671" ht="20" customHeight="1">
      <x:c r="A4671" s="1" t="str">
        <x:v>22720</x:v>
      </x:c>
      <x:c r="B4671" s="9" t="d">
        <x:v>2011-09-12T00:00:00.000Z</x:v>
      </x:c>
      <x:c r="C4671" s="13" t="n">
        <x:v>18</x:v>
      </x:c>
    </x:row>
    <x:row r="4672" ht="20" customHeight="1">
      <x:c r="A4672" s="1" t="str">
        <x:v>22720</x:v>
      </x:c>
      <x:c r="B4672" s="9" t="d">
        <x:v>2011-09-13T00:00:00.000Z</x:v>
      </x:c>
      <x:c r="C4672" s="13" t="n">
        <x:v>14</x:v>
      </x:c>
    </x:row>
    <x:row r="4673" ht="20" customHeight="1">
      <x:c r="A4673" s="1" t="str">
        <x:v>22720</x:v>
      </x:c>
      <x:c r="B4673" s="9" t="d">
        <x:v>2011-09-14T00:00:00.000Z</x:v>
      </x:c>
      <x:c r="C4673" s="13" t="n">
        <x:v>8</x:v>
      </x:c>
    </x:row>
    <x:row r="4674" ht="20" customHeight="1">
      <x:c r="A4674" s="1" t="str">
        <x:v>22720</x:v>
      </x:c>
      <x:c r="B4674" s="9" t="d">
        <x:v>2011-09-15T00:00:00.000Z</x:v>
      </x:c>
      <x:c r="C4674" s="13" t="n">
        <x:v>22</x:v>
      </x:c>
    </x:row>
    <x:row r="4675" ht="20" customHeight="1">
      <x:c r="A4675" s="1" t="str">
        <x:v>22720</x:v>
      </x:c>
      <x:c r="B4675" s="9" t="d">
        <x:v>2011-09-16T00:00:00.000Z</x:v>
      </x:c>
      <x:c r="C4675" s="13" t="n">
        <x:v>21</x:v>
      </x:c>
    </x:row>
    <x:row r="4676" ht="20" customHeight="1">
      <x:c r="A4676" s="1" t="str">
        <x:v>22720</x:v>
      </x:c>
      <x:c r="B4676" s="9" t="d">
        <x:v>2011-09-17T00:00:00.000Z</x:v>
      </x:c>
      <x:c r="C4676" s="13" t="n">
        <x:v>0</x:v>
      </x:c>
    </x:row>
    <x:row r="4677" ht="20" customHeight="1">
      <x:c r="A4677" s="1" t="str">
        <x:v>22720</x:v>
      </x:c>
      <x:c r="B4677" s="9" t="d">
        <x:v>2011-09-18T00:00:00.000Z</x:v>
      </x:c>
      <x:c r="C4677" s="13" t="n">
        <x:v>17</x:v>
      </x:c>
    </x:row>
    <x:row r="4678" ht="20" customHeight="1">
      <x:c r="A4678" s="1" t="str">
        <x:v>22720</x:v>
      </x:c>
      <x:c r="B4678" s="9" t="d">
        <x:v>2011-09-19T00:00:00.000Z</x:v>
      </x:c>
      <x:c r="C4678" s="13" t="n">
        <x:v>6</x:v>
      </x:c>
    </x:row>
    <x:row r="4679" ht="20" customHeight="1">
      <x:c r="A4679" s="1" t="str">
        <x:v>22720</x:v>
      </x:c>
      <x:c r="B4679" s="9" t="d">
        <x:v>2011-09-20T00:00:00.000Z</x:v>
      </x:c>
      <x:c r="C4679" s="13" t="n">
        <x:v>719</x:v>
      </x:c>
    </x:row>
    <x:row r="4680" ht="20" customHeight="1">
      <x:c r="A4680" s="1" t="str">
        <x:v>22720</x:v>
      </x:c>
      <x:c r="B4680" s="9" t="d">
        <x:v>2011-09-21T00:00:00.000Z</x:v>
      </x:c>
      <x:c r="C4680" s="13" t="n">
        <x:v>22</x:v>
      </x:c>
    </x:row>
    <x:row r="4681" ht="20" customHeight="1">
      <x:c r="A4681" s="1" t="str">
        <x:v>22720</x:v>
      </x:c>
      <x:c r="B4681" s="9" t="d">
        <x:v>2011-09-22T00:00:00.000Z</x:v>
      </x:c>
      <x:c r="C4681" s="13" t="n">
        <x:v>103</x:v>
      </x:c>
    </x:row>
    <x:row r="4682" ht="20" customHeight="1">
      <x:c r="A4682" s="1" t="str">
        <x:v>22720</x:v>
      </x:c>
      <x:c r="B4682" s="9" t="d">
        <x:v>2011-09-23T00:00:00.000Z</x:v>
      </x:c>
      <x:c r="C4682" s="13" t="n">
        <x:v>20</x:v>
      </x:c>
    </x:row>
    <x:row r="4683" ht="20" customHeight="1">
      <x:c r="A4683" s="1" t="str">
        <x:v>22720</x:v>
      </x:c>
      <x:c r="B4683" s="9" t="d">
        <x:v>2011-09-24T00:00:00.000Z</x:v>
      </x:c>
      <x:c r="C4683" s="13" t="n">
        <x:v>0</x:v>
      </x:c>
    </x:row>
    <x:row r="4684" ht="20" customHeight="1">
      <x:c r="A4684" s="1" t="str">
        <x:v>22720</x:v>
      </x:c>
      <x:c r="B4684" s="9" t="d">
        <x:v>2011-09-25T00:00:00.000Z</x:v>
      </x:c>
      <x:c r="C4684" s="13" t="n">
        <x:v>39</x:v>
      </x:c>
    </x:row>
    <x:row r="4685" ht="20" customHeight="1">
      <x:c r="A4685" s="1" t="str">
        <x:v>22720</x:v>
      </x:c>
      <x:c r="B4685" s="9" t="d">
        <x:v>2011-09-26T00:00:00.000Z</x:v>
      </x:c>
      <x:c r="C4685" s="13" t="n">
        <x:v>8</x:v>
      </x:c>
    </x:row>
    <x:row r="4686" ht="20" customHeight="1">
      <x:c r="A4686" s="1" t="str">
        <x:v>22720</x:v>
      </x:c>
      <x:c r="B4686" s="9" t="d">
        <x:v>2011-09-27T00:00:00.000Z</x:v>
      </x:c>
      <x:c r="C4686" s="13" t="n">
        <x:v>15</x:v>
      </x:c>
    </x:row>
    <x:row r="4687" ht="20" customHeight="1">
      <x:c r="A4687" s="1" t="str">
        <x:v>22720</x:v>
      </x:c>
      <x:c r="B4687" s="9" t="d">
        <x:v>2011-09-28T00:00:00.000Z</x:v>
      </x:c>
      <x:c r="C4687" s="13" t="n">
        <x:v>35</x:v>
      </x:c>
    </x:row>
    <x:row r="4688" ht="20" customHeight="1">
      <x:c r="A4688" s="1" t="str">
        <x:v>22720</x:v>
      </x:c>
      <x:c r="B4688" s="9" t="d">
        <x:v>2011-09-29T00:00:00.000Z</x:v>
      </x:c>
      <x:c r="C4688" s="13" t="n">
        <x:v>8</x:v>
      </x:c>
    </x:row>
    <x:row r="4689" ht="20" customHeight="1">
      <x:c r="A4689" s="1" t="str">
        <x:v>22720</x:v>
      </x:c>
      <x:c r="B4689" s="9" t="d">
        <x:v>2011-09-30T00:00:00.000Z</x:v>
      </x:c>
      <x:c r="C4689" s="13" t="n">
        <x:v>12</x:v>
      </x:c>
    </x:row>
    <x:row r="4690" ht="20" customHeight="1">
      <x:c r="A4690" s="1" t="str">
        <x:v>22720</x:v>
      </x:c>
      <x:c r="B4690" s="9" t="d">
        <x:v>2011-10-01T00:00:00.000Z</x:v>
      </x:c>
      <x:c r="C4690" s="13" t="n">
        <x:v>0</x:v>
      </x:c>
    </x:row>
    <x:row r="4691" ht="20" customHeight="1">
      <x:c r="A4691" s="1" t="str">
        <x:v>22720</x:v>
      </x:c>
      <x:c r="B4691" s="9" t="d">
        <x:v>2011-10-02T00:00:00.000Z</x:v>
      </x:c>
      <x:c r="C4691" s="13" t="n">
        <x:v>1</x:v>
      </x:c>
    </x:row>
    <x:row r="4692" ht="20" customHeight="1">
      <x:c r="A4692" s="1" t="str">
        <x:v>22720</x:v>
      </x:c>
      <x:c r="B4692" s="9" t="d">
        <x:v>2011-10-03T00:00:00.000Z</x:v>
      </x:c>
      <x:c r="C4692" s="13" t="n">
        <x:v>13</x:v>
      </x:c>
    </x:row>
    <x:row r="4693" ht="20" customHeight="1">
      <x:c r="A4693" s="1" t="str">
        <x:v>22720</x:v>
      </x:c>
      <x:c r="B4693" s="9" t="d">
        <x:v>2011-10-04T00:00:00.000Z</x:v>
      </x:c>
      <x:c r="C4693" s="13" t="n">
        <x:v>27</x:v>
      </x:c>
    </x:row>
    <x:row r="4694" ht="20" customHeight="1">
      <x:c r="A4694" s="1" t="str">
        <x:v>22720</x:v>
      </x:c>
      <x:c r="B4694" s="9" t="d">
        <x:v>2011-10-05T00:00:00.000Z</x:v>
      </x:c>
      <x:c r="C4694" s="13" t="n">
        <x:v>41</x:v>
      </x:c>
    </x:row>
    <x:row r="4695" ht="20" customHeight="1">
      <x:c r="A4695" s="1" t="str">
        <x:v>22720</x:v>
      </x:c>
      <x:c r="B4695" s="9" t="d">
        <x:v>2011-10-06T00:00:00.000Z</x:v>
      </x:c>
      <x:c r="C4695" s="13" t="n">
        <x:v>16</x:v>
      </x:c>
    </x:row>
    <x:row r="4696" ht="20" customHeight="1">
      <x:c r="A4696" s="1" t="str">
        <x:v>22720</x:v>
      </x:c>
      <x:c r="B4696" s="9" t="d">
        <x:v>2011-10-07T00:00:00.000Z</x:v>
      </x:c>
      <x:c r="C4696" s="13" t="n">
        <x:v>31</x:v>
      </x:c>
    </x:row>
    <x:row r="4697" ht="20" customHeight="1">
      <x:c r="A4697" s="1" t="str">
        <x:v>22720</x:v>
      </x:c>
      <x:c r="B4697" s="9" t="d">
        <x:v>2011-10-08T00:00:00.000Z</x:v>
      </x:c>
      <x:c r="C4697" s="13" t="n">
        <x:v>0</x:v>
      </x:c>
    </x:row>
    <x:row r="4698" ht="20" customHeight="1">
      <x:c r="A4698" s="1" t="str">
        <x:v>22720</x:v>
      </x:c>
      <x:c r="B4698" s="9" t="d">
        <x:v>2011-10-09T00:00:00.000Z</x:v>
      </x:c>
      <x:c r="C4698" s="13" t="n">
        <x:v>6</x:v>
      </x:c>
    </x:row>
    <x:row r="4699" ht="20" customHeight="1">
      <x:c r="A4699" s="1" t="str">
        <x:v>22720</x:v>
      </x:c>
      <x:c r="B4699" s="9" t="d">
        <x:v>2011-10-10T00:00:00.000Z</x:v>
      </x:c>
      <x:c r="C4699" s="13" t="n">
        <x:v>26</x:v>
      </x:c>
    </x:row>
    <x:row r="4700" ht="20" customHeight="1">
      <x:c r="A4700" s="1" t="str">
        <x:v>22720</x:v>
      </x:c>
      <x:c r="B4700" s="9" t="d">
        <x:v>2011-10-11T00:00:00.000Z</x:v>
      </x:c>
      <x:c r="C4700" s="13" t="n">
        <x:v>39</x:v>
      </x:c>
    </x:row>
    <x:row r="4701" ht="20" customHeight="1">
      <x:c r="A4701" s="1" t="str">
        <x:v>22720</x:v>
      </x:c>
      <x:c r="B4701" s="9" t="d">
        <x:v>2011-10-12T00:00:00.000Z</x:v>
      </x:c>
      <x:c r="C4701" s="13" t="n">
        <x:v>27</x:v>
      </x:c>
    </x:row>
    <x:row r="4702" ht="20" customHeight="1">
      <x:c r="A4702" s="1" t="str">
        <x:v>22720</x:v>
      </x:c>
      <x:c r="B4702" s="9" t="d">
        <x:v>2011-10-13T00:00:00.000Z</x:v>
      </x:c>
      <x:c r="C4702" s="13" t="n">
        <x:v>26</x:v>
      </x:c>
    </x:row>
    <x:row r="4703" ht="20" customHeight="1">
      <x:c r="A4703" s="1" t="str">
        <x:v>22720</x:v>
      </x:c>
      <x:c r="B4703" s="9" t="d">
        <x:v>2011-10-14T00:00:00.000Z</x:v>
      </x:c>
      <x:c r="C4703" s="13" t="n">
        <x:v>36</x:v>
      </x:c>
    </x:row>
    <x:row r="4704" ht="20" customHeight="1">
      <x:c r="A4704" s="1" t="str">
        <x:v>22720</x:v>
      </x:c>
      <x:c r="B4704" s="9" t="d">
        <x:v>2011-10-15T00:00:00.000Z</x:v>
      </x:c>
      <x:c r="C4704" s="13" t="n">
        <x:v>0</x:v>
      </x:c>
    </x:row>
    <x:row r="4705" ht="20" customHeight="1">
      <x:c r="A4705" s="1" t="str">
        <x:v>22720</x:v>
      </x:c>
      <x:c r="B4705" s="9" t="d">
        <x:v>2011-10-16T00:00:00.000Z</x:v>
      </x:c>
      <x:c r="C4705" s="13" t="n">
        <x:v>4</x:v>
      </x:c>
    </x:row>
    <x:row r="4706" ht="20" customHeight="1">
      <x:c r="A4706" s="1" t="str">
        <x:v>22720</x:v>
      </x:c>
      <x:c r="B4706" s="9" t="d">
        <x:v>2011-10-17T00:00:00.000Z</x:v>
      </x:c>
      <x:c r="C4706" s="13" t="n">
        <x:v>114</x:v>
      </x:c>
    </x:row>
    <x:row r="4707" ht="20" customHeight="1">
      <x:c r="A4707" s="1" t="str">
        <x:v>22720</x:v>
      </x:c>
      <x:c r="B4707" s="9" t="d">
        <x:v>2011-10-18T00:00:00.000Z</x:v>
      </x:c>
      <x:c r="C4707" s="13" t="n">
        <x:v>28</x:v>
      </x:c>
    </x:row>
    <x:row r="4708" ht="20" customHeight="1">
      <x:c r="A4708" s="1" t="str">
        <x:v>22720</x:v>
      </x:c>
      <x:c r="B4708" s="9" t="d">
        <x:v>2011-10-19T00:00:00.000Z</x:v>
      </x:c>
      <x:c r="C4708" s="13" t="n">
        <x:v>15</x:v>
      </x:c>
    </x:row>
    <x:row r="4709" ht="20" customHeight="1">
      <x:c r="A4709" s="1" t="str">
        <x:v>22720</x:v>
      </x:c>
      <x:c r="B4709" s="9" t="d">
        <x:v>2011-10-20T00:00:00.000Z</x:v>
      </x:c>
      <x:c r="C4709" s="13" t="n">
        <x:v>10</x:v>
      </x:c>
    </x:row>
    <x:row r="4710" ht="20" customHeight="1">
      <x:c r="A4710" s="1" t="str">
        <x:v>22720</x:v>
      </x:c>
      <x:c r="B4710" s="9" t="d">
        <x:v>2011-10-21T00:00:00.000Z</x:v>
      </x:c>
      <x:c r="C4710" s="13" t="n">
        <x:v>15</x:v>
      </x:c>
    </x:row>
    <x:row r="4711" ht="20" customHeight="1">
      <x:c r="A4711" s="1" t="str">
        <x:v>22720</x:v>
      </x:c>
      <x:c r="B4711" s="9" t="d">
        <x:v>2011-10-22T00:00:00.000Z</x:v>
      </x:c>
      <x:c r="C4711" s="13" t="n">
        <x:v>0</x:v>
      </x:c>
    </x:row>
    <x:row r="4712" ht="20" customHeight="1">
      <x:c r="A4712" s="1" t="str">
        <x:v>22720</x:v>
      </x:c>
      <x:c r="B4712" s="9" t="d">
        <x:v>2011-10-23T00:00:00.000Z</x:v>
      </x:c>
      <x:c r="C4712" s="13" t="n">
        <x:v>4</x:v>
      </x:c>
    </x:row>
    <x:row r="4713" ht="20" customHeight="1">
      <x:c r="A4713" s="1" t="str">
        <x:v>22720</x:v>
      </x:c>
      <x:c r="B4713" s="9" t="d">
        <x:v>2011-10-24T00:00:00.000Z</x:v>
      </x:c>
      <x:c r="C4713" s="13" t="n">
        <x:v>10</x:v>
      </x:c>
    </x:row>
    <x:row r="4714" ht="20" customHeight="1">
      <x:c r="A4714" s="1" t="str">
        <x:v>22720</x:v>
      </x:c>
      <x:c r="B4714" s="9" t="d">
        <x:v>2011-10-25T00:00:00.000Z</x:v>
      </x:c>
      <x:c r="C4714" s="13" t="n">
        <x:v>24</x:v>
      </x:c>
    </x:row>
    <x:row r="4715" ht="20" customHeight="1">
      <x:c r="A4715" s="1" t="str">
        <x:v>22720</x:v>
      </x:c>
      <x:c r="B4715" s="9" t="d">
        <x:v>2011-10-26T00:00:00.000Z</x:v>
      </x:c>
      <x:c r="C4715" s="13" t="n">
        <x:v>13</x:v>
      </x:c>
    </x:row>
    <x:row r="4716" ht="20" customHeight="1">
      <x:c r="A4716" s="1" t="str">
        <x:v>22720</x:v>
      </x:c>
      <x:c r="B4716" s="9" t="d">
        <x:v>2011-10-27T00:00:00.000Z</x:v>
      </x:c>
      <x:c r="C4716" s="13" t="n">
        <x:v>27</x:v>
      </x:c>
    </x:row>
    <x:row r="4717" ht="20" customHeight="1">
      <x:c r="A4717" s="1" t="str">
        <x:v>22720</x:v>
      </x:c>
      <x:c r="B4717" s="9" t="d">
        <x:v>2011-10-28T00:00:00.000Z</x:v>
      </x:c>
      <x:c r="C4717" s="13" t="n">
        <x:v>3</x:v>
      </x:c>
    </x:row>
    <x:row r="4718" ht="20" customHeight="1">
      <x:c r="A4718" s="1" t="str">
        <x:v>22720</x:v>
      </x:c>
      <x:c r="B4718" s="9" t="d">
        <x:v>2011-10-29T00:00:00.000Z</x:v>
      </x:c>
      <x:c r="C4718" s="13" t="n">
        <x:v>0</x:v>
      </x:c>
    </x:row>
    <x:row r="4719" ht="20" customHeight="1">
      <x:c r="A4719" s="1" t="str">
        <x:v>22720</x:v>
      </x:c>
      <x:c r="B4719" s="9" t="d">
        <x:v>2011-10-30T00:00:00.000Z</x:v>
      </x:c>
      <x:c r="C4719" s="13" t="n">
        <x:v>25</x:v>
      </x:c>
    </x:row>
    <x:row r="4720" ht="20" customHeight="1">
      <x:c r="A4720" s="1" t="str">
        <x:v>22720</x:v>
      </x:c>
      <x:c r="B4720" s="9" t="d">
        <x:v>2011-10-31T00:00:00.000Z</x:v>
      </x:c>
      <x:c r="C4720" s="13" t="n">
        <x:v>22</x:v>
      </x:c>
    </x:row>
    <x:row r="4721" ht="20" customHeight="1">
      <x:c r="A4721" s="1" t="str">
        <x:v>22720</x:v>
      </x:c>
      <x:c r="B4721" s="9" t="d">
        <x:v>2011-11-01T00:00:00.000Z</x:v>
      </x:c>
      <x:c r="C4721" s="13" t="n">
        <x:v>89</x:v>
      </x:c>
    </x:row>
    <x:row r="4722" ht="20" customHeight="1">
      <x:c r="A4722" s="1" t="str">
        <x:v>22720</x:v>
      </x:c>
      <x:c r="B4722" s="9" t="d">
        <x:v>2011-11-02T00:00:00.000Z</x:v>
      </x:c>
      <x:c r="C4722" s="13" t="n">
        <x:v>23</x:v>
      </x:c>
    </x:row>
    <x:row r="4723" ht="20" customHeight="1">
      <x:c r="A4723" s="1" t="str">
        <x:v>22720</x:v>
      </x:c>
      <x:c r="B4723" s="9" t="d">
        <x:v>2011-11-03T00:00:00.000Z</x:v>
      </x:c>
      <x:c r="C4723" s="13" t="n">
        <x:v>16</x:v>
      </x:c>
    </x:row>
    <x:row r="4724" ht="20" customHeight="1">
      <x:c r="A4724" s="1" t="str">
        <x:v>22720</x:v>
      </x:c>
      <x:c r="B4724" s="9" t="d">
        <x:v>2011-11-04T00:00:00.000Z</x:v>
      </x:c>
      <x:c r="C4724" s="13" t="n">
        <x:v>15</x:v>
      </x:c>
    </x:row>
    <x:row r="4725" ht="20" customHeight="1">
      <x:c r="A4725" s="1" t="str">
        <x:v>22720</x:v>
      </x:c>
      <x:c r="B4725" s="9" t="d">
        <x:v>2011-11-05T00:00:00.000Z</x:v>
      </x:c>
      <x:c r="C4725" s="13" t="n">
        <x:v>0</x:v>
      </x:c>
    </x:row>
    <x:row r="4726" ht="20" customHeight="1">
      <x:c r="A4726" s="1" t="str">
        <x:v>22720</x:v>
      </x:c>
      <x:c r="B4726" s="9" t="d">
        <x:v>2011-11-06T00:00:00.000Z</x:v>
      </x:c>
      <x:c r="C4726" s="13" t="n">
        <x:v>20</x:v>
      </x:c>
    </x:row>
    <x:row r="4727" ht="20" customHeight="1">
      <x:c r="A4727" s="1" t="str">
        <x:v>22720</x:v>
      </x:c>
      <x:c r="B4727" s="9" t="d">
        <x:v>2011-11-07T00:00:00.000Z</x:v>
      </x:c>
      <x:c r="C4727" s="13" t="n">
        <x:v>10</x:v>
      </x:c>
    </x:row>
    <x:row r="4728" ht="20" customHeight="1">
      <x:c r="A4728" s="1" t="str">
        <x:v>22720</x:v>
      </x:c>
      <x:c r="B4728" s="9" t="d">
        <x:v>2011-11-08T00:00:00.000Z</x:v>
      </x:c>
      <x:c r="C4728" s="13" t="n">
        <x:v>26</x:v>
      </x:c>
    </x:row>
    <x:row r="4729" ht="20" customHeight="1">
      <x:c r="A4729" s="1" t="str">
        <x:v>22720</x:v>
      </x:c>
      <x:c r="B4729" s="9" t="d">
        <x:v>2011-11-09T00:00:00.000Z</x:v>
      </x:c>
      <x:c r="C4729" s="13" t="n">
        <x:v>14</x:v>
      </x:c>
    </x:row>
    <x:row r="4730" ht="20" customHeight="1">
      <x:c r="A4730" s="1" t="str">
        <x:v>22720</x:v>
      </x:c>
      <x:c r="B4730" s="9" t="d">
        <x:v>2011-11-10T00:00:00.000Z</x:v>
      </x:c>
      <x:c r="C4730" s="13" t="n">
        <x:v>22</x:v>
      </x:c>
    </x:row>
    <x:row r="4731" ht="20" customHeight="1">
      <x:c r="A4731" s="1" t="str">
        <x:v>22720</x:v>
      </x:c>
      <x:c r="B4731" s="9" t="d">
        <x:v>2011-11-11T00:00:00.000Z</x:v>
      </x:c>
      <x:c r="C4731" s="13" t="n">
        <x:v>10</x:v>
      </x:c>
    </x:row>
    <x:row r="4732" ht="20" customHeight="1">
      <x:c r="A4732" s="1" t="str">
        <x:v>22720</x:v>
      </x:c>
      <x:c r="B4732" s="9" t="d">
        <x:v>2011-11-12T00:00:00.000Z</x:v>
      </x:c>
      <x:c r="C4732" s="13" t="n">
        <x:v>0</x:v>
      </x:c>
    </x:row>
    <x:row r="4733" ht="20" customHeight="1">
      <x:c r="A4733" s="1" t="str">
        <x:v>22720</x:v>
      </x:c>
      <x:c r="B4733" s="9" t="d">
        <x:v>2011-11-13T00:00:00.000Z</x:v>
      </x:c>
      <x:c r="C4733" s="13" t="n">
        <x:v>30</x:v>
      </x:c>
    </x:row>
    <x:row r="4734" ht="20" customHeight="1">
      <x:c r="A4734" s="1" t="str">
        <x:v>22720</x:v>
      </x:c>
      <x:c r="B4734" s="9" t="d">
        <x:v>2011-11-14T00:00:00.000Z</x:v>
      </x:c>
      <x:c r="C4734" s="13" t="n">
        <x:v>3</x:v>
      </x:c>
    </x:row>
    <x:row r="4735" ht="20" customHeight="1">
      <x:c r="A4735" s="1" t="str">
        <x:v>22720</x:v>
      </x:c>
      <x:c r="B4735" s="9" t="d">
        <x:v>2011-11-15T00:00:00.000Z</x:v>
      </x:c>
      <x:c r="C4735" s="13" t="n">
        <x:v>19</x:v>
      </x:c>
    </x:row>
    <x:row r="4736" ht="20" customHeight="1">
      <x:c r="A4736" s="1" t="str">
        <x:v>22720</x:v>
      </x:c>
      <x:c r="B4736" s="9" t="d">
        <x:v>2011-11-16T00:00:00.000Z</x:v>
      </x:c>
      <x:c r="C4736" s="13" t="n">
        <x:v>26</x:v>
      </x:c>
    </x:row>
    <x:row r="4737" ht="20" customHeight="1">
      <x:c r="A4737" s="1" t="str">
        <x:v>22720</x:v>
      </x:c>
      <x:c r="B4737" s="9" t="d">
        <x:v>2011-11-17T00:00:00.000Z</x:v>
      </x:c>
      <x:c r="C4737" s="13" t="n">
        <x:v>30</x:v>
      </x:c>
    </x:row>
    <x:row r="4738" ht="20" customHeight="1">
      <x:c r="A4738" s="1" t="str">
        <x:v>22720</x:v>
      </x:c>
      <x:c r="B4738" s="9" t="d">
        <x:v>2011-11-18T00:00:00.000Z</x:v>
      </x:c>
      <x:c r="C4738" s="13" t="n">
        <x:v>18</x:v>
      </x:c>
    </x:row>
    <x:row r="4739" ht="20" customHeight="1">
      <x:c r="A4739" s="1" t="str">
        <x:v>22720</x:v>
      </x:c>
      <x:c r="B4739" s="9" t="d">
        <x:v>2011-11-19T00:00:00.000Z</x:v>
      </x:c>
      <x:c r="C4739" s="13" t="n">
        <x:v>0</x:v>
      </x:c>
    </x:row>
    <x:row r="4740" ht="20" customHeight="1">
      <x:c r="A4740" s="1" t="str">
        <x:v>22720</x:v>
      </x:c>
      <x:c r="B4740" s="9" t="d">
        <x:v>2011-11-20T00:00:00.000Z</x:v>
      </x:c>
      <x:c r="C4740" s="13" t="n">
        <x:v>8</x:v>
      </x:c>
    </x:row>
    <x:row r="4741" ht="20" customHeight="1">
      <x:c r="A4741" s="1" t="str">
        <x:v>22720</x:v>
      </x:c>
      <x:c r="B4741" s="9" t="d">
        <x:v>2011-11-21T00:00:00.000Z</x:v>
      </x:c>
      <x:c r="C4741" s="13" t="n">
        <x:v>6</x:v>
      </x:c>
    </x:row>
    <x:row r="4742" ht="20" customHeight="1">
      <x:c r="A4742" s="1" t="str">
        <x:v>22720</x:v>
      </x:c>
      <x:c r="B4742" s="9" t="d">
        <x:v>2011-11-22T00:00:00.000Z</x:v>
      </x:c>
      <x:c r="C4742" s="13" t="n">
        <x:v>10</x:v>
      </x:c>
    </x:row>
    <x:row r="4743" ht="20" customHeight="1">
      <x:c r="A4743" s="1" t="str">
        <x:v>22720</x:v>
      </x:c>
      <x:c r="B4743" s="9" t="d">
        <x:v>2011-11-23T00:00:00.000Z</x:v>
      </x:c>
      <x:c r="C4743" s="13" t="n">
        <x:v>26</x:v>
      </x:c>
    </x:row>
    <x:row r="4744" ht="20" customHeight="1">
      <x:c r="A4744" s="1" t="str">
        <x:v>22720</x:v>
      </x:c>
      <x:c r="B4744" s="9" t="d">
        <x:v>2011-11-24T00:00:00.000Z</x:v>
      </x:c>
      <x:c r="C4744" s="13" t="n">
        <x:v>18</x:v>
      </x:c>
    </x:row>
    <x:row r="4745" ht="20" customHeight="1">
      <x:c r="A4745" s="1" t="str">
        <x:v>22720</x:v>
      </x:c>
      <x:c r="B4745" s="9" t="d">
        <x:v>2011-11-25T00:00:00.000Z</x:v>
      </x:c>
      <x:c r="C4745" s="13" t="n">
        <x:v>11</x:v>
      </x:c>
    </x:row>
    <x:row r="4746" ht="20" customHeight="1">
      <x:c r="A4746" s="1" t="str">
        <x:v>22720</x:v>
      </x:c>
      <x:c r="B4746" s="9" t="d">
        <x:v>2011-11-26T00:00:00.000Z</x:v>
      </x:c>
      <x:c r="C4746" s="13" t="n">
        <x:v>0</x:v>
      </x:c>
    </x:row>
    <x:row r="4747" ht="20" customHeight="1">
      <x:c r="A4747" s="1" t="str">
        <x:v>22720</x:v>
      </x:c>
      <x:c r="B4747" s="9" t="d">
        <x:v>2011-11-27T00:00:00.000Z</x:v>
      </x:c>
      <x:c r="C4747" s="13" t="n">
        <x:v>2</x:v>
      </x:c>
    </x:row>
    <x:row r="4748" ht="20" customHeight="1">
      <x:c r="A4748" s="1" t="str">
        <x:v>22720</x:v>
      </x:c>
      <x:c r="B4748" s="9" t="d">
        <x:v>2011-11-28T00:00:00.000Z</x:v>
      </x:c>
      <x:c r="C4748" s="13" t="n">
        <x:v>14</x:v>
      </x:c>
    </x:row>
    <x:row r="4749" ht="20" customHeight="1">
      <x:c r="A4749" s="1" t="str">
        <x:v>22720</x:v>
      </x:c>
      <x:c r="B4749" s="9" t="d">
        <x:v>2011-11-29T00:00:00.000Z</x:v>
      </x:c>
      <x:c r="C4749" s="13" t="n">
        <x:v>82</x:v>
      </x:c>
    </x:row>
    <x:row r="4750" ht="20" customHeight="1">
      <x:c r="A4750" s="1" t="str">
        <x:v>22720</x:v>
      </x:c>
      <x:c r="B4750" s="9" t="d">
        <x:v>2011-11-30T00:00:00.000Z</x:v>
      </x:c>
      <x:c r="C4750" s="13" t="n">
        <x:v>26</x:v>
      </x:c>
    </x:row>
    <x:row r="4751" ht="20" customHeight="1">
      <x:c r="A4751" s="1" t="str">
        <x:v>22722</x:v>
      </x:c>
      <x:c r="B4751" s="9" t="d">
        <x:v>2010-12-01T00:00:00.000Z</x:v>
      </x:c>
      <x:c r="C4751" s="13" t="n">
        <x:v>0</x:v>
      </x:c>
    </x:row>
    <x:row r="4752" ht="20" customHeight="1">
      <x:c r="A4752" s="1" t="str">
        <x:v>22722</x:v>
      </x:c>
      <x:c r="B4752" s="9" t="d">
        <x:v>2010-12-02T00:00:00.000Z</x:v>
      </x:c>
      <x:c r="C4752" s="13" t="n">
        <x:v>0</x:v>
      </x:c>
    </x:row>
    <x:row r="4753" ht="20" customHeight="1">
      <x:c r="A4753" s="1" t="str">
        <x:v>22722</x:v>
      </x:c>
      <x:c r="B4753" s="9" t="d">
        <x:v>2010-12-03T00:00:00.000Z</x:v>
      </x:c>
      <x:c r="C4753" s="13" t="n">
        <x:v>0</x:v>
      </x:c>
    </x:row>
    <x:row r="4754" ht="20" customHeight="1">
      <x:c r="A4754" s="1" t="str">
        <x:v>22722</x:v>
      </x:c>
      <x:c r="B4754" s="9" t="d">
        <x:v>2010-12-04T00:00:00.000Z</x:v>
      </x:c>
      <x:c r="C4754" s="13" t="n">
        <x:v>0</x:v>
      </x:c>
    </x:row>
    <x:row r="4755" ht="20" customHeight="1">
      <x:c r="A4755" s="1" t="str">
        <x:v>22722</x:v>
      </x:c>
      <x:c r="B4755" s="9" t="d">
        <x:v>2010-12-05T00:00:00.000Z</x:v>
      </x:c>
      <x:c r="C4755" s="13" t="n">
        <x:v>0</x:v>
      </x:c>
    </x:row>
    <x:row r="4756" ht="20" customHeight="1">
      <x:c r="A4756" s="1" t="str">
        <x:v>22722</x:v>
      </x:c>
      <x:c r="B4756" s="9" t="d">
        <x:v>2010-12-06T00:00:00.000Z</x:v>
      </x:c>
      <x:c r="C4756" s="13" t="n">
        <x:v>0</x:v>
      </x:c>
    </x:row>
    <x:row r="4757" ht="20" customHeight="1">
      <x:c r="A4757" s="1" t="str">
        <x:v>22722</x:v>
      </x:c>
      <x:c r="B4757" s="9" t="d">
        <x:v>2010-12-07T00:00:00.000Z</x:v>
      </x:c>
      <x:c r="C4757" s="13" t="n">
        <x:v>0</x:v>
      </x:c>
    </x:row>
    <x:row r="4758" ht="20" customHeight="1">
      <x:c r="A4758" s="1" t="str">
        <x:v>22722</x:v>
      </x:c>
      <x:c r="B4758" s="9" t="d">
        <x:v>2010-12-08T00:00:00.000Z</x:v>
      </x:c>
      <x:c r="C4758" s="13" t="n">
        <x:v>0</x:v>
      </x:c>
    </x:row>
    <x:row r="4759" ht="20" customHeight="1">
      <x:c r="A4759" s="1" t="str">
        <x:v>22722</x:v>
      </x:c>
      <x:c r="B4759" s="9" t="d">
        <x:v>2010-12-09T00:00:00.000Z</x:v>
      </x:c>
      <x:c r="C4759" s="13" t="n">
        <x:v>0</x:v>
      </x:c>
    </x:row>
    <x:row r="4760" ht="20" customHeight="1">
      <x:c r="A4760" s="1" t="str">
        <x:v>22722</x:v>
      </x:c>
      <x:c r="B4760" s="9" t="d">
        <x:v>2010-12-10T00:00:00.000Z</x:v>
      </x:c>
      <x:c r="C4760" s="13" t="n">
        <x:v>0</x:v>
      </x:c>
    </x:row>
    <x:row r="4761" ht="20" customHeight="1">
      <x:c r="A4761" s="1" t="str">
        <x:v>22722</x:v>
      </x:c>
      <x:c r="B4761" s="9" t="d">
        <x:v>2010-12-11T00:00:00.000Z</x:v>
      </x:c>
      <x:c r="C4761" s="13" t="n">
        <x:v>0</x:v>
      </x:c>
    </x:row>
    <x:row r="4762" ht="20" customHeight="1">
      <x:c r="A4762" s="1" t="str">
        <x:v>22722</x:v>
      </x:c>
      <x:c r="B4762" s="9" t="d">
        <x:v>2010-12-12T00:00:00.000Z</x:v>
      </x:c>
      <x:c r="C4762" s="13" t="n">
        <x:v>0</x:v>
      </x:c>
    </x:row>
    <x:row r="4763" ht="20" customHeight="1">
      <x:c r="A4763" s="1" t="str">
        <x:v>22722</x:v>
      </x:c>
      <x:c r="B4763" s="9" t="d">
        <x:v>2010-12-13T00:00:00.000Z</x:v>
      </x:c>
      <x:c r="C4763" s="13" t="n">
        <x:v>4</x:v>
      </x:c>
    </x:row>
    <x:row r="4764" ht="20" customHeight="1">
      <x:c r="A4764" s="1" t="str">
        <x:v>22722</x:v>
      </x:c>
      <x:c r="B4764" s="9" t="d">
        <x:v>2010-12-14T00:00:00.000Z</x:v>
      </x:c>
      <x:c r="C4764" s="13" t="n">
        <x:v>59</x:v>
      </x:c>
    </x:row>
    <x:row r="4765" ht="20" customHeight="1">
      <x:c r="A4765" s="1" t="str">
        <x:v>22722</x:v>
      </x:c>
      <x:c r="B4765" s="9" t="d">
        <x:v>2010-12-15T00:00:00.000Z</x:v>
      </x:c>
      <x:c r="C4765" s="13" t="n">
        <x:v>84</x:v>
      </x:c>
    </x:row>
    <x:row r="4766" ht="20" customHeight="1">
      <x:c r="A4766" s="1" t="str">
        <x:v>22722</x:v>
      </x:c>
      <x:c r="B4766" s="9" t="d">
        <x:v>2010-12-16T00:00:00.000Z</x:v>
      </x:c>
      <x:c r="C4766" s="13" t="n">
        <x:v>26</x:v>
      </x:c>
    </x:row>
    <x:row r="4767" ht="20" customHeight="1">
      <x:c r="A4767" s="1" t="str">
        <x:v>22722</x:v>
      </x:c>
      <x:c r="B4767" s="9" t="d">
        <x:v>2010-12-17T00:00:00.000Z</x:v>
      </x:c>
      <x:c r="C4767" s="13" t="n">
        <x:v>54</x:v>
      </x:c>
    </x:row>
    <x:row r="4768" ht="20" customHeight="1">
      <x:c r="A4768" s="1" t="str">
        <x:v>22722</x:v>
      </x:c>
      <x:c r="B4768" s="9" t="d">
        <x:v>2010-12-18T00:00:00.000Z</x:v>
      </x:c>
      <x:c r="C4768" s="13" t="n">
        <x:v>0</x:v>
      </x:c>
    </x:row>
    <x:row r="4769" ht="20" customHeight="1">
      <x:c r="A4769" s="1" t="str">
        <x:v>22722</x:v>
      </x:c>
      <x:c r="B4769" s="9" t="d">
        <x:v>2010-12-19T00:00:00.000Z</x:v>
      </x:c>
      <x:c r="C4769" s="13" t="n">
        <x:v>0</x:v>
      </x:c>
    </x:row>
    <x:row r="4770" ht="20" customHeight="1">
      <x:c r="A4770" s="1" t="str">
        <x:v>22722</x:v>
      </x:c>
      <x:c r="B4770" s="9" t="d">
        <x:v>2010-12-20T00:00:00.000Z</x:v>
      </x:c>
      <x:c r="C4770" s="13" t="n">
        <x:v>20</x:v>
      </x:c>
    </x:row>
    <x:row r="4771" ht="20" customHeight="1">
      <x:c r="A4771" s="1" t="str">
        <x:v>22722</x:v>
      </x:c>
      <x:c r="B4771" s="9" t="d">
        <x:v>2010-12-21T00:00:00.000Z</x:v>
      </x:c>
      <x:c r="C4771" s="13" t="n">
        <x:v>1</x:v>
      </x:c>
    </x:row>
    <x:row r="4772" ht="20" customHeight="1">
      <x:c r="A4772" s="1" t="str">
        <x:v>22722</x:v>
      </x:c>
      <x:c r="B4772" s="9" t="d">
        <x:v>2010-12-22T00:00:00.000Z</x:v>
      </x:c>
      <x:c r="C4772" s="13" t="n">
        <x:v>16</x:v>
      </x:c>
    </x:row>
    <x:row r="4773" ht="20" customHeight="1">
      <x:c r="A4773" s="1" t="str">
        <x:v>22722</x:v>
      </x:c>
      <x:c r="B4773" s="9" t="d">
        <x:v>2010-12-23T00:00:00.000Z</x:v>
      </x:c>
      <x:c r="C4773" s="13" t="n">
        <x:v>3</x:v>
      </x:c>
    </x:row>
    <x:row r="4774" ht="20" customHeight="1">
      <x:c r="A4774" s="1" t="str">
        <x:v>22722</x:v>
      </x:c>
      <x:c r="B4774" s="9" t="d">
        <x:v>2010-12-24T00:00:00.000Z</x:v>
      </x:c>
      <x:c r="C4774" s="13" t="n">
        <x:v>0</x:v>
      </x:c>
    </x:row>
    <x:row r="4775" ht="20" customHeight="1">
      <x:c r="A4775" s="1" t="str">
        <x:v>22722</x:v>
      </x:c>
      <x:c r="B4775" s="9" t="d">
        <x:v>2010-12-25T00:00:00.000Z</x:v>
      </x:c>
      <x:c r="C4775" s="13" t="n">
        <x:v>0</x:v>
      </x:c>
    </x:row>
    <x:row r="4776" ht="20" customHeight="1">
      <x:c r="A4776" s="1" t="str">
        <x:v>22722</x:v>
      </x:c>
      <x:c r="B4776" s="9" t="d">
        <x:v>2010-12-26T00:00:00.000Z</x:v>
      </x:c>
      <x:c r="C4776" s="13" t="n">
        <x:v>0</x:v>
      </x:c>
    </x:row>
    <x:row r="4777" ht="20" customHeight="1">
      <x:c r="A4777" s="1" t="str">
        <x:v>22722</x:v>
      </x:c>
      <x:c r="B4777" s="9" t="d">
        <x:v>2010-12-27T00:00:00.000Z</x:v>
      </x:c>
      <x:c r="C4777" s="13" t="n">
        <x:v>0</x:v>
      </x:c>
    </x:row>
    <x:row r="4778" ht="20" customHeight="1">
      <x:c r="A4778" s="1" t="str">
        <x:v>22722</x:v>
      </x:c>
      <x:c r="B4778" s="9" t="d">
        <x:v>2010-12-28T00:00:00.000Z</x:v>
      </x:c>
      <x:c r="C4778" s="13" t="n">
        <x:v>0</x:v>
      </x:c>
    </x:row>
    <x:row r="4779" ht="20" customHeight="1">
      <x:c r="A4779" s="1" t="str">
        <x:v>22722</x:v>
      </x:c>
      <x:c r="B4779" s="9" t="d">
        <x:v>2010-12-29T00:00:00.000Z</x:v>
      </x:c>
      <x:c r="C4779" s="13" t="n">
        <x:v>0</x:v>
      </x:c>
    </x:row>
    <x:row r="4780" ht="20" customHeight="1">
      <x:c r="A4780" s="1" t="str">
        <x:v>22722</x:v>
      </x:c>
      <x:c r="B4780" s="9" t="d">
        <x:v>2010-12-30T00:00:00.000Z</x:v>
      </x:c>
      <x:c r="C4780" s="13" t="n">
        <x:v>0</x:v>
      </x:c>
    </x:row>
    <x:row r="4781" ht="20" customHeight="1">
      <x:c r="A4781" s="1" t="str">
        <x:v>22722</x:v>
      </x:c>
      <x:c r="B4781" s="9" t="d">
        <x:v>2010-12-31T00:00:00.000Z</x:v>
      </x:c>
      <x:c r="C4781" s="13" t="n">
        <x:v>0</x:v>
      </x:c>
    </x:row>
    <x:row r="4782" ht="20" customHeight="1">
      <x:c r="A4782" s="1" t="str">
        <x:v>22722</x:v>
      </x:c>
      <x:c r="B4782" s="9" t="d">
        <x:v>2011-01-01T00:00:00.000Z</x:v>
      </x:c>
      <x:c r="C4782" s="13" t="n">
        <x:v>0</x:v>
      </x:c>
    </x:row>
    <x:row r="4783" ht="20" customHeight="1">
      <x:c r="A4783" s="1" t="str">
        <x:v>22722</x:v>
      </x:c>
      <x:c r="B4783" s="9" t="d">
        <x:v>2011-01-02T00:00:00.000Z</x:v>
      </x:c>
      <x:c r="C4783" s="13" t="n">
        <x:v>0</x:v>
      </x:c>
    </x:row>
    <x:row r="4784" ht="20" customHeight="1">
      <x:c r="A4784" s="1" t="str">
        <x:v>22722</x:v>
      </x:c>
      <x:c r="B4784" s="9" t="d">
        <x:v>2011-01-03T00:00:00.000Z</x:v>
      </x:c>
      <x:c r="C4784" s="13" t="n">
        <x:v>0</x:v>
      </x:c>
    </x:row>
    <x:row r="4785" ht="20" customHeight="1">
      <x:c r="A4785" s="1" t="str">
        <x:v>22722</x:v>
      </x:c>
      <x:c r="B4785" s="9" t="d">
        <x:v>2011-01-04T00:00:00.000Z</x:v>
      </x:c>
      <x:c r="C4785" s="13" t="n">
        <x:v>27</x:v>
      </x:c>
    </x:row>
    <x:row r="4786" ht="20" customHeight="1">
      <x:c r="A4786" s="1" t="str">
        <x:v>22722</x:v>
      </x:c>
      <x:c r="B4786" s="9" t="d">
        <x:v>2011-01-05T00:00:00.000Z</x:v>
      </x:c>
      <x:c r="C4786" s="13" t="n">
        <x:v>6</x:v>
      </x:c>
    </x:row>
    <x:row r="4787" ht="20" customHeight="1">
      <x:c r="A4787" s="1" t="str">
        <x:v>22722</x:v>
      </x:c>
      <x:c r="B4787" s="9" t="d">
        <x:v>2011-01-06T00:00:00.000Z</x:v>
      </x:c>
      <x:c r="C4787" s="13" t="n">
        <x:v>232</x:v>
      </x:c>
    </x:row>
    <x:row r="4788" ht="20" customHeight="1">
      <x:c r="A4788" s="1" t="str">
        <x:v>22722</x:v>
      </x:c>
      <x:c r="B4788" s="9" t="d">
        <x:v>2011-01-07T00:00:00.000Z</x:v>
      </x:c>
      <x:c r="C4788" s="13" t="n">
        <x:v>14</x:v>
      </x:c>
    </x:row>
    <x:row r="4789" ht="20" customHeight="1">
      <x:c r="A4789" s="1" t="str">
        <x:v>22722</x:v>
      </x:c>
      <x:c r="B4789" s="9" t="d">
        <x:v>2011-01-08T00:00:00.000Z</x:v>
      </x:c>
      <x:c r="C4789" s="13" t="n">
        <x:v>0</x:v>
      </x:c>
    </x:row>
    <x:row r="4790" ht="20" customHeight="1">
      <x:c r="A4790" s="1" t="str">
        <x:v>22722</x:v>
      </x:c>
      <x:c r="B4790" s="9" t="d">
        <x:v>2011-01-09T00:00:00.000Z</x:v>
      </x:c>
      <x:c r="C4790" s="13" t="n">
        <x:v>5</x:v>
      </x:c>
    </x:row>
    <x:row r="4791" ht="20" customHeight="1">
      <x:c r="A4791" s="1" t="str">
        <x:v>22722</x:v>
      </x:c>
      <x:c r="B4791" s="9" t="d">
        <x:v>2011-01-10T00:00:00.000Z</x:v>
      </x:c>
      <x:c r="C4791" s="13" t="n">
        <x:v>16</x:v>
      </x:c>
    </x:row>
    <x:row r="4792" ht="20" customHeight="1">
      <x:c r="A4792" s="1" t="str">
        <x:v>22722</x:v>
      </x:c>
      <x:c r="B4792" s="9" t="d">
        <x:v>2011-01-11T00:00:00.000Z</x:v>
      </x:c>
      <x:c r="C4792" s="13" t="n">
        <x:v>11</x:v>
      </x:c>
    </x:row>
    <x:row r="4793" ht="20" customHeight="1">
      <x:c r="A4793" s="1" t="str">
        <x:v>22722</x:v>
      </x:c>
      <x:c r="B4793" s="9" t="d">
        <x:v>2011-01-12T00:00:00.000Z</x:v>
      </x:c>
      <x:c r="C4793" s="13" t="n">
        <x:v>12</x:v>
      </x:c>
    </x:row>
    <x:row r="4794" ht="20" customHeight="1">
      <x:c r="A4794" s="1" t="str">
        <x:v>22722</x:v>
      </x:c>
      <x:c r="B4794" s="9" t="d">
        <x:v>2011-01-13T00:00:00.000Z</x:v>
      </x:c>
      <x:c r="C4794" s="13" t="n">
        <x:v>30</x:v>
      </x:c>
    </x:row>
    <x:row r="4795" ht="20" customHeight="1">
      <x:c r="A4795" s="1" t="str">
        <x:v>22722</x:v>
      </x:c>
      <x:c r="B4795" s="9" t="d">
        <x:v>2011-01-14T00:00:00.000Z</x:v>
      </x:c>
      <x:c r="C4795" s="13" t="n">
        <x:v>192</x:v>
      </x:c>
    </x:row>
    <x:row r="4796" ht="20" customHeight="1">
      <x:c r="A4796" s="1" t="str">
        <x:v>22722</x:v>
      </x:c>
      <x:c r="B4796" s="9" t="d">
        <x:v>2011-01-15T00:00:00.000Z</x:v>
      </x:c>
      <x:c r="C4796" s="13" t="n">
        <x:v>0</x:v>
      </x:c>
    </x:row>
    <x:row r="4797" ht="20" customHeight="1">
      <x:c r="A4797" s="1" t="str">
        <x:v>22722</x:v>
      </x:c>
      <x:c r="B4797" s="9" t="d">
        <x:v>2011-01-16T00:00:00.000Z</x:v>
      </x:c>
      <x:c r="C4797" s="13" t="n">
        <x:v>12</x:v>
      </x:c>
    </x:row>
    <x:row r="4798" ht="20" customHeight="1">
      <x:c r="A4798" s="1" t="str">
        <x:v>22722</x:v>
      </x:c>
      <x:c r="B4798" s="9" t="d">
        <x:v>2011-01-17T00:00:00.000Z</x:v>
      </x:c>
      <x:c r="C4798" s="13" t="n">
        <x:v>18</x:v>
      </x:c>
    </x:row>
    <x:row r="4799" ht="20" customHeight="1">
      <x:c r="A4799" s="1" t="str">
        <x:v>22722</x:v>
      </x:c>
      <x:c r="B4799" s="9" t="d">
        <x:v>2011-01-18T00:00:00.000Z</x:v>
      </x:c>
      <x:c r="C4799" s="13" t="n">
        <x:v>6</x:v>
      </x:c>
    </x:row>
    <x:row r="4800" ht="20" customHeight="1">
      <x:c r="A4800" s="1" t="str">
        <x:v>22722</x:v>
      </x:c>
      <x:c r="B4800" s="9" t="d">
        <x:v>2011-01-19T00:00:00.000Z</x:v>
      </x:c>
      <x:c r="C4800" s="13" t="n">
        <x:v>0</x:v>
      </x:c>
    </x:row>
    <x:row r="4801" ht="20" customHeight="1">
      <x:c r="A4801" s="1" t="str">
        <x:v>22722</x:v>
      </x:c>
      <x:c r="B4801" s="9" t="d">
        <x:v>2011-01-20T00:00:00.000Z</x:v>
      </x:c>
      <x:c r="C4801" s="13" t="n">
        <x:v>32</x:v>
      </x:c>
    </x:row>
    <x:row r="4802" ht="20" customHeight="1">
      <x:c r="A4802" s="1" t="str">
        <x:v>22722</x:v>
      </x:c>
      <x:c r="B4802" s="9" t="d">
        <x:v>2011-01-21T00:00:00.000Z</x:v>
      </x:c>
      <x:c r="C4802" s="13" t="n">
        <x:v>7</x:v>
      </x:c>
    </x:row>
    <x:row r="4803" ht="20" customHeight="1">
      <x:c r="A4803" s="1" t="str">
        <x:v>22722</x:v>
      </x:c>
      <x:c r="B4803" s="9" t="d">
        <x:v>2011-01-22T00:00:00.000Z</x:v>
      </x:c>
      <x:c r="C4803" s="13" t="n">
        <x:v>0</x:v>
      </x:c>
    </x:row>
    <x:row r="4804" ht="20" customHeight="1">
      <x:c r="A4804" s="1" t="str">
        <x:v>22722</x:v>
      </x:c>
      <x:c r="B4804" s="9" t="d">
        <x:v>2011-01-23T00:00:00.000Z</x:v>
      </x:c>
      <x:c r="C4804" s="13" t="n">
        <x:v>14</x:v>
      </x:c>
    </x:row>
    <x:row r="4805" ht="20" customHeight="1">
      <x:c r="A4805" s="1" t="str">
        <x:v>22722</x:v>
      </x:c>
      <x:c r="B4805" s="9" t="d">
        <x:v>2011-01-24T00:00:00.000Z</x:v>
      </x:c>
      <x:c r="C4805" s="13" t="n">
        <x:v>8</x:v>
      </x:c>
    </x:row>
    <x:row r="4806" ht="20" customHeight="1">
      <x:c r="A4806" s="1" t="str">
        <x:v>22722</x:v>
      </x:c>
      <x:c r="B4806" s="9" t="d">
        <x:v>2011-01-25T00:00:00.000Z</x:v>
      </x:c>
      <x:c r="C4806" s="13" t="n">
        <x:v>13</x:v>
      </x:c>
    </x:row>
    <x:row r="4807" ht="20" customHeight="1">
      <x:c r="A4807" s="1" t="str">
        <x:v>22722</x:v>
      </x:c>
      <x:c r="B4807" s="9" t="d">
        <x:v>2011-01-26T00:00:00.000Z</x:v>
      </x:c>
      <x:c r="C4807" s="13" t="n">
        <x:v>42</x:v>
      </x:c>
    </x:row>
    <x:row r="4808" ht="20" customHeight="1">
      <x:c r="A4808" s="1" t="str">
        <x:v>22722</x:v>
      </x:c>
      <x:c r="B4808" s="9" t="d">
        <x:v>2011-01-27T00:00:00.000Z</x:v>
      </x:c>
      <x:c r="C4808" s="13" t="n">
        <x:v>28</x:v>
      </x:c>
    </x:row>
    <x:row r="4809" ht="20" customHeight="1">
      <x:c r="A4809" s="1" t="str">
        <x:v>22722</x:v>
      </x:c>
      <x:c r="B4809" s="9" t="d">
        <x:v>2011-01-28T00:00:00.000Z</x:v>
      </x:c>
      <x:c r="C4809" s="13" t="n">
        <x:v>0</x:v>
      </x:c>
    </x:row>
    <x:row r="4810" ht="20" customHeight="1">
      <x:c r="A4810" s="1" t="str">
        <x:v>22722</x:v>
      </x:c>
      <x:c r="B4810" s="9" t="d">
        <x:v>2011-01-29T00:00:00.000Z</x:v>
      </x:c>
      <x:c r="C4810" s="13" t="n">
        <x:v>0</x:v>
      </x:c>
    </x:row>
    <x:row r="4811" ht="20" customHeight="1">
      <x:c r="A4811" s="1" t="str">
        <x:v>22722</x:v>
      </x:c>
      <x:c r="B4811" s="9" t="d">
        <x:v>2011-01-30T00:00:00.000Z</x:v>
      </x:c>
      <x:c r="C4811" s="13" t="n">
        <x:v>4</x:v>
      </x:c>
    </x:row>
    <x:row r="4812" ht="20" customHeight="1">
      <x:c r="A4812" s="1" t="str">
        <x:v>22722</x:v>
      </x:c>
      <x:c r="B4812" s="9" t="d">
        <x:v>2011-01-31T00:00:00.000Z</x:v>
      </x:c>
      <x:c r="C4812" s="13" t="n">
        <x:v>16</x:v>
      </x:c>
    </x:row>
    <x:row r="4813" ht="20" customHeight="1">
      <x:c r="A4813" s="1" t="str">
        <x:v>22722</x:v>
      </x:c>
      <x:c r="B4813" s="9" t="d">
        <x:v>2011-02-01T00:00:00.000Z</x:v>
      </x:c>
      <x:c r="C4813" s="13" t="n">
        <x:v>47</x:v>
      </x:c>
    </x:row>
    <x:row r="4814" ht="20" customHeight="1">
      <x:c r="A4814" s="1" t="str">
        <x:v>22722</x:v>
      </x:c>
      <x:c r="B4814" s="9" t="d">
        <x:v>2011-02-02T00:00:00.000Z</x:v>
      </x:c>
      <x:c r="C4814" s="13" t="n">
        <x:v>31</x:v>
      </x:c>
    </x:row>
    <x:row r="4815" ht="20" customHeight="1">
      <x:c r="A4815" s="1" t="str">
        <x:v>22722</x:v>
      </x:c>
      <x:c r="B4815" s="9" t="d">
        <x:v>2011-02-03T00:00:00.000Z</x:v>
      </x:c>
      <x:c r="C4815" s="13" t="n">
        <x:v>15</x:v>
      </x:c>
    </x:row>
    <x:row r="4816" ht="20" customHeight="1">
      <x:c r="A4816" s="1" t="str">
        <x:v>22722</x:v>
      </x:c>
      <x:c r="B4816" s="9" t="d">
        <x:v>2011-02-04T00:00:00.000Z</x:v>
      </x:c>
      <x:c r="C4816" s="13" t="n">
        <x:v>36</x:v>
      </x:c>
    </x:row>
    <x:row r="4817" ht="20" customHeight="1">
      <x:c r="A4817" s="1" t="str">
        <x:v>22722</x:v>
      </x:c>
      <x:c r="B4817" s="9" t="d">
        <x:v>2011-02-05T00:00:00.000Z</x:v>
      </x:c>
      <x:c r="C4817" s="13" t="n">
        <x:v>0</x:v>
      </x:c>
    </x:row>
    <x:row r="4818" ht="20" customHeight="1">
      <x:c r="A4818" s="1" t="str">
        <x:v>22722</x:v>
      </x:c>
      <x:c r="B4818" s="9" t="d">
        <x:v>2011-02-06T00:00:00.000Z</x:v>
      </x:c>
      <x:c r="C4818" s="13" t="n">
        <x:v>3</x:v>
      </x:c>
    </x:row>
    <x:row r="4819" ht="20" customHeight="1">
      <x:c r="A4819" s="1" t="str">
        <x:v>22722</x:v>
      </x:c>
      <x:c r="B4819" s="9" t="d">
        <x:v>2011-02-07T00:00:00.000Z</x:v>
      </x:c>
      <x:c r="C4819" s="13" t="n">
        <x:v>38</x:v>
      </x:c>
    </x:row>
    <x:row r="4820" ht="20" customHeight="1">
      <x:c r="A4820" s="1" t="str">
        <x:v>22722</x:v>
      </x:c>
      <x:c r="B4820" s="9" t="d">
        <x:v>2011-02-08T00:00:00.000Z</x:v>
      </x:c>
      <x:c r="C4820" s="13" t="n">
        <x:v>20</x:v>
      </x:c>
    </x:row>
    <x:row r="4821" ht="20" customHeight="1">
      <x:c r="A4821" s="1" t="str">
        <x:v>22722</x:v>
      </x:c>
      <x:c r="B4821" s="9" t="d">
        <x:v>2011-02-09T00:00:00.000Z</x:v>
      </x:c>
      <x:c r="C4821" s="13" t="n">
        <x:v>64</x:v>
      </x:c>
    </x:row>
    <x:row r="4822" ht="20" customHeight="1">
      <x:c r="A4822" s="1" t="str">
        <x:v>22722</x:v>
      </x:c>
      <x:c r="B4822" s="9" t="d">
        <x:v>2011-02-10T00:00:00.000Z</x:v>
      </x:c>
      <x:c r="C4822" s="13" t="n">
        <x:v>5</x:v>
      </x:c>
    </x:row>
    <x:row r="4823" ht="20" customHeight="1">
      <x:c r="A4823" s="1" t="str">
        <x:v>22722</x:v>
      </x:c>
      <x:c r="B4823" s="9" t="d">
        <x:v>2011-02-11T00:00:00.000Z</x:v>
      </x:c>
      <x:c r="C4823" s="13" t="n">
        <x:v>15</x:v>
      </x:c>
    </x:row>
    <x:row r="4824" ht="20" customHeight="1">
      <x:c r="A4824" s="1" t="str">
        <x:v>22722</x:v>
      </x:c>
      <x:c r="B4824" s="9" t="d">
        <x:v>2011-02-12T00:00:00.000Z</x:v>
      </x:c>
      <x:c r="C4824" s="13" t="n">
        <x:v>0</x:v>
      </x:c>
    </x:row>
    <x:row r="4825" ht="20" customHeight="1">
      <x:c r="A4825" s="1" t="str">
        <x:v>22722</x:v>
      </x:c>
      <x:c r="B4825" s="9" t="d">
        <x:v>2011-02-13T00:00:00.000Z</x:v>
      </x:c>
      <x:c r="C4825" s="13" t="n">
        <x:v>13</x:v>
      </x:c>
    </x:row>
    <x:row r="4826" ht="20" customHeight="1">
      <x:c r="A4826" s="1" t="str">
        <x:v>22722</x:v>
      </x:c>
      <x:c r="B4826" s="9" t="d">
        <x:v>2011-02-14T00:00:00.000Z</x:v>
      </x:c>
      <x:c r="C4826" s="13" t="n">
        <x:v>24</x:v>
      </x:c>
    </x:row>
    <x:row r="4827" ht="20" customHeight="1">
      <x:c r="A4827" s="1" t="str">
        <x:v>22722</x:v>
      </x:c>
      <x:c r="B4827" s="9" t="d">
        <x:v>2011-02-15T00:00:00.000Z</x:v>
      </x:c>
      <x:c r="C4827" s="13" t="n">
        <x:v>77</x:v>
      </x:c>
    </x:row>
    <x:row r="4828" ht="20" customHeight="1">
      <x:c r="A4828" s="1" t="str">
        <x:v>22722</x:v>
      </x:c>
      <x:c r="B4828" s="9" t="d">
        <x:v>2011-02-16T00:00:00.000Z</x:v>
      </x:c>
      <x:c r="C4828" s="13" t="n">
        <x:v>17</x:v>
      </x:c>
    </x:row>
    <x:row r="4829" ht="20" customHeight="1">
      <x:c r="A4829" s="1" t="str">
        <x:v>22722</x:v>
      </x:c>
      <x:c r="B4829" s="9" t="d">
        <x:v>2011-02-17T00:00:00.000Z</x:v>
      </x:c>
      <x:c r="C4829" s="13" t="n">
        <x:v>16</x:v>
      </x:c>
    </x:row>
    <x:row r="4830" ht="20" customHeight="1">
      <x:c r="A4830" s="1" t="str">
        <x:v>22722</x:v>
      </x:c>
      <x:c r="B4830" s="9" t="d">
        <x:v>2011-02-18T00:00:00.000Z</x:v>
      </x:c>
      <x:c r="C4830" s="13" t="n">
        <x:v>18</x:v>
      </x:c>
    </x:row>
    <x:row r="4831" ht="20" customHeight="1">
      <x:c r="A4831" s="1" t="str">
        <x:v>22722</x:v>
      </x:c>
      <x:c r="B4831" s="9" t="d">
        <x:v>2011-02-19T00:00:00.000Z</x:v>
      </x:c>
      <x:c r="C4831" s="13" t="n">
        <x:v>0</x:v>
      </x:c>
    </x:row>
    <x:row r="4832" ht="20" customHeight="1">
      <x:c r="A4832" s="1" t="str">
        <x:v>22722</x:v>
      </x:c>
      <x:c r="B4832" s="9" t="d">
        <x:v>2011-02-20T00:00:00.000Z</x:v>
      </x:c>
      <x:c r="C4832" s="13" t="n">
        <x:v>13</x:v>
      </x:c>
    </x:row>
    <x:row r="4833" ht="20" customHeight="1">
      <x:c r="A4833" s="1" t="str">
        <x:v>22722</x:v>
      </x:c>
      <x:c r="B4833" s="9" t="d">
        <x:v>2011-02-21T00:00:00.000Z</x:v>
      </x:c>
      <x:c r="C4833" s="13" t="n">
        <x:v>22</x:v>
      </x:c>
    </x:row>
    <x:row r="4834" ht="20" customHeight="1">
      <x:c r="A4834" s="1" t="str">
        <x:v>22722</x:v>
      </x:c>
      <x:c r="B4834" s="9" t="d">
        <x:v>2011-02-22T00:00:00.000Z</x:v>
      </x:c>
      <x:c r="C4834" s="13" t="n">
        <x:v>14</x:v>
      </x:c>
    </x:row>
    <x:row r="4835" ht="20" customHeight="1">
      <x:c r="A4835" s="1" t="str">
        <x:v>22722</x:v>
      </x:c>
      <x:c r="B4835" s="9" t="d">
        <x:v>2011-02-23T00:00:00.000Z</x:v>
      </x:c>
      <x:c r="C4835" s="13" t="n">
        <x:v>13</x:v>
      </x:c>
    </x:row>
    <x:row r="4836" ht="20" customHeight="1">
      <x:c r="A4836" s="1" t="str">
        <x:v>22722</x:v>
      </x:c>
      <x:c r="B4836" s="9" t="d">
        <x:v>2011-02-24T00:00:00.000Z</x:v>
      </x:c>
      <x:c r="C4836" s="13" t="n">
        <x:v>23</x:v>
      </x:c>
    </x:row>
    <x:row r="4837" ht="20" customHeight="1">
      <x:c r="A4837" s="1" t="str">
        <x:v>22722</x:v>
      </x:c>
      <x:c r="B4837" s="9" t="d">
        <x:v>2011-02-25T00:00:00.000Z</x:v>
      </x:c>
      <x:c r="C4837" s="13" t="n">
        <x:v>25</x:v>
      </x:c>
    </x:row>
    <x:row r="4838" ht="20" customHeight="1">
      <x:c r="A4838" s="1" t="str">
        <x:v>22722</x:v>
      </x:c>
      <x:c r="B4838" s="9" t="d">
        <x:v>2011-02-26T00:00:00.000Z</x:v>
      </x:c>
      <x:c r="C4838" s="13" t="n">
        <x:v>0</x:v>
      </x:c>
    </x:row>
    <x:row r="4839" ht="20" customHeight="1">
      <x:c r="A4839" s="1" t="str">
        <x:v>22722</x:v>
      </x:c>
      <x:c r="B4839" s="9" t="d">
        <x:v>2011-02-27T00:00:00.000Z</x:v>
      </x:c>
      <x:c r="C4839" s="13" t="n">
        <x:v>3</x:v>
      </x:c>
    </x:row>
    <x:row r="4840" ht="20" customHeight="1">
      <x:c r="A4840" s="1" t="str">
        <x:v>22722</x:v>
      </x:c>
      <x:c r="B4840" s="9" t="d">
        <x:v>2011-02-28T00:00:00.000Z</x:v>
      </x:c>
      <x:c r="C4840" s="13" t="n">
        <x:v>21</x:v>
      </x:c>
    </x:row>
    <x:row r="4841" ht="20" customHeight="1">
      <x:c r="A4841" s="1" t="str">
        <x:v>22722</x:v>
      </x:c>
      <x:c r="B4841" s="9" t="d">
        <x:v>2011-03-01T00:00:00.000Z</x:v>
      </x:c>
      <x:c r="C4841" s="13" t="n">
        <x:v>19</x:v>
      </x:c>
    </x:row>
    <x:row r="4842" ht="20" customHeight="1">
      <x:c r="A4842" s="1" t="str">
        <x:v>22722</x:v>
      </x:c>
      <x:c r="B4842" s="9" t="d">
        <x:v>2011-03-02T00:00:00.000Z</x:v>
      </x:c>
      <x:c r="C4842" s="13" t="n">
        <x:v>38</x:v>
      </x:c>
    </x:row>
    <x:row r="4843" ht="20" customHeight="1">
      <x:c r="A4843" s="1" t="str">
        <x:v>22722</x:v>
      </x:c>
      <x:c r="B4843" s="9" t="d">
        <x:v>2011-03-03T00:00:00.000Z</x:v>
      </x:c>
      <x:c r="C4843" s="13" t="n">
        <x:v>19</x:v>
      </x:c>
    </x:row>
    <x:row r="4844" ht="20" customHeight="1">
      <x:c r="A4844" s="1" t="str">
        <x:v>22722</x:v>
      </x:c>
      <x:c r="B4844" s="9" t="d">
        <x:v>2011-03-04T00:00:00.000Z</x:v>
      </x:c>
      <x:c r="C4844" s="13" t="n">
        <x:v>17</x:v>
      </x:c>
    </x:row>
    <x:row r="4845" ht="20" customHeight="1">
      <x:c r="A4845" s="1" t="str">
        <x:v>22722</x:v>
      </x:c>
      <x:c r="B4845" s="9" t="d">
        <x:v>2011-03-05T00:00:00.000Z</x:v>
      </x:c>
      <x:c r="C4845" s="13" t="n">
        <x:v>0</x:v>
      </x:c>
    </x:row>
    <x:row r="4846" ht="20" customHeight="1">
      <x:c r="A4846" s="1" t="str">
        <x:v>22722</x:v>
      </x:c>
      <x:c r="B4846" s="9" t="d">
        <x:v>2011-03-06T00:00:00.000Z</x:v>
      </x:c>
      <x:c r="C4846" s="13" t="n">
        <x:v>13</x:v>
      </x:c>
    </x:row>
    <x:row r="4847" ht="20" customHeight="1">
      <x:c r="A4847" s="1" t="str">
        <x:v>22722</x:v>
      </x:c>
      <x:c r="B4847" s="9" t="d">
        <x:v>2011-03-07T00:00:00.000Z</x:v>
      </x:c>
      <x:c r="C4847" s="13" t="n">
        <x:v>21</x:v>
      </x:c>
    </x:row>
    <x:row r="4848" ht="20" customHeight="1">
      <x:c r="A4848" s="1" t="str">
        <x:v>22722</x:v>
      </x:c>
      <x:c r="B4848" s="9" t="d">
        <x:v>2011-03-08T00:00:00.000Z</x:v>
      </x:c>
      <x:c r="C4848" s="13" t="n">
        <x:v>27</x:v>
      </x:c>
    </x:row>
    <x:row r="4849" ht="20" customHeight="1">
      <x:c r="A4849" s="1" t="str">
        <x:v>22722</x:v>
      </x:c>
      <x:c r="B4849" s="9" t="d">
        <x:v>2011-03-09T00:00:00.000Z</x:v>
      </x:c>
      <x:c r="C4849" s="13" t="n">
        <x:v>11</x:v>
      </x:c>
    </x:row>
    <x:row r="4850" ht="20" customHeight="1">
      <x:c r="A4850" s="1" t="str">
        <x:v>22722</x:v>
      </x:c>
      <x:c r="B4850" s="9" t="d">
        <x:v>2011-03-10T00:00:00.000Z</x:v>
      </x:c>
      <x:c r="C4850" s="13" t="n">
        <x:v>12</x:v>
      </x:c>
    </x:row>
    <x:row r="4851" ht="20" customHeight="1">
      <x:c r="A4851" s="1" t="str">
        <x:v>22722</x:v>
      </x:c>
      <x:c r="B4851" s="9" t="d">
        <x:v>2011-03-11T00:00:00.000Z</x:v>
      </x:c>
      <x:c r="C4851" s="13" t="n">
        <x:v>29</x:v>
      </x:c>
    </x:row>
    <x:row r="4852" ht="20" customHeight="1">
      <x:c r="A4852" s="1" t="str">
        <x:v>22722</x:v>
      </x:c>
      <x:c r="B4852" s="9" t="d">
        <x:v>2011-03-12T00:00:00.000Z</x:v>
      </x:c>
      <x:c r="C4852" s="13" t="n">
        <x:v>0</x:v>
      </x:c>
    </x:row>
    <x:row r="4853" ht="20" customHeight="1">
      <x:c r="A4853" s="1" t="str">
        <x:v>22722</x:v>
      </x:c>
      <x:c r="B4853" s="9" t="d">
        <x:v>2011-03-13T00:00:00.000Z</x:v>
      </x:c>
      <x:c r="C4853" s="13" t="n">
        <x:v>1</x:v>
      </x:c>
    </x:row>
    <x:row r="4854" ht="20" customHeight="1">
      <x:c r="A4854" s="1" t="str">
        <x:v>22722</x:v>
      </x:c>
      <x:c r="B4854" s="9" t="d">
        <x:v>2011-03-14T00:00:00.000Z</x:v>
      </x:c>
      <x:c r="C4854" s="13" t="n">
        <x:v>36</x:v>
      </x:c>
    </x:row>
    <x:row r="4855" ht="20" customHeight="1">
      <x:c r="A4855" s="1" t="str">
        <x:v>22722</x:v>
      </x:c>
      <x:c r="B4855" s="9" t="d">
        <x:v>2011-03-15T00:00:00.000Z</x:v>
      </x:c>
      <x:c r="C4855" s="13" t="n">
        <x:v>44</x:v>
      </x:c>
    </x:row>
    <x:row r="4856" ht="20" customHeight="1">
      <x:c r="A4856" s="1" t="str">
        <x:v>22722</x:v>
      </x:c>
      <x:c r="B4856" s="9" t="d">
        <x:v>2011-03-16T00:00:00.000Z</x:v>
      </x:c>
      <x:c r="C4856" s="13" t="n">
        <x:v>0</x:v>
      </x:c>
    </x:row>
    <x:row r="4857" ht="20" customHeight="1">
      <x:c r="A4857" s="1" t="str">
        <x:v>22722</x:v>
      </x:c>
      <x:c r="B4857" s="9" t="d">
        <x:v>2011-03-17T00:00:00.000Z</x:v>
      </x:c>
      <x:c r="C4857" s="13" t="n">
        <x:v>19</x:v>
      </x:c>
    </x:row>
    <x:row r="4858" ht="20" customHeight="1">
      <x:c r="A4858" s="1" t="str">
        <x:v>22722</x:v>
      </x:c>
      <x:c r="B4858" s="9" t="d">
        <x:v>2011-03-18T00:00:00.000Z</x:v>
      </x:c>
      <x:c r="C4858" s="13" t="n">
        <x:v>4</x:v>
      </x:c>
    </x:row>
    <x:row r="4859" ht="20" customHeight="1">
      <x:c r="A4859" s="1" t="str">
        <x:v>22722</x:v>
      </x:c>
      <x:c r="B4859" s="9" t="d">
        <x:v>2011-03-19T00:00:00.000Z</x:v>
      </x:c>
      <x:c r="C4859" s="13" t="n">
        <x:v>0</x:v>
      </x:c>
    </x:row>
    <x:row r="4860" ht="20" customHeight="1">
      <x:c r="A4860" s="1" t="str">
        <x:v>22722</x:v>
      </x:c>
      <x:c r="B4860" s="9" t="d">
        <x:v>2011-03-20T00:00:00.000Z</x:v>
      </x:c>
      <x:c r="C4860" s="13" t="n">
        <x:v>33</x:v>
      </x:c>
    </x:row>
    <x:row r="4861" ht="20" customHeight="1">
      <x:c r="A4861" s="1" t="str">
        <x:v>22722</x:v>
      </x:c>
      <x:c r="B4861" s="9" t="d">
        <x:v>2011-03-21T00:00:00.000Z</x:v>
      </x:c>
      <x:c r="C4861" s="13" t="n">
        <x:v>18</x:v>
      </x:c>
    </x:row>
    <x:row r="4862" ht="20" customHeight="1">
      <x:c r="A4862" s="1" t="str">
        <x:v>22722</x:v>
      </x:c>
      <x:c r="B4862" s="9" t="d">
        <x:v>2011-03-22T00:00:00.000Z</x:v>
      </x:c>
      <x:c r="C4862" s="13" t="n">
        <x:v>11</x:v>
      </x:c>
    </x:row>
    <x:row r="4863" ht="20" customHeight="1">
      <x:c r="A4863" s="1" t="str">
        <x:v>22722</x:v>
      </x:c>
      <x:c r="B4863" s="9" t="d">
        <x:v>2011-03-23T00:00:00.000Z</x:v>
      </x:c>
      <x:c r="C4863" s="13" t="n">
        <x:v>11</x:v>
      </x:c>
    </x:row>
    <x:row r="4864" ht="20" customHeight="1">
      <x:c r="A4864" s="1" t="str">
        <x:v>22722</x:v>
      </x:c>
      <x:c r="B4864" s="9" t="d">
        <x:v>2011-03-24T00:00:00.000Z</x:v>
      </x:c>
      <x:c r="C4864" s="13" t="n">
        <x:v>55</x:v>
      </x:c>
    </x:row>
    <x:row r="4865" ht="20" customHeight="1">
      <x:c r="A4865" s="1" t="str">
        <x:v>22722</x:v>
      </x:c>
      <x:c r="B4865" s="9" t="d">
        <x:v>2011-03-25T00:00:00.000Z</x:v>
      </x:c>
      <x:c r="C4865" s="13" t="n">
        <x:v>11</x:v>
      </x:c>
    </x:row>
    <x:row r="4866" ht="20" customHeight="1">
      <x:c r="A4866" s="1" t="str">
        <x:v>22722</x:v>
      </x:c>
      <x:c r="B4866" s="9" t="d">
        <x:v>2011-03-26T00:00:00.000Z</x:v>
      </x:c>
      <x:c r="C4866" s="13" t="n">
        <x:v>0</x:v>
      </x:c>
    </x:row>
    <x:row r="4867" ht="20" customHeight="1">
      <x:c r="A4867" s="1" t="str">
        <x:v>22722</x:v>
      </x:c>
      <x:c r="B4867" s="9" t="d">
        <x:v>2011-03-27T00:00:00.000Z</x:v>
      </x:c>
      <x:c r="C4867" s="13" t="n">
        <x:v>10</x:v>
      </x:c>
    </x:row>
    <x:row r="4868" ht="20" customHeight="1">
      <x:c r="A4868" s="1" t="str">
        <x:v>22722</x:v>
      </x:c>
      <x:c r="B4868" s="9" t="d">
        <x:v>2011-03-28T00:00:00.000Z</x:v>
      </x:c>
      <x:c r="C4868" s="13" t="n">
        <x:v>14</x:v>
      </x:c>
    </x:row>
    <x:row r="4869" ht="20" customHeight="1">
      <x:c r="A4869" s="1" t="str">
        <x:v>22722</x:v>
      </x:c>
      <x:c r="B4869" s="9" t="d">
        <x:v>2011-03-29T00:00:00.000Z</x:v>
      </x:c>
      <x:c r="C4869" s="13" t="n">
        <x:v>64</x:v>
      </x:c>
    </x:row>
    <x:row r="4870" ht="20" customHeight="1">
      <x:c r="A4870" s="1" t="str">
        <x:v>22722</x:v>
      </x:c>
      <x:c r="B4870" s="9" t="d">
        <x:v>2011-03-30T00:00:00.000Z</x:v>
      </x:c>
      <x:c r="C4870" s="13" t="n">
        <x:v>23</x:v>
      </x:c>
    </x:row>
    <x:row r="4871" ht="20" customHeight="1">
      <x:c r="A4871" s="1" t="str">
        <x:v>22722</x:v>
      </x:c>
      <x:c r="B4871" s="9" t="d">
        <x:v>2011-03-31T00:00:00.000Z</x:v>
      </x:c>
      <x:c r="C4871" s="13" t="n">
        <x:v>30</x:v>
      </x:c>
    </x:row>
    <x:row r="4872" ht="20" customHeight="1">
      <x:c r="A4872" s="1" t="str">
        <x:v>22722</x:v>
      </x:c>
      <x:c r="B4872" s="9" t="d">
        <x:v>2011-04-01T00:00:00.000Z</x:v>
      </x:c>
      <x:c r="C4872" s="13" t="n">
        <x:v>6</x:v>
      </x:c>
    </x:row>
    <x:row r="4873" ht="20" customHeight="1">
      <x:c r="A4873" s="1" t="str">
        <x:v>22722</x:v>
      </x:c>
      <x:c r="B4873" s="9" t="d">
        <x:v>2011-04-02T00:00:00.000Z</x:v>
      </x:c>
      <x:c r="C4873" s="13" t="n">
        <x:v>0</x:v>
      </x:c>
    </x:row>
    <x:row r="4874" ht="20" customHeight="1">
      <x:c r="A4874" s="1" t="str">
        <x:v>22722</x:v>
      </x:c>
      <x:c r="B4874" s="9" t="d">
        <x:v>2011-04-03T00:00:00.000Z</x:v>
      </x:c>
      <x:c r="C4874" s="13" t="n">
        <x:v>1</x:v>
      </x:c>
    </x:row>
    <x:row r="4875" ht="20" customHeight="1">
      <x:c r="A4875" s="1" t="str">
        <x:v>22722</x:v>
      </x:c>
      <x:c r="B4875" s="9" t="d">
        <x:v>2011-04-04T00:00:00.000Z</x:v>
      </x:c>
      <x:c r="C4875" s="13" t="n">
        <x:v>4</x:v>
      </x:c>
    </x:row>
    <x:row r="4876" ht="20" customHeight="1">
      <x:c r="A4876" s="1" t="str">
        <x:v>22722</x:v>
      </x:c>
      <x:c r="B4876" s="9" t="d">
        <x:v>2011-04-05T00:00:00.000Z</x:v>
      </x:c>
      <x:c r="C4876" s="13" t="n">
        <x:v>26</x:v>
      </x:c>
    </x:row>
    <x:row r="4877" ht="20" customHeight="1">
      <x:c r="A4877" s="1" t="str">
        <x:v>22722</x:v>
      </x:c>
      <x:c r="B4877" s="9" t="d">
        <x:v>2011-04-06T00:00:00.000Z</x:v>
      </x:c>
      <x:c r="C4877" s="13" t="n">
        <x:v>3</x:v>
      </x:c>
    </x:row>
    <x:row r="4878" ht="20" customHeight="1">
      <x:c r="A4878" s="1" t="str">
        <x:v>22722</x:v>
      </x:c>
      <x:c r="B4878" s="9" t="d">
        <x:v>2011-04-07T00:00:00.000Z</x:v>
      </x:c>
      <x:c r="C4878" s="13" t="n">
        <x:v>25</x:v>
      </x:c>
    </x:row>
    <x:row r="4879" ht="20" customHeight="1">
      <x:c r="A4879" s="1" t="str">
        <x:v>22722</x:v>
      </x:c>
      <x:c r="B4879" s="9" t="d">
        <x:v>2011-04-08T00:00:00.000Z</x:v>
      </x:c>
      <x:c r="C4879" s="13" t="n">
        <x:v>16</x:v>
      </x:c>
    </x:row>
    <x:row r="4880" ht="20" customHeight="1">
      <x:c r="A4880" s="1" t="str">
        <x:v>22722</x:v>
      </x:c>
      <x:c r="B4880" s="9" t="d">
        <x:v>2011-04-09T00:00:00.000Z</x:v>
      </x:c>
      <x:c r="C4880" s="13" t="n">
        <x:v>0</x:v>
      </x:c>
    </x:row>
    <x:row r="4881" ht="20" customHeight="1">
      <x:c r="A4881" s="1" t="str">
        <x:v>22722</x:v>
      </x:c>
      <x:c r="B4881" s="9" t="d">
        <x:v>2011-04-10T00:00:00.000Z</x:v>
      </x:c>
      <x:c r="C4881" s="13" t="n">
        <x:v>10</x:v>
      </x:c>
    </x:row>
    <x:row r="4882" ht="20" customHeight="1">
      <x:c r="A4882" s="1" t="str">
        <x:v>22722</x:v>
      </x:c>
      <x:c r="B4882" s="9" t="d">
        <x:v>2011-04-11T00:00:00.000Z</x:v>
      </x:c>
      <x:c r="C4882" s="13" t="n">
        <x:v>15</x:v>
      </x:c>
    </x:row>
    <x:row r="4883" ht="20" customHeight="1">
      <x:c r="A4883" s="1" t="str">
        <x:v>22722</x:v>
      </x:c>
      <x:c r="B4883" s="9" t="d">
        <x:v>2011-04-12T00:00:00.000Z</x:v>
      </x:c>
      <x:c r="C4883" s="13" t="n">
        <x:v>10</x:v>
      </x:c>
    </x:row>
    <x:row r="4884" ht="20" customHeight="1">
      <x:c r="A4884" s="1" t="str">
        <x:v>22722</x:v>
      </x:c>
      <x:c r="B4884" s="9" t="d">
        <x:v>2011-04-13T00:00:00.000Z</x:v>
      </x:c>
      <x:c r="C4884" s="13" t="n">
        <x:v>0</x:v>
      </x:c>
    </x:row>
    <x:row r="4885" ht="20" customHeight="1">
      <x:c r="A4885" s="1" t="str">
        <x:v>22722</x:v>
      </x:c>
      <x:c r="B4885" s="9" t="d">
        <x:v>2011-04-14T00:00:00.000Z</x:v>
      </x:c>
      <x:c r="C4885" s="13" t="n">
        <x:v>26</x:v>
      </x:c>
    </x:row>
    <x:row r="4886" ht="20" customHeight="1">
      <x:c r="A4886" s="1" t="str">
        <x:v>22722</x:v>
      </x:c>
      <x:c r="B4886" s="9" t="d">
        <x:v>2011-04-15T00:00:00.000Z</x:v>
      </x:c>
      <x:c r="C4886" s="13" t="n">
        <x:v>39</x:v>
      </x:c>
    </x:row>
    <x:row r="4887" ht="20" customHeight="1">
      <x:c r="A4887" s="1" t="str">
        <x:v>22722</x:v>
      </x:c>
      <x:c r="B4887" s="9" t="d">
        <x:v>2011-04-16T00:00:00.000Z</x:v>
      </x:c>
      <x:c r="C4887" s="13" t="n">
        <x:v>0</x:v>
      </x:c>
    </x:row>
    <x:row r="4888" ht="20" customHeight="1">
      <x:c r="A4888" s="1" t="str">
        <x:v>22722</x:v>
      </x:c>
      <x:c r="B4888" s="9" t="d">
        <x:v>2011-04-17T00:00:00.000Z</x:v>
      </x:c>
      <x:c r="C4888" s="13" t="n">
        <x:v>5</x:v>
      </x:c>
    </x:row>
    <x:row r="4889" ht="20" customHeight="1">
      <x:c r="A4889" s="1" t="str">
        <x:v>22722</x:v>
      </x:c>
      <x:c r="B4889" s="9" t="d">
        <x:v>2011-04-18T00:00:00.000Z</x:v>
      </x:c>
      <x:c r="C4889" s="13" t="n">
        <x:v>15</x:v>
      </x:c>
    </x:row>
    <x:row r="4890" ht="20" customHeight="1">
      <x:c r="A4890" s="1" t="str">
        <x:v>22722</x:v>
      </x:c>
      <x:c r="B4890" s="9" t="d">
        <x:v>2011-04-19T00:00:00.000Z</x:v>
      </x:c>
      <x:c r="C4890" s="13" t="n">
        <x:v>31</x:v>
      </x:c>
    </x:row>
    <x:row r="4891" ht="20" customHeight="1">
      <x:c r="A4891" s="1" t="str">
        <x:v>22722</x:v>
      </x:c>
      <x:c r="B4891" s="9" t="d">
        <x:v>2011-04-20T00:00:00.000Z</x:v>
      </x:c>
      <x:c r="C4891" s="13" t="n">
        <x:v>28</x:v>
      </x:c>
    </x:row>
    <x:row r="4892" ht="20" customHeight="1">
      <x:c r="A4892" s="1" t="str">
        <x:v>22722</x:v>
      </x:c>
      <x:c r="B4892" s="9" t="d">
        <x:v>2011-04-21T00:00:00.000Z</x:v>
      </x:c>
      <x:c r="C4892" s="13" t="n">
        <x:v>61</x:v>
      </x:c>
    </x:row>
    <x:row r="4893" ht="20" customHeight="1">
      <x:c r="A4893" s="1" t="str">
        <x:v>22722</x:v>
      </x:c>
      <x:c r="B4893" s="9" t="d">
        <x:v>2011-04-22T00:00:00.000Z</x:v>
      </x:c>
      <x:c r="C4893" s="13" t="n">
        <x:v>0</x:v>
      </x:c>
    </x:row>
    <x:row r="4894" ht="20" customHeight="1">
      <x:c r="A4894" s="1" t="str">
        <x:v>22722</x:v>
      </x:c>
      <x:c r="B4894" s="9" t="d">
        <x:v>2011-04-23T00:00:00.000Z</x:v>
      </x:c>
      <x:c r="C4894" s="13" t="n">
        <x:v>0</x:v>
      </x:c>
    </x:row>
    <x:row r="4895" ht="20" customHeight="1">
      <x:c r="A4895" s="1" t="str">
        <x:v>22722</x:v>
      </x:c>
      <x:c r="B4895" s="9" t="d">
        <x:v>2011-04-24T00:00:00.000Z</x:v>
      </x:c>
      <x:c r="C4895" s="13" t="n">
        <x:v>0</x:v>
      </x:c>
    </x:row>
    <x:row r="4896" ht="20" customHeight="1">
      <x:c r="A4896" s="1" t="str">
        <x:v>22722</x:v>
      </x:c>
      <x:c r="B4896" s="9" t="d">
        <x:v>2011-04-25T00:00:00.000Z</x:v>
      </x:c>
      <x:c r="C4896" s="13" t="n">
        <x:v>0</x:v>
      </x:c>
    </x:row>
    <x:row r="4897" ht="20" customHeight="1">
      <x:c r="A4897" s="1" t="str">
        <x:v>22722</x:v>
      </x:c>
      <x:c r="B4897" s="9" t="d">
        <x:v>2011-04-26T00:00:00.000Z</x:v>
      </x:c>
      <x:c r="C4897" s="13" t="n">
        <x:v>10</x:v>
      </x:c>
    </x:row>
    <x:row r="4898" ht="20" customHeight="1">
      <x:c r="A4898" s="1" t="str">
        <x:v>22722</x:v>
      </x:c>
      <x:c r="B4898" s="9" t="d">
        <x:v>2011-04-27T00:00:00.000Z</x:v>
      </x:c>
      <x:c r="C4898" s="13" t="n">
        <x:v>1</x:v>
      </x:c>
    </x:row>
    <x:row r="4899" ht="20" customHeight="1">
      <x:c r="A4899" s="1" t="str">
        <x:v>22722</x:v>
      </x:c>
      <x:c r="B4899" s="9" t="d">
        <x:v>2011-04-28T00:00:00.000Z</x:v>
      </x:c>
      <x:c r="C4899" s="13" t="n">
        <x:v>6</x:v>
      </x:c>
    </x:row>
    <x:row r="4900" ht="20" customHeight="1">
      <x:c r="A4900" s="1" t="str">
        <x:v>22722</x:v>
      </x:c>
      <x:c r="B4900" s="9" t="d">
        <x:v>2011-04-29T00:00:00.000Z</x:v>
      </x:c>
      <x:c r="C4900" s="13" t="n">
        <x:v>0</x:v>
      </x:c>
    </x:row>
    <x:row r="4901" ht="20" customHeight="1">
      <x:c r="A4901" s="1" t="str">
        <x:v>22722</x:v>
      </x:c>
      <x:c r="B4901" s="9" t="d">
        <x:v>2011-04-30T00:00:00.000Z</x:v>
      </x:c>
      <x:c r="C4901" s="13" t="n">
        <x:v>0</x:v>
      </x:c>
    </x:row>
    <x:row r="4902" ht="20" customHeight="1">
      <x:c r="A4902" s="1" t="str">
        <x:v>22722</x:v>
      </x:c>
      <x:c r="B4902" s="9" t="d">
        <x:v>2011-05-01T00:00:00.000Z</x:v>
      </x:c>
      <x:c r="C4902" s="13" t="n">
        <x:v>3</x:v>
      </x:c>
    </x:row>
    <x:row r="4903" ht="20" customHeight="1">
      <x:c r="A4903" s="1" t="str">
        <x:v>22722</x:v>
      </x:c>
      <x:c r="B4903" s="9" t="d">
        <x:v>2011-05-02T00:00:00.000Z</x:v>
      </x:c>
      <x:c r="C4903" s="13" t="n">
        <x:v>0</x:v>
      </x:c>
    </x:row>
    <x:row r="4904" ht="20" customHeight="1">
      <x:c r="A4904" s="1" t="str">
        <x:v>22722</x:v>
      </x:c>
      <x:c r="B4904" s="9" t="d">
        <x:v>2011-05-03T00:00:00.000Z</x:v>
      </x:c>
      <x:c r="C4904" s="13" t="n">
        <x:v>30</x:v>
      </x:c>
    </x:row>
    <x:row r="4905" ht="20" customHeight="1">
      <x:c r="A4905" s="1" t="str">
        <x:v>22722</x:v>
      </x:c>
      <x:c r="B4905" s="9" t="d">
        <x:v>2011-05-04T00:00:00.000Z</x:v>
      </x:c>
      <x:c r="C4905" s="13" t="n">
        <x:v>7</x:v>
      </x:c>
    </x:row>
    <x:row r="4906" ht="20" customHeight="1">
      <x:c r="A4906" s="1" t="str">
        <x:v>22722</x:v>
      </x:c>
      <x:c r="B4906" s="9" t="d">
        <x:v>2011-05-05T00:00:00.000Z</x:v>
      </x:c>
      <x:c r="C4906" s="13" t="n">
        <x:v>27</x:v>
      </x:c>
    </x:row>
    <x:row r="4907" ht="20" customHeight="1">
      <x:c r="A4907" s="1" t="str">
        <x:v>22722</x:v>
      </x:c>
      <x:c r="B4907" s="9" t="d">
        <x:v>2011-05-06T00:00:00.000Z</x:v>
      </x:c>
      <x:c r="C4907" s="13" t="n">
        <x:v>46</x:v>
      </x:c>
    </x:row>
    <x:row r="4908" ht="20" customHeight="1">
      <x:c r="A4908" s="1" t="str">
        <x:v>22722</x:v>
      </x:c>
      <x:c r="B4908" s="9" t="d">
        <x:v>2011-05-07T00:00:00.000Z</x:v>
      </x:c>
      <x:c r="C4908" s="13" t="n">
        <x:v>0</x:v>
      </x:c>
    </x:row>
    <x:row r="4909" ht="20" customHeight="1">
      <x:c r="A4909" s="1" t="str">
        <x:v>22722</x:v>
      </x:c>
      <x:c r="B4909" s="9" t="d">
        <x:v>2011-05-08T00:00:00.000Z</x:v>
      </x:c>
      <x:c r="C4909" s="13" t="n">
        <x:v>10</x:v>
      </x:c>
    </x:row>
    <x:row r="4910" ht="20" customHeight="1">
      <x:c r="A4910" s="1" t="str">
        <x:v>22722</x:v>
      </x:c>
      <x:c r="B4910" s="9" t="d">
        <x:v>2011-05-09T00:00:00.000Z</x:v>
      </x:c>
      <x:c r="C4910" s="13" t="n">
        <x:v>47</x:v>
      </x:c>
    </x:row>
    <x:row r="4911" ht="20" customHeight="1">
      <x:c r="A4911" s="1" t="str">
        <x:v>22722</x:v>
      </x:c>
      <x:c r="B4911" s="9" t="d">
        <x:v>2011-05-10T00:00:00.000Z</x:v>
      </x:c>
      <x:c r="C4911" s="13" t="n">
        <x:v>42</x:v>
      </x:c>
    </x:row>
    <x:row r="4912" ht="20" customHeight="1">
      <x:c r="A4912" s="1" t="str">
        <x:v>22722</x:v>
      </x:c>
      <x:c r="B4912" s="9" t="d">
        <x:v>2011-05-11T00:00:00.000Z</x:v>
      </x:c>
      <x:c r="C4912" s="13" t="n">
        <x:v>9</x:v>
      </x:c>
    </x:row>
    <x:row r="4913" ht="20" customHeight="1">
      <x:c r="A4913" s="1" t="str">
        <x:v>22722</x:v>
      </x:c>
      <x:c r="B4913" s="9" t="d">
        <x:v>2011-05-12T00:00:00.000Z</x:v>
      </x:c>
      <x:c r="C4913" s="13" t="n">
        <x:v>32</x:v>
      </x:c>
    </x:row>
    <x:row r="4914" ht="20" customHeight="1">
      <x:c r="A4914" s="1" t="str">
        <x:v>22722</x:v>
      </x:c>
      <x:c r="B4914" s="9" t="d">
        <x:v>2011-05-13T00:00:00.000Z</x:v>
      </x:c>
      <x:c r="C4914" s="13" t="n">
        <x:v>14</x:v>
      </x:c>
    </x:row>
    <x:row r="4915" ht="20" customHeight="1">
      <x:c r="A4915" s="1" t="str">
        <x:v>22722</x:v>
      </x:c>
      <x:c r="B4915" s="9" t="d">
        <x:v>2011-05-14T00:00:00.000Z</x:v>
      </x:c>
      <x:c r="C4915" s="13" t="n">
        <x:v>0</x:v>
      </x:c>
    </x:row>
    <x:row r="4916" ht="20" customHeight="1">
      <x:c r="A4916" s="1" t="str">
        <x:v>22722</x:v>
      </x:c>
      <x:c r="B4916" s="9" t="d">
        <x:v>2011-05-15T00:00:00.000Z</x:v>
      </x:c>
      <x:c r="C4916" s="13" t="n">
        <x:v>0</x:v>
      </x:c>
    </x:row>
    <x:row r="4917" ht="20" customHeight="1">
      <x:c r="A4917" s="1" t="str">
        <x:v>22722</x:v>
      </x:c>
      <x:c r="B4917" s="9" t="d">
        <x:v>2011-05-16T00:00:00.000Z</x:v>
      </x:c>
      <x:c r="C4917" s="13" t="n">
        <x:v>12</x:v>
      </x:c>
    </x:row>
    <x:row r="4918" ht="20" customHeight="1">
      <x:c r="A4918" s="1" t="str">
        <x:v>22722</x:v>
      </x:c>
      <x:c r="B4918" s="9" t="d">
        <x:v>2011-05-17T00:00:00.000Z</x:v>
      </x:c>
      <x:c r="C4918" s="13" t="n">
        <x:v>0</x:v>
      </x:c>
    </x:row>
    <x:row r="4919" ht="20" customHeight="1">
      <x:c r="A4919" s="1" t="str">
        <x:v>22722</x:v>
      </x:c>
      <x:c r="B4919" s="9" t="d">
        <x:v>2011-05-18T00:00:00.000Z</x:v>
      </x:c>
      <x:c r="C4919" s="13" t="n">
        <x:v>9</x:v>
      </x:c>
    </x:row>
    <x:row r="4920" ht="20" customHeight="1">
      <x:c r="A4920" s="1" t="str">
        <x:v>22722</x:v>
      </x:c>
      <x:c r="B4920" s="9" t="d">
        <x:v>2011-05-19T00:00:00.000Z</x:v>
      </x:c>
      <x:c r="C4920" s="13" t="n">
        <x:v>18</x:v>
      </x:c>
    </x:row>
    <x:row r="4921" ht="20" customHeight="1">
      <x:c r="A4921" s="1" t="str">
        <x:v>22722</x:v>
      </x:c>
      <x:c r="B4921" s="9" t="d">
        <x:v>2011-05-20T00:00:00.000Z</x:v>
      </x:c>
      <x:c r="C4921" s="13" t="n">
        <x:v>4</x:v>
      </x:c>
    </x:row>
    <x:row r="4922" ht="20" customHeight="1">
      <x:c r="A4922" s="1" t="str">
        <x:v>22722</x:v>
      </x:c>
      <x:c r="B4922" s="9" t="d">
        <x:v>2011-05-21T00:00:00.000Z</x:v>
      </x:c>
      <x:c r="C4922" s="13" t="n">
        <x:v>0</x:v>
      </x:c>
    </x:row>
    <x:row r="4923" ht="20" customHeight="1">
      <x:c r="A4923" s="1" t="str">
        <x:v>22722</x:v>
      </x:c>
      <x:c r="B4923" s="9" t="d">
        <x:v>2011-05-22T00:00:00.000Z</x:v>
      </x:c>
      <x:c r="C4923" s="13" t="n">
        <x:v>20</x:v>
      </x:c>
    </x:row>
    <x:row r="4924" ht="20" customHeight="1">
      <x:c r="A4924" s="1" t="str">
        <x:v>22722</x:v>
      </x:c>
      <x:c r="B4924" s="9" t="d">
        <x:v>2011-05-23T00:00:00.000Z</x:v>
      </x:c>
      <x:c r="C4924" s="13" t="n">
        <x:v>38</x:v>
      </x:c>
    </x:row>
    <x:row r="4925" ht="20" customHeight="1">
      <x:c r="A4925" s="1" t="str">
        <x:v>22722</x:v>
      </x:c>
      <x:c r="B4925" s="9" t="d">
        <x:v>2011-05-24T00:00:00.000Z</x:v>
      </x:c>
      <x:c r="C4925" s="13" t="n">
        <x:v>14</x:v>
      </x:c>
    </x:row>
    <x:row r="4926" ht="20" customHeight="1">
      <x:c r="A4926" s="1" t="str">
        <x:v>22722</x:v>
      </x:c>
      <x:c r="B4926" s="9" t="d">
        <x:v>2011-05-25T00:00:00.000Z</x:v>
      </x:c>
      <x:c r="C4926" s="13" t="n">
        <x:v>9</x:v>
      </x:c>
    </x:row>
    <x:row r="4927" ht="20" customHeight="1">
      <x:c r="A4927" s="1" t="str">
        <x:v>22722</x:v>
      </x:c>
      <x:c r="B4927" s="9" t="d">
        <x:v>2011-05-26T00:00:00.000Z</x:v>
      </x:c>
      <x:c r="C4927" s="13" t="n">
        <x:v>1</x:v>
      </x:c>
    </x:row>
    <x:row r="4928" ht="20" customHeight="1">
      <x:c r="A4928" s="1" t="str">
        <x:v>22722</x:v>
      </x:c>
      <x:c r="B4928" s="9" t="d">
        <x:v>2011-05-27T00:00:00.000Z</x:v>
      </x:c>
      <x:c r="C4928" s="13" t="n">
        <x:v>8</x:v>
      </x:c>
    </x:row>
    <x:row r="4929" ht="20" customHeight="1">
      <x:c r="A4929" s="1" t="str">
        <x:v>22722</x:v>
      </x:c>
      <x:c r="B4929" s="9" t="d">
        <x:v>2011-05-28T00:00:00.000Z</x:v>
      </x:c>
      <x:c r="C4929" s="13" t="n">
        <x:v>0</x:v>
      </x:c>
    </x:row>
    <x:row r="4930" ht="20" customHeight="1">
      <x:c r="A4930" s="1" t="str">
        <x:v>22722</x:v>
      </x:c>
      <x:c r="B4930" s="9" t="d">
        <x:v>2011-05-29T00:00:00.000Z</x:v>
      </x:c>
      <x:c r="C4930" s="13" t="n">
        <x:v>0</x:v>
      </x:c>
    </x:row>
    <x:row r="4931" ht="20" customHeight="1">
      <x:c r="A4931" s="1" t="str">
        <x:v>22722</x:v>
      </x:c>
      <x:c r="B4931" s="9" t="d">
        <x:v>2011-05-30T00:00:00.000Z</x:v>
      </x:c>
      <x:c r="C4931" s="13" t="n">
        <x:v>0</x:v>
      </x:c>
    </x:row>
    <x:row r="4932" ht="20" customHeight="1">
      <x:c r="A4932" s="1" t="str">
        <x:v>22722</x:v>
      </x:c>
      <x:c r="B4932" s="9" t="d">
        <x:v>2011-05-31T00:00:00.000Z</x:v>
      </x:c>
      <x:c r="C4932" s="13" t="n">
        <x:v>1</x:v>
      </x:c>
    </x:row>
    <x:row r="4933" ht="20" customHeight="1">
      <x:c r="A4933" s="1" t="str">
        <x:v>22722</x:v>
      </x:c>
      <x:c r="B4933" s="9" t="d">
        <x:v>2011-06-01T00:00:00.000Z</x:v>
      </x:c>
      <x:c r="C4933" s="13" t="n">
        <x:v>1</x:v>
      </x:c>
    </x:row>
    <x:row r="4934" ht="20" customHeight="1">
      <x:c r="A4934" s="1" t="str">
        <x:v>22722</x:v>
      </x:c>
      <x:c r="B4934" s="9" t="d">
        <x:v>2011-06-02T00:00:00.000Z</x:v>
      </x:c>
      <x:c r="C4934" s="13" t="n">
        <x:v>1</x:v>
      </x:c>
    </x:row>
    <x:row r="4935" ht="20" customHeight="1">
      <x:c r="A4935" s="1" t="str">
        <x:v>22722</x:v>
      </x:c>
      <x:c r="B4935" s="9" t="d">
        <x:v>2011-06-03T00:00:00.000Z</x:v>
      </x:c>
      <x:c r="C4935" s="13" t="n">
        <x:v>0</x:v>
      </x:c>
    </x:row>
    <x:row r="4936" ht="20" customHeight="1">
      <x:c r="A4936" s="1" t="str">
        <x:v>22722</x:v>
      </x:c>
      <x:c r="B4936" s="9" t="d">
        <x:v>2011-06-04T00:00:00.000Z</x:v>
      </x:c>
      <x:c r="C4936" s="13" t="n">
        <x:v>0</x:v>
      </x:c>
    </x:row>
    <x:row r="4937" ht="20" customHeight="1">
      <x:c r="A4937" s="1" t="str">
        <x:v>22722</x:v>
      </x:c>
      <x:c r="B4937" s="9" t="d">
        <x:v>2011-06-05T00:00:00.000Z</x:v>
      </x:c>
      <x:c r="C4937" s="13" t="n">
        <x:v>0</x:v>
      </x:c>
    </x:row>
    <x:row r="4938" ht="20" customHeight="1">
      <x:c r="A4938" s="1" t="str">
        <x:v>22722</x:v>
      </x:c>
      <x:c r="B4938" s="9" t="d">
        <x:v>2011-06-06T00:00:00.000Z</x:v>
      </x:c>
      <x:c r="C4938" s="13" t="n">
        <x:v>0</x:v>
      </x:c>
    </x:row>
    <x:row r="4939" ht="20" customHeight="1">
      <x:c r="A4939" s="1" t="str">
        <x:v>22722</x:v>
      </x:c>
      <x:c r="B4939" s="9" t="d">
        <x:v>2011-06-07T00:00:00.000Z</x:v>
      </x:c>
      <x:c r="C4939" s="13" t="n">
        <x:v>0</x:v>
      </x:c>
    </x:row>
    <x:row r="4940" ht="20" customHeight="1">
      <x:c r="A4940" s="1" t="str">
        <x:v>22722</x:v>
      </x:c>
      <x:c r="B4940" s="9" t="d">
        <x:v>2011-06-08T00:00:00.000Z</x:v>
      </x:c>
      <x:c r="C4940" s="13" t="n">
        <x:v>0</x:v>
      </x:c>
    </x:row>
    <x:row r="4941" ht="20" customHeight="1">
      <x:c r="A4941" s="1" t="str">
        <x:v>22722</x:v>
      </x:c>
      <x:c r="B4941" s="9" t="d">
        <x:v>2011-06-09T00:00:00.000Z</x:v>
      </x:c>
      <x:c r="C4941" s="13" t="n">
        <x:v>0</x:v>
      </x:c>
    </x:row>
    <x:row r="4942" ht="20" customHeight="1">
      <x:c r="A4942" s="1" t="str">
        <x:v>22722</x:v>
      </x:c>
      <x:c r="B4942" s="9" t="d">
        <x:v>2011-06-10T00:00:00.000Z</x:v>
      </x:c>
      <x:c r="C4942" s="13" t="n">
        <x:v>0</x:v>
      </x:c>
    </x:row>
    <x:row r="4943" ht="20" customHeight="1">
      <x:c r="A4943" s="1" t="str">
        <x:v>22722</x:v>
      </x:c>
      <x:c r="B4943" s="9" t="d">
        <x:v>2011-06-11T00:00:00.000Z</x:v>
      </x:c>
      <x:c r="C4943" s="13" t="n">
        <x:v>0</x:v>
      </x:c>
    </x:row>
    <x:row r="4944" ht="20" customHeight="1">
      <x:c r="A4944" s="1" t="str">
        <x:v>22722</x:v>
      </x:c>
      <x:c r="B4944" s="9" t="d">
        <x:v>2011-06-12T00:00:00.000Z</x:v>
      </x:c>
      <x:c r="C4944" s="13" t="n">
        <x:v>0</x:v>
      </x:c>
    </x:row>
    <x:row r="4945" ht="20" customHeight="1">
      <x:c r="A4945" s="1" t="str">
        <x:v>22722</x:v>
      </x:c>
      <x:c r="B4945" s="9" t="d">
        <x:v>2011-06-13T00:00:00.000Z</x:v>
      </x:c>
      <x:c r="C4945" s="13" t="n">
        <x:v>0</x:v>
      </x:c>
    </x:row>
    <x:row r="4946" ht="20" customHeight="1">
      <x:c r="A4946" s="1" t="str">
        <x:v>22722</x:v>
      </x:c>
      <x:c r="B4946" s="9" t="d">
        <x:v>2011-06-14T00:00:00.000Z</x:v>
      </x:c>
      <x:c r="C4946" s="13" t="n">
        <x:v>0</x:v>
      </x:c>
    </x:row>
    <x:row r="4947" ht="20" customHeight="1">
      <x:c r="A4947" s="1" t="str">
        <x:v>22722</x:v>
      </x:c>
      <x:c r="B4947" s="9" t="d">
        <x:v>2011-06-15T00:00:00.000Z</x:v>
      </x:c>
      <x:c r="C4947" s="13" t="n">
        <x:v>0</x:v>
      </x:c>
    </x:row>
    <x:row r="4948" ht="20" customHeight="1">
      <x:c r="A4948" s="1" t="str">
        <x:v>22722</x:v>
      </x:c>
      <x:c r="B4948" s="9" t="d">
        <x:v>2011-06-16T00:00:00.000Z</x:v>
      </x:c>
      <x:c r="C4948" s="13" t="n">
        <x:v>264</x:v>
      </x:c>
    </x:row>
    <x:row r="4949" ht="20" customHeight="1">
      <x:c r="A4949" s="1" t="str">
        <x:v>22722</x:v>
      </x:c>
      <x:c r="B4949" s="9" t="d">
        <x:v>2011-06-17T00:00:00.000Z</x:v>
      </x:c>
      <x:c r="C4949" s="13" t="n">
        <x:v>0</x:v>
      </x:c>
    </x:row>
    <x:row r="4950" ht="20" customHeight="1">
      <x:c r="A4950" s="1" t="str">
        <x:v>22722</x:v>
      </x:c>
      <x:c r="B4950" s="9" t="d">
        <x:v>2011-06-18T00:00:00.000Z</x:v>
      </x:c>
      <x:c r="C4950" s="13" t="n">
        <x:v>0</x:v>
      </x:c>
    </x:row>
    <x:row r="4951" ht="20" customHeight="1">
      <x:c r="A4951" s="1" t="str">
        <x:v>22722</x:v>
      </x:c>
      <x:c r="B4951" s="9" t="d">
        <x:v>2011-06-19T00:00:00.000Z</x:v>
      </x:c>
      <x:c r="C4951" s="13" t="n">
        <x:v>0</x:v>
      </x:c>
    </x:row>
    <x:row r="4952" ht="20" customHeight="1">
      <x:c r="A4952" s="1" t="str">
        <x:v>22722</x:v>
      </x:c>
      <x:c r="B4952" s="9" t="d">
        <x:v>2011-06-20T00:00:00.000Z</x:v>
      </x:c>
      <x:c r="C4952" s="13" t="n">
        <x:v>0</x:v>
      </x:c>
    </x:row>
    <x:row r="4953" ht="20" customHeight="1">
      <x:c r="A4953" s="1" t="str">
        <x:v>22722</x:v>
      </x:c>
      <x:c r="B4953" s="9" t="d">
        <x:v>2011-06-21T00:00:00.000Z</x:v>
      </x:c>
      <x:c r="C4953" s="13" t="n">
        <x:v>0</x:v>
      </x:c>
    </x:row>
    <x:row r="4954" ht="20" customHeight="1">
      <x:c r="A4954" s="1" t="str">
        <x:v>22722</x:v>
      </x:c>
      <x:c r="B4954" s="9" t="d">
        <x:v>2011-06-22T00:00:00.000Z</x:v>
      </x:c>
      <x:c r="C4954" s="13" t="n">
        <x:v>0</x:v>
      </x:c>
    </x:row>
    <x:row r="4955" ht="20" customHeight="1">
      <x:c r="A4955" s="1" t="str">
        <x:v>22722</x:v>
      </x:c>
      <x:c r="B4955" s="9" t="d">
        <x:v>2011-06-23T00:00:00.000Z</x:v>
      </x:c>
      <x:c r="C4955" s="13" t="n">
        <x:v>0</x:v>
      </x:c>
    </x:row>
    <x:row r="4956" ht="20" customHeight="1">
      <x:c r="A4956" s="1" t="str">
        <x:v>22722</x:v>
      </x:c>
      <x:c r="B4956" s="9" t="d">
        <x:v>2011-06-24T00:00:00.000Z</x:v>
      </x:c>
      <x:c r="C4956" s="13" t="n">
        <x:v>0</x:v>
      </x:c>
    </x:row>
    <x:row r="4957" ht="20" customHeight="1">
      <x:c r="A4957" s="1" t="str">
        <x:v>22722</x:v>
      </x:c>
      <x:c r="B4957" s="9" t="d">
        <x:v>2011-06-25T00:00:00.000Z</x:v>
      </x:c>
      <x:c r="C4957" s="13" t="n">
        <x:v>0</x:v>
      </x:c>
    </x:row>
    <x:row r="4958" ht="20" customHeight="1">
      <x:c r="A4958" s="1" t="str">
        <x:v>22722</x:v>
      </x:c>
      <x:c r="B4958" s="9" t="d">
        <x:v>2011-06-26T00:00:00.000Z</x:v>
      </x:c>
      <x:c r="C4958" s="13" t="n">
        <x:v>0</x:v>
      </x:c>
    </x:row>
    <x:row r="4959" ht="20" customHeight="1">
      <x:c r="A4959" s="1" t="str">
        <x:v>22722</x:v>
      </x:c>
      <x:c r="B4959" s="9" t="d">
        <x:v>2011-06-27T00:00:00.000Z</x:v>
      </x:c>
      <x:c r="C4959" s="13" t="n">
        <x:v>0</x:v>
      </x:c>
    </x:row>
    <x:row r="4960" ht="20" customHeight="1">
      <x:c r="A4960" s="1" t="str">
        <x:v>22722</x:v>
      </x:c>
      <x:c r="B4960" s="9" t="d">
        <x:v>2011-06-28T00:00:00.000Z</x:v>
      </x:c>
      <x:c r="C4960" s="13" t="n">
        <x:v>0</x:v>
      </x:c>
    </x:row>
    <x:row r="4961" ht="20" customHeight="1">
      <x:c r="A4961" s="1" t="str">
        <x:v>22722</x:v>
      </x:c>
      <x:c r="B4961" s="9" t="d">
        <x:v>2011-06-29T00:00:00.000Z</x:v>
      </x:c>
      <x:c r="C4961" s="13" t="n">
        <x:v>0</x:v>
      </x:c>
    </x:row>
    <x:row r="4962" ht="20" customHeight="1">
      <x:c r="A4962" s="1" t="str">
        <x:v>22722</x:v>
      </x:c>
      <x:c r="B4962" s="9" t="d">
        <x:v>2011-06-30T00:00:00.000Z</x:v>
      </x:c>
      <x:c r="C4962" s="13" t="n">
        <x:v>0</x:v>
      </x:c>
    </x:row>
    <x:row r="4963" ht="20" customHeight="1">
      <x:c r="A4963" s="1" t="str">
        <x:v>22722</x:v>
      </x:c>
      <x:c r="B4963" s="9" t="d">
        <x:v>2011-07-01T00:00:00.000Z</x:v>
      </x:c>
      <x:c r="C4963" s="13" t="n">
        <x:v>0</x:v>
      </x:c>
    </x:row>
    <x:row r="4964" ht="20" customHeight="1">
      <x:c r="A4964" s="1" t="str">
        <x:v>22722</x:v>
      </x:c>
      <x:c r="B4964" s="9" t="d">
        <x:v>2011-07-02T00:00:00.000Z</x:v>
      </x:c>
      <x:c r="C4964" s="13" t="n">
        <x:v>0</x:v>
      </x:c>
    </x:row>
    <x:row r="4965" ht="20" customHeight="1">
      <x:c r="A4965" s="1" t="str">
        <x:v>22722</x:v>
      </x:c>
      <x:c r="B4965" s="9" t="d">
        <x:v>2011-07-03T00:00:00.000Z</x:v>
      </x:c>
      <x:c r="C4965" s="13" t="n">
        <x:v>0</x:v>
      </x:c>
    </x:row>
    <x:row r="4966" ht="20" customHeight="1">
      <x:c r="A4966" s="1" t="str">
        <x:v>22722</x:v>
      </x:c>
      <x:c r="B4966" s="9" t="d">
        <x:v>2011-07-04T00:00:00.000Z</x:v>
      </x:c>
      <x:c r="C4966" s="13" t="n">
        <x:v>0</x:v>
      </x:c>
    </x:row>
    <x:row r="4967" ht="20" customHeight="1">
      <x:c r="A4967" s="1" t="str">
        <x:v>22722</x:v>
      </x:c>
      <x:c r="B4967" s="9" t="d">
        <x:v>2011-07-05T00:00:00.000Z</x:v>
      </x:c>
      <x:c r="C4967" s="13" t="n">
        <x:v>0</x:v>
      </x:c>
    </x:row>
    <x:row r="4968" ht="20" customHeight="1">
      <x:c r="A4968" s="1" t="str">
        <x:v>22722</x:v>
      </x:c>
      <x:c r="B4968" s="9" t="d">
        <x:v>2011-07-06T00:00:00.000Z</x:v>
      </x:c>
      <x:c r="C4968" s="13" t="n">
        <x:v>0</x:v>
      </x:c>
    </x:row>
    <x:row r="4969" ht="20" customHeight="1">
      <x:c r="A4969" s="1" t="str">
        <x:v>22722</x:v>
      </x:c>
      <x:c r="B4969" s="9" t="d">
        <x:v>2011-07-07T00:00:00.000Z</x:v>
      </x:c>
      <x:c r="C4969" s="13" t="n">
        <x:v>0</x:v>
      </x:c>
    </x:row>
    <x:row r="4970" ht="20" customHeight="1">
      <x:c r="A4970" s="1" t="str">
        <x:v>22722</x:v>
      </x:c>
      <x:c r="B4970" s="9" t="d">
        <x:v>2011-07-08T00:00:00.000Z</x:v>
      </x:c>
      <x:c r="C4970" s="13" t="n">
        <x:v>0</x:v>
      </x:c>
    </x:row>
    <x:row r="4971" ht="20" customHeight="1">
      <x:c r="A4971" s="1" t="str">
        <x:v>22722</x:v>
      </x:c>
      <x:c r="B4971" s="9" t="d">
        <x:v>2011-07-09T00:00:00.000Z</x:v>
      </x:c>
      <x:c r="C4971" s="13" t="n">
        <x:v>0</x:v>
      </x:c>
    </x:row>
    <x:row r="4972" ht="20" customHeight="1">
      <x:c r="A4972" s="1" t="str">
        <x:v>22722</x:v>
      </x:c>
      <x:c r="B4972" s="9" t="d">
        <x:v>2011-07-10T00:00:00.000Z</x:v>
      </x:c>
      <x:c r="C4972" s="13" t="n">
        <x:v>0</x:v>
      </x:c>
    </x:row>
    <x:row r="4973" ht="20" customHeight="1">
      <x:c r="A4973" s="1" t="str">
        <x:v>22722</x:v>
      </x:c>
      <x:c r="B4973" s="9" t="d">
        <x:v>2011-07-11T00:00:00.000Z</x:v>
      </x:c>
      <x:c r="C4973" s="13" t="n">
        <x:v>0</x:v>
      </x:c>
    </x:row>
    <x:row r="4974" ht="20" customHeight="1">
      <x:c r="A4974" s="1" t="str">
        <x:v>22722</x:v>
      </x:c>
      <x:c r="B4974" s="9" t="d">
        <x:v>2011-07-12T00:00:00.000Z</x:v>
      </x:c>
      <x:c r="C4974" s="13" t="n">
        <x:v>0</x:v>
      </x:c>
    </x:row>
    <x:row r="4975" ht="20" customHeight="1">
      <x:c r="A4975" s="1" t="str">
        <x:v>22722</x:v>
      </x:c>
      <x:c r="B4975" s="9" t="d">
        <x:v>2011-07-13T00:00:00.000Z</x:v>
      </x:c>
      <x:c r="C4975" s="13" t="n">
        <x:v>0</x:v>
      </x:c>
    </x:row>
    <x:row r="4976" ht="20" customHeight="1">
      <x:c r="A4976" s="1" t="str">
        <x:v>22722</x:v>
      </x:c>
      <x:c r="B4976" s="9" t="d">
        <x:v>2011-07-14T00:00:00.000Z</x:v>
      </x:c>
      <x:c r="C4976" s="13" t="n">
        <x:v>0</x:v>
      </x:c>
    </x:row>
    <x:row r="4977" ht="20" customHeight="1">
      <x:c r="A4977" s="1" t="str">
        <x:v>22722</x:v>
      </x:c>
      <x:c r="B4977" s="9" t="d">
        <x:v>2011-07-15T00:00:00.000Z</x:v>
      </x:c>
      <x:c r="C4977" s="13" t="n">
        <x:v>0</x:v>
      </x:c>
    </x:row>
    <x:row r="4978" ht="20" customHeight="1">
      <x:c r="A4978" s="1" t="str">
        <x:v>22722</x:v>
      </x:c>
      <x:c r="B4978" s="9" t="d">
        <x:v>2011-07-16T00:00:00.000Z</x:v>
      </x:c>
      <x:c r="C4978" s="13" t="n">
        <x:v>0</x:v>
      </x:c>
    </x:row>
    <x:row r="4979" ht="20" customHeight="1">
      <x:c r="A4979" s="1" t="str">
        <x:v>22722</x:v>
      </x:c>
      <x:c r="B4979" s="9" t="d">
        <x:v>2011-07-17T00:00:00.000Z</x:v>
      </x:c>
      <x:c r="C4979" s="13" t="n">
        <x:v>0</x:v>
      </x:c>
    </x:row>
    <x:row r="4980" ht="20" customHeight="1">
      <x:c r="A4980" s="1" t="str">
        <x:v>22722</x:v>
      </x:c>
      <x:c r="B4980" s="9" t="d">
        <x:v>2011-07-18T00:00:00.000Z</x:v>
      </x:c>
      <x:c r="C4980" s="13" t="n">
        <x:v>0</x:v>
      </x:c>
    </x:row>
    <x:row r="4981" ht="20" customHeight="1">
      <x:c r="A4981" s="1" t="str">
        <x:v>22722</x:v>
      </x:c>
      <x:c r="B4981" s="9" t="d">
        <x:v>2011-07-19T00:00:00.000Z</x:v>
      </x:c>
      <x:c r="C4981" s="13" t="n">
        <x:v>0</x:v>
      </x:c>
    </x:row>
    <x:row r="4982" ht="20" customHeight="1">
      <x:c r="A4982" s="1" t="str">
        <x:v>22722</x:v>
      </x:c>
      <x:c r="B4982" s="9" t="d">
        <x:v>2011-07-20T00:00:00.000Z</x:v>
      </x:c>
      <x:c r="C4982" s="13" t="n">
        <x:v>0</x:v>
      </x:c>
    </x:row>
    <x:row r="4983" ht="20" customHeight="1">
      <x:c r="A4983" s="1" t="str">
        <x:v>22722</x:v>
      </x:c>
      <x:c r="B4983" s="9" t="d">
        <x:v>2011-07-21T00:00:00.000Z</x:v>
      </x:c>
      <x:c r="C4983" s="13" t="n">
        <x:v>0</x:v>
      </x:c>
    </x:row>
    <x:row r="4984" ht="20" customHeight="1">
      <x:c r="A4984" s="1" t="str">
        <x:v>22722</x:v>
      </x:c>
      <x:c r="B4984" s="9" t="d">
        <x:v>2011-07-22T00:00:00.000Z</x:v>
      </x:c>
      <x:c r="C4984" s="13" t="n">
        <x:v>0</x:v>
      </x:c>
    </x:row>
    <x:row r="4985" ht="20" customHeight="1">
      <x:c r="A4985" s="1" t="str">
        <x:v>22722</x:v>
      </x:c>
      <x:c r="B4985" s="9" t="d">
        <x:v>2011-07-23T00:00:00.000Z</x:v>
      </x:c>
      <x:c r="C4985" s="13" t="n">
        <x:v>0</x:v>
      </x:c>
    </x:row>
    <x:row r="4986" ht="20" customHeight="1">
      <x:c r="A4986" s="1" t="str">
        <x:v>22722</x:v>
      </x:c>
      <x:c r="B4986" s="9" t="d">
        <x:v>2011-07-24T00:00:00.000Z</x:v>
      </x:c>
      <x:c r="C4986" s="13" t="n">
        <x:v>0</x:v>
      </x:c>
    </x:row>
    <x:row r="4987" ht="20" customHeight="1">
      <x:c r="A4987" s="1" t="str">
        <x:v>22722</x:v>
      </x:c>
      <x:c r="B4987" s="9" t="d">
        <x:v>2011-07-25T00:00:00.000Z</x:v>
      </x:c>
      <x:c r="C4987" s="13" t="n">
        <x:v>0</x:v>
      </x:c>
    </x:row>
    <x:row r="4988" ht="20" customHeight="1">
      <x:c r="A4988" s="1" t="str">
        <x:v>22722</x:v>
      </x:c>
      <x:c r="B4988" s="9" t="d">
        <x:v>2011-07-26T00:00:00.000Z</x:v>
      </x:c>
      <x:c r="C4988" s="13" t="n">
        <x:v>0</x:v>
      </x:c>
    </x:row>
    <x:row r="4989" ht="20" customHeight="1">
      <x:c r="A4989" s="1" t="str">
        <x:v>22722</x:v>
      </x:c>
      <x:c r="B4989" s="9" t="d">
        <x:v>2011-07-27T00:00:00.000Z</x:v>
      </x:c>
      <x:c r="C4989" s="13" t="n">
        <x:v>0</x:v>
      </x:c>
    </x:row>
    <x:row r="4990" ht="20" customHeight="1">
      <x:c r="A4990" s="1" t="str">
        <x:v>22722</x:v>
      </x:c>
      <x:c r="B4990" s="9" t="d">
        <x:v>2011-07-28T00:00:00.000Z</x:v>
      </x:c>
      <x:c r="C4990" s="13" t="n">
        <x:v>0</x:v>
      </x:c>
    </x:row>
    <x:row r="4991" ht="20" customHeight="1">
      <x:c r="A4991" s="1" t="str">
        <x:v>22722</x:v>
      </x:c>
      <x:c r="B4991" s="9" t="d">
        <x:v>2011-07-29T00:00:00.000Z</x:v>
      </x:c>
      <x:c r="C4991" s="13" t="n">
        <x:v>0</x:v>
      </x:c>
    </x:row>
    <x:row r="4992" ht="20" customHeight="1">
      <x:c r="A4992" s="1" t="str">
        <x:v>22722</x:v>
      </x:c>
      <x:c r="B4992" s="9" t="d">
        <x:v>2011-07-30T00:00:00.000Z</x:v>
      </x:c>
      <x:c r="C4992" s="13" t="n">
        <x:v>0</x:v>
      </x:c>
    </x:row>
    <x:row r="4993" ht="20" customHeight="1">
      <x:c r="A4993" s="1" t="str">
        <x:v>22722</x:v>
      </x:c>
      <x:c r="B4993" s="9" t="d">
        <x:v>2011-07-31T00:00:00.000Z</x:v>
      </x:c>
      <x:c r="C4993" s="13" t="n">
        <x:v>0</x:v>
      </x:c>
    </x:row>
    <x:row r="4994" ht="20" customHeight="1">
      <x:c r="A4994" s="1" t="str">
        <x:v>22722</x:v>
      </x:c>
      <x:c r="B4994" s="9" t="d">
        <x:v>2011-08-01T00:00:00.000Z</x:v>
      </x:c>
      <x:c r="C4994" s="13" t="n">
        <x:v>1</x:v>
      </x:c>
    </x:row>
    <x:row r="4995" ht="20" customHeight="1">
      <x:c r="A4995" s="1" t="str">
        <x:v>22722</x:v>
      </x:c>
      <x:c r="B4995" s="9" t="d">
        <x:v>2011-08-02T00:00:00.000Z</x:v>
      </x:c>
      <x:c r="C4995" s="13" t="n">
        <x:v>0</x:v>
      </x:c>
    </x:row>
    <x:row r="4996" ht="20" customHeight="1">
      <x:c r="A4996" s="1" t="str">
        <x:v>22722</x:v>
      </x:c>
      <x:c r="B4996" s="9" t="d">
        <x:v>2011-08-03T00:00:00.000Z</x:v>
      </x:c>
      <x:c r="C4996" s="13" t="n">
        <x:v>0</x:v>
      </x:c>
    </x:row>
    <x:row r="4997" ht="20" customHeight="1">
      <x:c r="A4997" s="1" t="str">
        <x:v>22722</x:v>
      </x:c>
      <x:c r="B4997" s="9" t="d">
        <x:v>2011-08-04T00:00:00.000Z</x:v>
      </x:c>
      <x:c r="C4997" s="13" t="n">
        <x:v>0</x:v>
      </x:c>
    </x:row>
    <x:row r="4998" ht="20" customHeight="1">
      <x:c r="A4998" s="1" t="str">
        <x:v>22722</x:v>
      </x:c>
      <x:c r="B4998" s="9" t="d">
        <x:v>2011-08-05T00:00:00.000Z</x:v>
      </x:c>
      <x:c r="C4998" s="13" t="n">
        <x:v>0</x:v>
      </x:c>
    </x:row>
    <x:row r="4999" ht="20" customHeight="1">
      <x:c r="A4999" s="1" t="str">
        <x:v>22722</x:v>
      </x:c>
      <x:c r="B4999" s="9" t="d">
        <x:v>2011-08-06T00:00:00.000Z</x:v>
      </x:c>
      <x:c r="C4999" s="13" t="n">
        <x:v>0</x:v>
      </x:c>
    </x:row>
    <x:row r="5000" ht="20" customHeight="1">
      <x:c r="A5000" s="1" t="str">
        <x:v>22722</x:v>
      </x:c>
      <x:c r="B5000" s="9" t="d">
        <x:v>2011-08-07T00:00:00.000Z</x:v>
      </x:c>
      <x:c r="C5000" s="13" t="n">
        <x:v>0</x:v>
      </x:c>
    </x:row>
    <x:row r="5001" ht="20" customHeight="1">
      <x:c r="A5001" s="1" t="str">
        <x:v>22722</x:v>
      </x:c>
      <x:c r="B5001" s="9" t="d">
        <x:v>2011-08-08T00:00:00.000Z</x:v>
      </x:c>
      <x:c r="C5001" s="13" t="n">
        <x:v>0</x:v>
      </x:c>
    </x:row>
    <x:row r="5002" ht="20" customHeight="1">
      <x:c r="A5002" s="1" t="str">
        <x:v>22722</x:v>
      </x:c>
      <x:c r="B5002" s="9" t="d">
        <x:v>2011-08-09T00:00:00.000Z</x:v>
      </x:c>
      <x:c r="C5002" s="13" t="n">
        <x:v>0</x:v>
      </x:c>
    </x:row>
    <x:row r="5003" ht="20" customHeight="1">
      <x:c r="A5003" s="1" t="str">
        <x:v>22722</x:v>
      </x:c>
      <x:c r="B5003" s="9" t="d">
        <x:v>2011-08-10T00:00:00.000Z</x:v>
      </x:c>
      <x:c r="C5003" s="13" t="n">
        <x:v>0</x:v>
      </x:c>
    </x:row>
    <x:row r="5004" ht="20" customHeight="1">
      <x:c r="A5004" s="1" t="str">
        <x:v>22722</x:v>
      </x:c>
      <x:c r="B5004" s="9" t="d">
        <x:v>2011-08-11T00:00:00.000Z</x:v>
      </x:c>
      <x:c r="C5004" s="13" t="n">
        <x:v>0</x:v>
      </x:c>
    </x:row>
    <x:row r="5005" ht="20" customHeight="1">
      <x:c r="A5005" s="1" t="str">
        <x:v>22722</x:v>
      </x:c>
      <x:c r="B5005" s="9" t="d">
        <x:v>2011-08-12T00:00:00.000Z</x:v>
      </x:c>
      <x:c r="C5005" s="13" t="n">
        <x:v>0</x:v>
      </x:c>
    </x:row>
    <x:row r="5006" ht="20" customHeight="1">
      <x:c r="A5006" s="1" t="str">
        <x:v>22722</x:v>
      </x:c>
      <x:c r="B5006" s="9" t="d">
        <x:v>2011-08-13T00:00:00.000Z</x:v>
      </x:c>
      <x:c r="C5006" s="13" t="n">
        <x:v>0</x:v>
      </x:c>
    </x:row>
    <x:row r="5007" ht="20" customHeight="1">
      <x:c r="A5007" s="1" t="str">
        <x:v>22722</x:v>
      </x:c>
      <x:c r="B5007" s="9" t="d">
        <x:v>2011-08-14T00:00:00.000Z</x:v>
      </x:c>
      <x:c r="C5007" s="13" t="n">
        <x:v>0</x:v>
      </x:c>
    </x:row>
    <x:row r="5008" ht="20" customHeight="1">
      <x:c r="A5008" s="1" t="str">
        <x:v>22722</x:v>
      </x:c>
      <x:c r="B5008" s="9" t="d">
        <x:v>2011-08-15T00:00:00.000Z</x:v>
      </x:c>
      <x:c r="C5008" s="13" t="n">
        <x:v>0</x:v>
      </x:c>
    </x:row>
    <x:row r="5009" ht="20" customHeight="1">
      <x:c r="A5009" s="1" t="str">
        <x:v>22722</x:v>
      </x:c>
      <x:c r="B5009" s="9" t="d">
        <x:v>2011-08-16T00:00:00.000Z</x:v>
      </x:c>
      <x:c r="C5009" s="13" t="n">
        <x:v>0</x:v>
      </x:c>
    </x:row>
    <x:row r="5010" ht="20" customHeight="1">
      <x:c r="A5010" s="1" t="str">
        <x:v>22722</x:v>
      </x:c>
      <x:c r="B5010" s="9" t="d">
        <x:v>2011-08-17T00:00:00.000Z</x:v>
      </x:c>
      <x:c r="C5010" s="13" t="n">
        <x:v>210</x:v>
      </x:c>
    </x:row>
    <x:row r="5011" ht="20" customHeight="1">
      <x:c r="A5011" s="1" t="str">
        <x:v>22722</x:v>
      </x:c>
      <x:c r="B5011" s="9" t="d">
        <x:v>2011-08-18T00:00:00.000Z</x:v>
      </x:c>
      <x:c r="C5011" s="13" t="n">
        <x:v>0</x:v>
      </x:c>
    </x:row>
    <x:row r="5012" ht="20" customHeight="1">
      <x:c r="A5012" s="1" t="str">
        <x:v>22722</x:v>
      </x:c>
      <x:c r="B5012" s="9" t="d">
        <x:v>2011-08-19T00:00:00.000Z</x:v>
      </x:c>
      <x:c r="C5012" s="13" t="n">
        <x:v>0</x:v>
      </x:c>
    </x:row>
    <x:row r="5013" ht="20" customHeight="1">
      <x:c r="A5013" s="1" t="str">
        <x:v>22722</x:v>
      </x:c>
      <x:c r="B5013" s="9" t="d">
        <x:v>2011-08-20T00:00:00.000Z</x:v>
      </x:c>
      <x:c r="C5013" s="13" t="n">
        <x:v>0</x:v>
      </x:c>
    </x:row>
    <x:row r="5014" ht="20" customHeight="1">
      <x:c r="A5014" s="1" t="str">
        <x:v>22722</x:v>
      </x:c>
      <x:c r="B5014" s="9" t="d">
        <x:v>2011-08-21T00:00:00.000Z</x:v>
      </x:c>
      <x:c r="C5014" s="13" t="n">
        <x:v>0</x:v>
      </x:c>
    </x:row>
    <x:row r="5015" ht="20" customHeight="1">
      <x:c r="A5015" s="1" t="str">
        <x:v>22722</x:v>
      </x:c>
      <x:c r="B5015" s="9" t="d">
        <x:v>2011-08-22T00:00:00.000Z</x:v>
      </x:c>
      <x:c r="C5015" s="13" t="n">
        <x:v>0</x:v>
      </x:c>
    </x:row>
    <x:row r="5016" ht="20" customHeight="1">
      <x:c r="A5016" s="1" t="str">
        <x:v>22722</x:v>
      </x:c>
      <x:c r="B5016" s="9" t="d">
        <x:v>2011-08-23T00:00:00.000Z</x:v>
      </x:c>
      <x:c r="C5016" s="13" t="n">
        <x:v>0</x:v>
      </x:c>
    </x:row>
    <x:row r="5017" ht="20" customHeight="1">
      <x:c r="A5017" s="1" t="str">
        <x:v>22722</x:v>
      </x:c>
      <x:c r="B5017" s="9" t="d">
        <x:v>2011-08-24T00:00:00.000Z</x:v>
      </x:c>
      <x:c r="C5017" s="13" t="n">
        <x:v>6</x:v>
      </x:c>
    </x:row>
    <x:row r="5018" ht="20" customHeight="1">
      <x:c r="A5018" s="1" t="str">
        <x:v>22722</x:v>
      </x:c>
      <x:c r="B5018" s="9" t="d">
        <x:v>2011-08-25T00:00:00.000Z</x:v>
      </x:c>
      <x:c r="C5018" s="13" t="n">
        <x:v>0</x:v>
      </x:c>
    </x:row>
    <x:row r="5019" ht="20" customHeight="1">
      <x:c r="A5019" s="1" t="str">
        <x:v>22722</x:v>
      </x:c>
      <x:c r="B5019" s="9" t="d">
        <x:v>2011-08-26T00:00:00.000Z</x:v>
      </x:c>
      <x:c r="C5019" s="13" t="n">
        <x:v>0</x:v>
      </x:c>
    </x:row>
    <x:row r="5020" ht="20" customHeight="1">
      <x:c r="A5020" s="1" t="str">
        <x:v>22722</x:v>
      </x:c>
      <x:c r="B5020" s="9" t="d">
        <x:v>2011-08-27T00:00:00.000Z</x:v>
      </x:c>
      <x:c r="C5020" s="13" t="n">
        <x:v>0</x:v>
      </x:c>
    </x:row>
    <x:row r="5021" ht="20" customHeight="1">
      <x:c r="A5021" s="1" t="str">
        <x:v>22722</x:v>
      </x:c>
      <x:c r="B5021" s="9" t="d">
        <x:v>2011-08-28T00:00:00.000Z</x:v>
      </x:c>
      <x:c r="C5021" s="13" t="n">
        <x:v>1</x:v>
      </x:c>
    </x:row>
    <x:row r="5022" ht="20" customHeight="1">
      <x:c r="A5022" s="1" t="str">
        <x:v>22722</x:v>
      </x:c>
      <x:c r="B5022" s="9" t="d">
        <x:v>2011-08-29T00:00:00.000Z</x:v>
      </x:c>
      <x:c r="C5022" s="13" t="n">
        <x:v>0</x:v>
      </x:c>
    </x:row>
    <x:row r="5023" ht="20" customHeight="1">
      <x:c r="A5023" s="1" t="str">
        <x:v>22722</x:v>
      </x:c>
      <x:c r="B5023" s="9" t="d">
        <x:v>2011-08-30T00:00:00.000Z</x:v>
      </x:c>
      <x:c r="C5023" s="13" t="n">
        <x:v>0</x:v>
      </x:c>
    </x:row>
    <x:row r="5024" ht="20" customHeight="1">
      <x:c r="A5024" s="1" t="str">
        <x:v>22722</x:v>
      </x:c>
      <x:c r="B5024" s="9" t="d">
        <x:v>2011-08-31T00:00:00.000Z</x:v>
      </x:c>
      <x:c r="C5024" s="13" t="n">
        <x:v>4</x:v>
      </x:c>
    </x:row>
    <x:row r="5025" ht="20" customHeight="1">
      <x:c r="A5025" s="1" t="str">
        <x:v>22722</x:v>
      </x:c>
      <x:c r="B5025" s="9" t="d">
        <x:v>2011-09-01T00:00:00.000Z</x:v>
      </x:c>
      <x:c r="C5025" s="13" t="n">
        <x:v>0</x:v>
      </x:c>
    </x:row>
    <x:row r="5026" ht="20" customHeight="1">
      <x:c r="A5026" s="1" t="str">
        <x:v>22722</x:v>
      </x:c>
      <x:c r="B5026" s="9" t="d">
        <x:v>2011-09-02T00:00:00.000Z</x:v>
      </x:c>
      <x:c r="C5026" s="13" t="n">
        <x:v>0</x:v>
      </x:c>
    </x:row>
    <x:row r="5027" ht="20" customHeight="1">
      <x:c r="A5027" s="1" t="str">
        <x:v>22722</x:v>
      </x:c>
      <x:c r="B5027" s="9" t="d">
        <x:v>2011-09-03T00:00:00.000Z</x:v>
      </x:c>
      <x:c r="C5027" s="13" t="n">
        <x:v>0</x:v>
      </x:c>
    </x:row>
    <x:row r="5028" ht="20" customHeight="1">
      <x:c r="A5028" s="1" t="str">
        <x:v>22722</x:v>
      </x:c>
      <x:c r="B5028" s="9" t="d">
        <x:v>2011-09-04T00:00:00.000Z</x:v>
      </x:c>
      <x:c r="C5028" s="13" t="n">
        <x:v>0</x:v>
      </x:c>
    </x:row>
    <x:row r="5029" ht="20" customHeight="1">
      <x:c r="A5029" s="1" t="str">
        <x:v>22722</x:v>
      </x:c>
      <x:c r="B5029" s="9" t="d">
        <x:v>2011-09-05T00:00:00.000Z</x:v>
      </x:c>
      <x:c r="C5029" s="13" t="n">
        <x:v>0</x:v>
      </x:c>
    </x:row>
    <x:row r="5030" ht="20" customHeight="1">
      <x:c r="A5030" s="1" t="str">
        <x:v>22722</x:v>
      </x:c>
      <x:c r="B5030" s="9" t="d">
        <x:v>2011-09-06T00:00:00.000Z</x:v>
      </x:c>
      <x:c r="C5030" s="13" t="n">
        <x:v>0</x:v>
      </x:c>
    </x:row>
    <x:row r="5031" ht="20" customHeight="1">
      <x:c r="A5031" s="1" t="str">
        <x:v>22722</x:v>
      </x:c>
      <x:c r="B5031" s="9" t="d">
        <x:v>2011-09-07T00:00:00.000Z</x:v>
      </x:c>
      <x:c r="C5031" s="13" t="n">
        <x:v>0</x:v>
      </x:c>
    </x:row>
    <x:row r="5032" ht="20" customHeight="1">
      <x:c r="A5032" s="1" t="str">
        <x:v>22722</x:v>
      </x:c>
      <x:c r="B5032" s="9" t="d">
        <x:v>2011-09-08T00:00:00.000Z</x:v>
      </x:c>
      <x:c r="C5032" s="13" t="n">
        <x:v>0</x:v>
      </x:c>
    </x:row>
    <x:row r="5033" ht="20" customHeight="1">
      <x:c r="A5033" s="1" t="str">
        <x:v>22722</x:v>
      </x:c>
      <x:c r="B5033" s="9" t="d">
        <x:v>2011-09-09T00:00:00.000Z</x:v>
      </x:c>
      <x:c r="C5033" s="13" t="n">
        <x:v>0</x:v>
      </x:c>
    </x:row>
    <x:row r="5034" ht="20" customHeight="1">
      <x:c r="A5034" s="1" t="str">
        <x:v>22722</x:v>
      </x:c>
      <x:c r="B5034" s="9" t="d">
        <x:v>2011-09-10T00:00:00.000Z</x:v>
      </x:c>
      <x:c r="C5034" s="13" t="n">
        <x:v>0</x:v>
      </x:c>
    </x:row>
    <x:row r="5035" ht="20" customHeight="1">
      <x:c r="A5035" s="1" t="str">
        <x:v>22722</x:v>
      </x:c>
      <x:c r="B5035" s="9" t="d">
        <x:v>2011-09-11T00:00:00.000Z</x:v>
      </x:c>
      <x:c r="C5035" s="13" t="n">
        <x:v>0</x:v>
      </x:c>
    </x:row>
    <x:row r="5036" ht="20" customHeight="1">
      <x:c r="A5036" s="1" t="str">
        <x:v>22722</x:v>
      </x:c>
      <x:c r="B5036" s="9" t="d">
        <x:v>2011-09-12T00:00:00.000Z</x:v>
      </x:c>
      <x:c r="C5036" s="13" t="n">
        <x:v>0</x:v>
      </x:c>
    </x:row>
    <x:row r="5037" ht="20" customHeight="1">
      <x:c r="A5037" s="1" t="str">
        <x:v>22722</x:v>
      </x:c>
      <x:c r="B5037" s="9" t="d">
        <x:v>2011-09-13T00:00:00.000Z</x:v>
      </x:c>
      <x:c r="C5037" s="13" t="n">
        <x:v>0</x:v>
      </x:c>
    </x:row>
    <x:row r="5038" ht="20" customHeight="1">
      <x:c r="A5038" s="1" t="str">
        <x:v>22722</x:v>
      </x:c>
      <x:c r="B5038" s="9" t="d">
        <x:v>2011-09-14T00:00:00.000Z</x:v>
      </x:c>
      <x:c r="C5038" s="13" t="n">
        <x:v>0</x:v>
      </x:c>
    </x:row>
    <x:row r="5039" ht="20" customHeight="1">
      <x:c r="A5039" s="1" t="str">
        <x:v>22722</x:v>
      </x:c>
      <x:c r="B5039" s="9" t="d">
        <x:v>2011-09-15T00:00:00.000Z</x:v>
      </x:c>
      <x:c r="C5039" s="13" t="n">
        <x:v>1</x:v>
      </x:c>
    </x:row>
    <x:row r="5040" ht="20" customHeight="1">
      <x:c r="A5040" s="1" t="str">
        <x:v>22722</x:v>
      </x:c>
      <x:c r="B5040" s="9" t="d">
        <x:v>2011-09-16T00:00:00.000Z</x:v>
      </x:c>
      <x:c r="C5040" s="13" t="n">
        <x:v>1</x:v>
      </x:c>
    </x:row>
    <x:row r="5041" ht="20" customHeight="1">
      <x:c r="A5041" s="1" t="str">
        <x:v>22722</x:v>
      </x:c>
      <x:c r="B5041" s="9" t="d">
        <x:v>2011-09-17T00:00:00.000Z</x:v>
      </x:c>
      <x:c r="C5041" s="13" t="n">
        <x:v>0</x:v>
      </x:c>
    </x:row>
    <x:row r="5042" ht="20" customHeight="1">
      <x:c r="A5042" s="1" t="str">
        <x:v>22722</x:v>
      </x:c>
      <x:c r="B5042" s="9" t="d">
        <x:v>2011-09-18T00:00:00.000Z</x:v>
      </x:c>
      <x:c r="C5042" s="13" t="n">
        <x:v>1</x:v>
      </x:c>
    </x:row>
    <x:row r="5043" ht="20" customHeight="1">
      <x:c r="A5043" s="1" t="str">
        <x:v>22722</x:v>
      </x:c>
      <x:c r="B5043" s="9" t="d">
        <x:v>2011-09-19T00:00:00.000Z</x:v>
      </x:c>
      <x:c r="C5043" s="13" t="n">
        <x:v>0</x:v>
      </x:c>
    </x:row>
    <x:row r="5044" ht="20" customHeight="1">
      <x:c r="A5044" s="1" t="str">
        <x:v>22722</x:v>
      </x:c>
      <x:c r="B5044" s="9" t="d">
        <x:v>2011-09-20T00:00:00.000Z</x:v>
      </x:c>
      <x:c r="C5044" s="13" t="n">
        <x:v>940</x:v>
      </x:c>
    </x:row>
    <x:row r="5045" ht="20" customHeight="1">
      <x:c r="A5045" s="1" t="str">
        <x:v>22722</x:v>
      </x:c>
      <x:c r="B5045" s="9" t="d">
        <x:v>2011-09-21T00:00:00.000Z</x:v>
      </x:c>
      <x:c r="C5045" s="13" t="n">
        <x:v>4</x:v>
      </x:c>
    </x:row>
    <x:row r="5046" ht="20" customHeight="1">
      <x:c r="A5046" s="1" t="str">
        <x:v>22722</x:v>
      </x:c>
      <x:c r="B5046" s="9" t="d">
        <x:v>2011-09-22T00:00:00.000Z</x:v>
      </x:c>
      <x:c r="C5046" s="13" t="n">
        <x:v>32</x:v>
      </x:c>
    </x:row>
    <x:row r="5047" ht="20" customHeight="1">
      <x:c r="A5047" s="1" t="str">
        <x:v>22722</x:v>
      </x:c>
      <x:c r="B5047" s="9" t="d">
        <x:v>2011-09-23T00:00:00.000Z</x:v>
      </x:c>
      <x:c r="C5047" s="13" t="n">
        <x:v>1</x:v>
      </x:c>
    </x:row>
    <x:row r="5048" ht="20" customHeight="1">
      <x:c r="A5048" s="1" t="str">
        <x:v>22722</x:v>
      </x:c>
      <x:c r="B5048" s="9" t="d">
        <x:v>2011-09-24T00:00:00.000Z</x:v>
      </x:c>
      <x:c r="C5048" s="13" t="n">
        <x:v>0</x:v>
      </x:c>
    </x:row>
    <x:row r="5049" ht="20" customHeight="1">
      <x:c r="A5049" s="1" t="str">
        <x:v>22722</x:v>
      </x:c>
      <x:c r="B5049" s="9" t="d">
        <x:v>2011-09-25T00:00:00.000Z</x:v>
      </x:c>
      <x:c r="C5049" s="13" t="n">
        <x:v>59</x:v>
      </x:c>
    </x:row>
    <x:row r="5050" ht="20" customHeight="1">
      <x:c r="A5050" s="1" t="str">
        <x:v>22722</x:v>
      </x:c>
      <x:c r="B5050" s="9" t="d">
        <x:v>2011-09-26T00:00:00.000Z</x:v>
      </x:c>
      <x:c r="C5050" s="13" t="n">
        <x:v>8</x:v>
      </x:c>
    </x:row>
    <x:row r="5051" ht="20" customHeight="1">
      <x:c r="A5051" s="1" t="str">
        <x:v>22722</x:v>
      </x:c>
      <x:c r="B5051" s="9" t="d">
        <x:v>2011-09-27T00:00:00.000Z</x:v>
      </x:c>
      <x:c r="C5051" s="13" t="n">
        <x:v>15</x:v>
      </x:c>
    </x:row>
    <x:row r="5052" ht="20" customHeight="1">
      <x:c r="A5052" s="1" t="str">
        <x:v>22722</x:v>
      </x:c>
      <x:c r="B5052" s="9" t="d">
        <x:v>2011-09-28T00:00:00.000Z</x:v>
      </x:c>
      <x:c r="C5052" s="13" t="n">
        <x:v>39</x:v>
      </x:c>
    </x:row>
    <x:row r="5053" ht="20" customHeight="1">
      <x:c r="A5053" s="1" t="str">
        <x:v>22722</x:v>
      </x:c>
      <x:c r="B5053" s="9" t="d">
        <x:v>2011-09-29T00:00:00.000Z</x:v>
      </x:c>
      <x:c r="C5053" s="13" t="n">
        <x:v>0</x:v>
      </x:c>
    </x:row>
    <x:row r="5054" ht="20" customHeight="1">
      <x:c r="A5054" s="1" t="str">
        <x:v>22722</x:v>
      </x:c>
      <x:c r="B5054" s="9" t="d">
        <x:v>2011-09-30T00:00:00.000Z</x:v>
      </x:c>
      <x:c r="C5054" s="13" t="n">
        <x:v>7</x:v>
      </x:c>
    </x:row>
    <x:row r="5055" ht="20" customHeight="1">
      <x:c r="A5055" s="1" t="str">
        <x:v>22722</x:v>
      </x:c>
      <x:c r="B5055" s="9" t="d">
        <x:v>2011-10-01T00:00:00.000Z</x:v>
      </x:c>
      <x:c r="C5055" s="13" t="n">
        <x:v>0</x:v>
      </x:c>
    </x:row>
    <x:row r="5056" ht="20" customHeight="1">
      <x:c r="A5056" s="1" t="str">
        <x:v>22722</x:v>
      </x:c>
      <x:c r="B5056" s="9" t="d">
        <x:v>2011-10-02T00:00:00.000Z</x:v>
      </x:c>
      <x:c r="C5056" s="13" t="n">
        <x:v>2</x:v>
      </x:c>
    </x:row>
    <x:row r="5057" ht="20" customHeight="1">
      <x:c r="A5057" s="1" t="str">
        <x:v>22722</x:v>
      </x:c>
      <x:c r="B5057" s="9" t="d">
        <x:v>2011-10-03T00:00:00.000Z</x:v>
      </x:c>
      <x:c r="C5057" s="13" t="n">
        <x:v>12</x:v>
      </x:c>
    </x:row>
    <x:row r="5058" ht="20" customHeight="1">
      <x:c r="A5058" s="1" t="str">
        <x:v>22722</x:v>
      </x:c>
      <x:c r="B5058" s="9" t="d">
        <x:v>2011-10-04T00:00:00.000Z</x:v>
      </x:c>
      <x:c r="C5058" s="13" t="n">
        <x:v>38</x:v>
      </x:c>
    </x:row>
    <x:row r="5059" ht="20" customHeight="1">
      <x:c r="A5059" s="1" t="str">
        <x:v>22722</x:v>
      </x:c>
      <x:c r="B5059" s="9" t="d">
        <x:v>2011-10-05T00:00:00.000Z</x:v>
      </x:c>
      <x:c r="C5059" s="13" t="n">
        <x:v>403</x:v>
      </x:c>
    </x:row>
    <x:row r="5060" ht="20" customHeight="1">
      <x:c r="A5060" s="1" t="str">
        <x:v>22722</x:v>
      </x:c>
      <x:c r="B5060" s="9" t="d">
        <x:v>2011-10-06T00:00:00.000Z</x:v>
      </x:c>
      <x:c r="C5060" s="13" t="n">
        <x:v>14</x:v>
      </x:c>
    </x:row>
    <x:row r="5061" ht="20" customHeight="1">
      <x:c r="A5061" s="1" t="str">
        <x:v>22722</x:v>
      </x:c>
      <x:c r="B5061" s="9" t="d">
        <x:v>2011-10-07T00:00:00.000Z</x:v>
      </x:c>
      <x:c r="C5061" s="13" t="n">
        <x:v>29</x:v>
      </x:c>
    </x:row>
    <x:row r="5062" ht="20" customHeight="1">
      <x:c r="A5062" s="1" t="str">
        <x:v>22722</x:v>
      </x:c>
      <x:c r="B5062" s="9" t="d">
        <x:v>2011-10-08T00:00:00.000Z</x:v>
      </x:c>
      <x:c r="C5062" s="13" t="n">
        <x:v>0</x:v>
      </x:c>
    </x:row>
    <x:row r="5063" ht="20" customHeight="1">
      <x:c r="A5063" s="1" t="str">
        <x:v>22722</x:v>
      </x:c>
      <x:c r="B5063" s="9" t="d">
        <x:v>2011-10-09T00:00:00.000Z</x:v>
      </x:c>
      <x:c r="C5063" s="13" t="n">
        <x:v>7</x:v>
      </x:c>
    </x:row>
    <x:row r="5064" ht="20" customHeight="1">
      <x:c r="A5064" s="1" t="str">
        <x:v>22722</x:v>
      </x:c>
      <x:c r="B5064" s="9" t="d">
        <x:v>2011-10-10T00:00:00.000Z</x:v>
      </x:c>
      <x:c r="C5064" s="13" t="n">
        <x:v>37</x:v>
      </x:c>
    </x:row>
    <x:row r="5065" ht="20" customHeight="1">
      <x:c r="A5065" s="1" t="str">
        <x:v>22722</x:v>
      </x:c>
      <x:c r="B5065" s="9" t="d">
        <x:v>2011-10-11T00:00:00.000Z</x:v>
      </x:c>
      <x:c r="C5065" s="13" t="n">
        <x:v>63</x:v>
      </x:c>
    </x:row>
    <x:row r="5066" ht="20" customHeight="1">
      <x:c r="A5066" s="1" t="str">
        <x:v>22722</x:v>
      </x:c>
      <x:c r="B5066" s="9" t="d">
        <x:v>2011-10-12T00:00:00.000Z</x:v>
      </x:c>
      <x:c r="C5066" s="13" t="n">
        <x:v>2</x:v>
      </x:c>
    </x:row>
    <x:row r="5067" ht="20" customHeight="1">
      <x:c r="A5067" s="1" t="str">
        <x:v>22722</x:v>
      </x:c>
      <x:c r="B5067" s="9" t="d">
        <x:v>2011-10-13T00:00:00.000Z</x:v>
      </x:c>
      <x:c r="C5067" s="13" t="n">
        <x:v>5</x:v>
      </x:c>
    </x:row>
    <x:row r="5068" ht="20" customHeight="1">
      <x:c r="A5068" s="1" t="str">
        <x:v>22722</x:v>
      </x:c>
      <x:c r="B5068" s="9" t="d">
        <x:v>2011-10-14T00:00:00.000Z</x:v>
      </x:c>
      <x:c r="C5068" s="13" t="n">
        <x:v>21</x:v>
      </x:c>
    </x:row>
    <x:row r="5069" ht="20" customHeight="1">
      <x:c r="A5069" s="1" t="str">
        <x:v>22722</x:v>
      </x:c>
      <x:c r="B5069" s="9" t="d">
        <x:v>2011-10-15T00:00:00.000Z</x:v>
      </x:c>
      <x:c r="C5069" s="13" t="n">
        <x:v>0</x:v>
      </x:c>
    </x:row>
    <x:row r="5070" ht="20" customHeight="1">
      <x:c r="A5070" s="1" t="str">
        <x:v>22722</x:v>
      </x:c>
      <x:c r="B5070" s="9" t="d">
        <x:v>2011-10-16T00:00:00.000Z</x:v>
      </x:c>
      <x:c r="C5070" s="13" t="n">
        <x:v>5</x:v>
      </x:c>
    </x:row>
    <x:row r="5071" ht="20" customHeight="1">
      <x:c r="A5071" s="1" t="str">
        <x:v>22722</x:v>
      </x:c>
      <x:c r="B5071" s="9" t="d">
        <x:v>2011-10-17T00:00:00.000Z</x:v>
      </x:c>
      <x:c r="C5071" s="13" t="n">
        <x:v>0</x:v>
      </x:c>
    </x:row>
    <x:row r="5072" ht="20" customHeight="1">
      <x:c r="A5072" s="1" t="str">
        <x:v>22722</x:v>
      </x:c>
      <x:c r="B5072" s="9" t="d">
        <x:v>2011-10-18T00:00:00.000Z</x:v>
      </x:c>
      <x:c r="C5072" s="13" t="n">
        <x:v>9</x:v>
      </x:c>
    </x:row>
    <x:row r="5073" ht="20" customHeight="1">
      <x:c r="A5073" s="1" t="str">
        <x:v>22722</x:v>
      </x:c>
      <x:c r="B5073" s="9" t="d">
        <x:v>2011-10-19T00:00:00.000Z</x:v>
      </x:c>
      <x:c r="C5073" s="13" t="n">
        <x:v>5</x:v>
      </x:c>
    </x:row>
    <x:row r="5074" ht="20" customHeight="1">
      <x:c r="A5074" s="1" t="str">
        <x:v>22722</x:v>
      </x:c>
      <x:c r="B5074" s="9" t="d">
        <x:v>2011-10-20T00:00:00.000Z</x:v>
      </x:c>
      <x:c r="C5074" s="13" t="n">
        <x:v>1</x:v>
      </x:c>
    </x:row>
    <x:row r="5075" ht="20" customHeight="1">
      <x:c r="A5075" s="1" t="str">
        <x:v>22722</x:v>
      </x:c>
      <x:c r="B5075" s="9" t="d">
        <x:v>2011-10-21T00:00:00.000Z</x:v>
      </x:c>
      <x:c r="C5075" s="13" t="n">
        <x:v>4</x:v>
      </x:c>
    </x:row>
    <x:row r="5076" ht="20" customHeight="1">
      <x:c r="A5076" s="1" t="str">
        <x:v>22722</x:v>
      </x:c>
      <x:c r="B5076" s="9" t="d">
        <x:v>2011-10-22T00:00:00.000Z</x:v>
      </x:c>
      <x:c r="C5076" s="13" t="n">
        <x:v>0</x:v>
      </x:c>
    </x:row>
    <x:row r="5077" ht="20" customHeight="1">
      <x:c r="A5077" s="1" t="str">
        <x:v>22722</x:v>
      </x:c>
      <x:c r="B5077" s="9" t="d">
        <x:v>2011-10-23T00:00:00.000Z</x:v>
      </x:c>
      <x:c r="C5077" s="13" t="n">
        <x:v>3</x:v>
      </x:c>
    </x:row>
    <x:row r="5078" ht="20" customHeight="1">
      <x:c r="A5078" s="1" t="str">
        <x:v>22722</x:v>
      </x:c>
      <x:c r="B5078" s="9" t="d">
        <x:v>2011-10-24T00:00:00.000Z</x:v>
      </x:c>
      <x:c r="C5078" s="13" t="n">
        <x:v>32</x:v>
      </x:c>
    </x:row>
    <x:row r="5079" ht="20" customHeight="1">
      <x:c r="A5079" s="1" t="str">
        <x:v>22722</x:v>
      </x:c>
      <x:c r="B5079" s="9" t="d">
        <x:v>2011-10-25T00:00:00.000Z</x:v>
      </x:c>
      <x:c r="C5079" s="13" t="n">
        <x:v>66</x:v>
      </x:c>
    </x:row>
    <x:row r="5080" ht="20" customHeight="1">
      <x:c r="A5080" s="1" t="str">
        <x:v>22722</x:v>
      </x:c>
      <x:c r="B5080" s="9" t="d">
        <x:v>2011-10-26T00:00:00.000Z</x:v>
      </x:c>
      <x:c r="C5080" s="13" t="n">
        <x:v>20</x:v>
      </x:c>
    </x:row>
    <x:row r="5081" ht="20" customHeight="1">
      <x:c r="A5081" s="1" t="str">
        <x:v>22722</x:v>
      </x:c>
      <x:c r="B5081" s="9" t="d">
        <x:v>2011-10-27T00:00:00.000Z</x:v>
      </x:c>
      <x:c r="C5081" s="13" t="n">
        <x:v>18</x:v>
      </x:c>
    </x:row>
    <x:row r="5082" ht="20" customHeight="1">
      <x:c r="A5082" s="1" t="str">
        <x:v>22722</x:v>
      </x:c>
      <x:c r="B5082" s="9" t="d">
        <x:v>2011-10-28T00:00:00.000Z</x:v>
      </x:c>
      <x:c r="C5082" s="13" t="n">
        <x:v>0</x:v>
      </x:c>
    </x:row>
    <x:row r="5083" ht="20" customHeight="1">
      <x:c r="A5083" s="1" t="str">
        <x:v>22722</x:v>
      </x:c>
      <x:c r="B5083" s="9" t="d">
        <x:v>2011-10-29T00:00:00.000Z</x:v>
      </x:c>
      <x:c r="C5083" s="13" t="n">
        <x:v>0</x:v>
      </x:c>
    </x:row>
    <x:row r="5084" ht="20" customHeight="1">
      <x:c r="A5084" s="1" t="str">
        <x:v>22722</x:v>
      </x:c>
      <x:c r="B5084" s="9" t="d">
        <x:v>2011-10-30T00:00:00.000Z</x:v>
      </x:c>
      <x:c r="C5084" s="13" t="n">
        <x:v>20</x:v>
      </x:c>
    </x:row>
    <x:row r="5085" ht="20" customHeight="1">
      <x:c r="A5085" s="1" t="str">
        <x:v>22722</x:v>
      </x:c>
      <x:c r="B5085" s="9" t="d">
        <x:v>2011-10-31T00:00:00.000Z</x:v>
      </x:c>
      <x:c r="C5085" s="13" t="n">
        <x:v>11</x:v>
      </x:c>
    </x:row>
    <x:row r="5086" ht="20" customHeight="1">
      <x:c r="A5086" s="1" t="str">
        <x:v>22722</x:v>
      </x:c>
      <x:c r="B5086" s="9" t="d">
        <x:v>2011-11-01T00:00:00.000Z</x:v>
      </x:c>
      <x:c r="C5086" s="13" t="n">
        <x:v>4</x:v>
      </x:c>
    </x:row>
    <x:row r="5087" ht="20" customHeight="1">
      <x:c r="A5087" s="1" t="str">
        <x:v>22722</x:v>
      </x:c>
      <x:c r="B5087" s="9" t="d">
        <x:v>2011-11-02T00:00:00.000Z</x:v>
      </x:c>
      <x:c r="C5087" s="13" t="n">
        <x:v>25</x:v>
      </x:c>
    </x:row>
    <x:row r="5088" ht="20" customHeight="1">
      <x:c r="A5088" s="1" t="str">
        <x:v>22722</x:v>
      </x:c>
      <x:c r="B5088" s="9" t="d">
        <x:v>2011-11-03T00:00:00.000Z</x:v>
      </x:c>
      <x:c r="C5088" s="13" t="n">
        <x:v>9</x:v>
      </x:c>
    </x:row>
    <x:row r="5089" ht="20" customHeight="1">
      <x:c r="A5089" s="1" t="str">
        <x:v>22722</x:v>
      </x:c>
      <x:c r="B5089" s="9" t="d">
        <x:v>2011-11-04T00:00:00.000Z</x:v>
      </x:c>
      <x:c r="C5089" s="13" t="n">
        <x:v>9</x:v>
      </x:c>
    </x:row>
    <x:row r="5090" ht="20" customHeight="1">
      <x:c r="A5090" s="1" t="str">
        <x:v>22722</x:v>
      </x:c>
      <x:c r="B5090" s="9" t="d">
        <x:v>2011-11-05T00:00:00.000Z</x:v>
      </x:c>
      <x:c r="C5090" s="13" t="n">
        <x:v>0</x:v>
      </x:c>
    </x:row>
    <x:row r="5091" ht="20" customHeight="1">
      <x:c r="A5091" s="1" t="str">
        <x:v>22722</x:v>
      </x:c>
      <x:c r="B5091" s="9" t="d">
        <x:v>2011-11-06T00:00:00.000Z</x:v>
      </x:c>
      <x:c r="C5091" s="13" t="n">
        <x:v>8</x:v>
      </x:c>
    </x:row>
    <x:row r="5092" ht="20" customHeight="1">
      <x:c r="A5092" s="1" t="str">
        <x:v>22722</x:v>
      </x:c>
      <x:c r="B5092" s="9" t="d">
        <x:v>2011-11-07T00:00:00.000Z</x:v>
      </x:c>
      <x:c r="C5092" s="13" t="n">
        <x:v>12</x:v>
      </x:c>
    </x:row>
    <x:row r="5093" ht="20" customHeight="1">
      <x:c r="A5093" s="1" t="str">
        <x:v>22722</x:v>
      </x:c>
      <x:c r="B5093" s="9" t="d">
        <x:v>2011-11-08T00:00:00.000Z</x:v>
      </x:c>
      <x:c r="C5093" s="13" t="n">
        <x:v>65</x:v>
      </x:c>
    </x:row>
    <x:row r="5094" ht="20" customHeight="1">
      <x:c r="A5094" s="1" t="str">
        <x:v>22722</x:v>
      </x:c>
      <x:c r="B5094" s="9" t="d">
        <x:v>2011-11-09T00:00:00.000Z</x:v>
      </x:c>
      <x:c r="C5094" s="13" t="n">
        <x:v>32</x:v>
      </x:c>
    </x:row>
    <x:row r="5095" ht="20" customHeight="1">
      <x:c r="A5095" s="1" t="str">
        <x:v>22722</x:v>
      </x:c>
      <x:c r="B5095" s="9" t="d">
        <x:v>2011-11-10T00:00:00.000Z</x:v>
      </x:c>
      <x:c r="C5095" s="13" t="n">
        <x:v>18</x:v>
      </x:c>
    </x:row>
    <x:row r="5096" ht="20" customHeight="1">
      <x:c r="A5096" s="1" t="str">
        <x:v>22722</x:v>
      </x:c>
      <x:c r="B5096" s="9" t="d">
        <x:v>2011-11-11T00:00:00.000Z</x:v>
      </x:c>
      <x:c r="C5096" s="13" t="n">
        <x:v>48</x:v>
      </x:c>
    </x:row>
    <x:row r="5097" ht="20" customHeight="1">
      <x:c r="A5097" s="1" t="str">
        <x:v>22722</x:v>
      </x:c>
      <x:c r="B5097" s="9" t="d">
        <x:v>2011-11-12T00:00:00.000Z</x:v>
      </x:c>
      <x:c r="C5097" s="13" t="n">
        <x:v>0</x:v>
      </x:c>
    </x:row>
    <x:row r="5098" ht="20" customHeight="1">
      <x:c r="A5098" s="1" t="str">
        <x:v>22722</x:v>
      </x:c>
      <x:c r="B5098" s="9" t="d">
        <x:v>2011-11-13T00:00:00.000Z</x:v>
      </x:c>
      <x:c r="C5098" s="13" t="n">
        <x:v>33</x:v>
      </x:c>
    </x:row>
    <x:row r="5099" ht="20" customHeight="1">
      <x:c r="A5099" s="1" t="str">
        <x:v>22722</x:v>
      </x:c>
      <x:c r="B5099" s="9" t="d">
        <x:v>2011-11-14T00:00:00.000Z</x:v>
      </x:c>
      <x:c r="C5099" s="13" t="n">
        <x:v>13</x:v>
      </x:c>
    </x:row>
    <x:row r="5100" ht="20" customHeight="1">
      <x:c r="A5100" s="1" t="str">
        <x:v>22722</x:v>
      </x:c>
      <x:c r="B5100" s="9" t="d">
        <x:v>2011-11-15T00:00:00.000Z</x:v>
      </x:c>
      <x:c r="C5100" s="13" t="n">
        <x:v>9</x:v>
      </x:c>
    </x:row>
    <x:row r="5101" ht="20" customHeight="1">
      <x:c r="A5101" s="1" t="str">
        <x:v>22722</x:v>
      </x:c>
      <x:c r="B5101" s="9" t="d">
        <x:v>2011-11-16T00:00:00.000Z</x:v>
      </x:c>
      <x:c r="C5101" s="13" t="n">
        <x:v>36</x:v>
      </x:c>
    </x:row>
    <x:row r="5102" ht="20" customHeight="1">
      <x:c r="A5102" s="1" t="str">
        <x:v>22722</x:v>
      </x:c>
      <x:c r="B5102" s="9" t="d">
        <x:v>2011-11-17T00:00:00.000Z</x:v>
      </x:c>
      <x:c r="C5102" s="13" t="n">
        <x:v>48</x:v>
      </x:c>
    </x:row>
    <x:row r="5103" ht="20" customHeight="1">
      <x:c r="A5103" s="1" t="str">
        <x:v>22722</x:v>
      </x:c>
      <x:c r="B5103" s="9" t="d">
        <x:v>2011-11-18T00:00:00.000Z</x:v>
      </x:c>
      <x:c r="C5103" s="13" t="n">
        <x:v>17</x:v>
      </x:c>
    </x:row>
    <x:row r="5104" ht="20" customHeight="1">
      <x:c r="A5104" s="1" t="str">
        <x:v>22722</x:v>
      </x:c>
      <x:c r="B5104" s="9" t="d">
        <x:v>2011-11-19T00:00:00.000Z</x:v>
      </x:c>
      <x:c r="C5104" s="13" t="n">
        <x:v>0</x:v>
      </x:c>
    </x:row>
    <x:row r="5105" ht="20" customHeight="1">
      <x:c r="A5105" s="1" t="str">
        <x:v>22722</x:v>
      </x:c>
      <x:c r="B5105" s="9" t="d">
        <x:v>2011-11-20T00:00:00.000Z</x:v>
      </x:c>
      <x:c r="C5105" s="13" t="n">
        <x:v>1</x:v>
      </x:c>
    </x:row>
    <x:row r="5106" ht="20" customHeight="1">
      <x:c r="A5106" s="1" t="str">
        <x:v>22722</x:v>
      </x:c>
      <x:c r="B5106" s="9" t="d">
        <x:v>2011-11-21T00:00:00.000Z</x:v>
      </x:c>
      <x:c r="C5106" s="13" t="n">
        <x:v>15</x:v>
      </x:c>
    </x:row>
    <x:row r="5107" ht="20" customHeight="1">
      <x:c r="A5107" s="1" t="str">
        <x:v>22722</x:v>
      </x:c>
      <x:c r="B5107" s="9" t="d">
        <x:v>2011-11-22T00:00:00.000Z</x:v>
      </x:c>
      <x:c r="C5107" s="13" t="n">
        <x:v>15</x:v>
      </x:c>
    </x:row>
    <x:row r="5108" ht="20" customHeight="1">
      <x:c r="A5108" s="1" t="str">
        <x:v>22722</x:v>
      </x:c>
      <x:c r="B5108" s="9" t="d">
        <x:v>2011-11-23T00:00:00.000Z</x:v>
      </x:c>
      <x:c r="C5108" s="13" t="n">
        <x:v>33</x:v>
      </x:c>
    </x:row>
    <x:row r="5109" ht="20" customHeight="1">
      <x:c r="A5109" s="1" t="str">
        <x:v>22722</x:v>
      </x:c>
      <x:c r="B5109" s="9" t="d">
        <x:v>2011-11-24T00:00:00.000Z</x:v>
      </x:c>
      <x:c r="C5109" s="13" t="n">
        <x:v>25</x:v>
      </x:c>
    </x:row>
    <x:row r="5110" ht="20" customHeight="1">
      <x:c r="A5110" s="1" t="str">
        <x:v>22722</x:v>
      </x:c>
      <x:c r="B5110" s="9" t="d">
        <x:v>2011-11-25T00:00:00.000Z</x:v>
      </x:c>
      <x:c r="C5110" s="13" t="n">
        <x:v>10</x:v>
      </x:c>
    </x:row>
    <x:row r="5111" ht="20" customHeight="1">
      <x:c r="A5111" s="1" t="str">
        <x:v>22722</x:v>
      </x:c>
      <x:c r="B5111" s="9" t="d">
        <x:v>2011-11-26T00:00:00.000Z</x:v>
      </x:c>
      <x:c r="C5111" s="13" t="n">
        <x:v>0</x:v>
      </x:c>
    </x:row>
    <x:row r="5112" ht="20" customHeight="1">
      <x:c r="A5112" s="1" t="str">
        <x:v>22722</x:v>
      </x:c>
      <x:c r="B5112" s="9" t="d">
        <x:v>2011-11-27T00:00:00.000Z</x:v>
      </x:c>
      <x:c r="C5112" s="13" t="n">
        <x:v>3</x:v>
      </x:c>
    </x:row>
    <x:row r="5113" ht="20" customHeight="1">
      <x:c r="A5113" s="1" t="str">
        <x:v>22722</x:v>
      </x:c>
      <x:c r="B5113" s="9" t="d">
        <x:v>2011-11-28T00:00:00.000Z</x:v>
      </x:c>
      <x:c r="C5113" s="13" t="n">
        <x:v>7</x:v>
      </x:c>
    </x:row>
    <x:row r="5114" ht="20" customHeight="1">
      <x:c r="A5114" s="1" t="str">
        <x:v>22722</x:v>
      </x:c>
      <x:c r="B5114" s="9" t="d">
        <x:v>2011-11-29T00:00:00.000Z</x:v>
      </x:c>
      <x:c r="C5114" s="13" t="n">
        <x:v>27</x:v>
      </x:c>
    </x:row>
    <x:row r="5115" ht="20" customHeight="1">
      <x:c r="A5115" s="1" t="str">
        <x:v>22722</x:v>
      </x:c>
      <x:c r="B5115" s="9" t="d">
        <x:v>2011-11-30T00:00:00.000Z</x:v>
      </x:c>
      <x:c r="C5115" s="13" t="n">
        <x:v>7</x:v>
      </x:c>
    </x:row>
    <x:row r="5116" ht="20" customHeight="1">
      <x:c r="A5116" s="1" t="str">
        <x:v>22960</x:v>
      </x:c>
      <x:c r="B5116" s="9" t="d">
        <x:v>2010-12-01T00:00:00.000Z</x:v>
      </x:c>
      <x:c r="C5116" s="13" t="n">
        <x:v>65</x:v>
      </x:c>
    </x:row>
    <x:row r="5117" ht="20" customHeight="1">
      <x:c r="A5117" s="1" t="str">
        <x:v>22960</x:v>
      </x:c>
      <x:c r="B5117" s="9" t="d">
        <x:v>2010-12-02T00:00:00.000Z</x:v>
      </x:c>
      <x:c r="C5117" s="13" t="n">
        <x:v>38</x:v>
      </x:c>
    </x:row>
    <x:row r="5118" ht="20" customHeight="1">
      <x:c r="A5118" s="1" t="str">
        <x:v>22960</x:v>
      </x:c>
      <x:c r="B5118" s="9" t="d">
        <x:v>2010-12-03T00:00:00.000Z</x:v>
      </x:c>
      <x:c r="C5118" s="13" t="n">
        <x:v>13</x:v>
      </x:c>
    </x:row>
    <x:row r="5119" ht="20" customHeight="1">
      <x:c r="A5119" s="1" t="str">
        <x:v>22960</x:v>
      </x:c>
      <x:c r="B5119" s="9" t="d">
        <x:v>2010-12-04T00:00:00.000Z</x:v>
      </x:c>
      <x:c r="C5119" s="13" t="n">
        <x:v>0</x:v>
      </x:c>
    </x:row>
    <x:row r="5120" ht="20" customHeight="1">
      <x:c r="A5120" s="1" t="str">
        <x:v>22960</x:v>
      </x:c>
      <x:c r="B5120" s="9" t="d">
        <x:v>2010-12-05T00:00:00.000Z</x:v>
      </x:c>
      <x:c r="C5120" s="13" t="n">
        <x:v>23</x:v>
      </x:c>
    </x:row>
    <x:row r="5121" ht="20" customHeight="1">
      <x:c r="A5121" s="1" t="str">
        <x:v>22960</x:v>
      </x:c>
      <x:c r="B5121" s="9" t="d">
        <x:v>2010-12-06T00:00:00.000Z</x:v>
      </x:c>
      <x:c r="C5121" s="13" t="n">
        <x:v>35</x:v>
      </x:c>
    </x:row>
    <x:row r="5122" ht="20" customHeight="1">
      <x:c r="A5122" s="1" t="str">
        <x:v>22960</x:v>
      </x:c>
      <x:c r="B5122" s="9" t="d">
        <x:v>2010-12-07T00:00:00.000Z</x:v>
      </x:c>
      <x:c r="C5122" s="13" t="n">
        <x:v>22</x:v>
      </x:c>
    </x:row>
    <x:row r="5123" ht="20" customHeight="1">
      <x:c r="A5123" s="1" t="str">
        <x:v>22960</x:v>
      </x:c>
      <x:c r="B5123" s="9" t="d">
        <x:v>2010-12-08T00:00:00.000Z</x:v>
      </x:c>
      <x:c r="C5123" s="13" t="n">
        <x:v>42</x:v>
      </x:c>
    </x:row>
    <x:row r="5124" ht="20" customHeight="1">
      <x:c r="A5124" s="1" t="str">
        <x:v>22960</x:v>
      </x:c>
      <x:c r="B5124" s="9" t="d">
        <x:v>2010-12-09T00:00:00.000Z</x:v>
      </x:c>
      <x:c r="C5124" s="13" t="n">
        <x:v>32</x:v>
      </x:c>
    </x:row>
    <x:row r="5125" ht="20" customHeight="1">
      <x:c r="A5125" s="1" t="str">
        <x:v>22960</x:v>
      </x:c>
      <x:c r="B5125" s="9" t="d">
        <x:v>2010-12-10T00:00:00.000Z</x:v>
      </x:c>
      <x:c r="C5125" s="13" t="n">
        <x:v>34</x:v>
      </x:c>
    </x:row>
    <x:row r="5126" ht="20" customHeight="1">
      <x:c r="A5126" s="1" t="str">
        <x:v>22960</x:v>
      </x:c>
      <x:c r="B5126" s="9" t="d">
        <x:v>2010-12-11T00:00:00.000Z</x:v>
      </x:c>
      <x:c r="C5126" s="13" t="n">
        <x:v>0</x:v>
      </x:c>
    </x:row>
    <x:row r="5127" ht="20" customHeight="1">
      <x:c r="A5127" s="1" t="str">
        <x:v>22960</x:v>
      </x:c>
      <x:c r="B5127" s="9" t="d">
        <x:v>2010-12-12T00:00:00.000Z</x:v>
      </x:c>
      <x:c r="C5127" s="13" t="n">
        <x:v>5</x:v>
      </x:c>
    </x:row>
    <x:row r="5128" ht="20" customHeight="1">
      <x:c r="A5128" s="1" t="str">
        <x:v>22960</x:v>
      </x:c>
      <x:c r="B5128" s="9" t="d">
        <x:v>2010-12-13T00:00:00.000Z</x:v>
      </x:c>
      <x:c r="C5128" s="13" t="n">
        <x:v>31</x:v>
      </x:c>
    </x:row>
    <x:row r="5129" ht="20" customHeight="1">
      <x:c r="A5129" s="1" t="str">
        <x:v>22960</x:v>
      </x:c>
      <x:c r="B5129" s="9" t="d">
        <x:v>2010-12-14T00:00:00.000Z</x:v>
      </x:c>
      <x:c r="C5129" s="13" t="n">
        <x:v>70</x:v>
      </x:c>
    </x:row>
    <x:row r="5130" ht="20" customHeight="1">
      <x:c r="A5130" s="1" t="str">
        <x:v>22960</x:v>
      </x:c>
      <x:c r="B5130" s="9" t="d">
        <x:v>2010-12-15T00:00:00.000Z</x:v>
      </x:c>
      <x:c r="C5130" s="13" t="n">
        <x:v>9</x:v>
      </x:c>
    </x:row>
    <x:row r="5131" ht="20" customHeight="1">
      <x:c r="A5131" s="1" t="str">
        <x:v>22960</x:v>
      </x:c>
      <x:c r="B5131" s="9" t="d">
        <x:v>2010-12-16T00:00:00.000Z</x:v>
      </x:c>
      <x:c r="C5131" s="13" t="n">
        <x:v>86</x:v>
      </x:c>
    </x:row>
    <x:row r="5132" ht="20" customHeight="1">
      <x:c r="A5132" s="1" t="str">
        <x:v>22960</x:v>
      </x:c>
      <x:c r="B5132" s="9" t="d">
        <x:v>2010-12-17T00:00:00.000Z</x:v>
      </x:c>
      <x:c r="C5132" s="13" t="n">
        <x:v>53</x:v>
      </x:c>
    </x:row>
    <x:row r="5133" ht="20" customHeight="1">
      <x:c r="A5133" s="1" t="str">
        <x:v>22960</x:v>
      </x:c>
      <x:c r="B5133" s="9" t="d">
        <x:v>2010-12-18T00:00:00.000Z</x:v>
      </x:c>
      <x:c r="C5133" s="13" t="n">
        <x:v>0</x:v>
      </x:c>
    </x:row>
    <x:row r="5134" ht="20" customHeight="1">
      <x:c r="A5134" s="1" t="str">
        <x:v>22960</x:v>
      </x:c>
      <x:c r="B5134" s="9" t="d">
        <x:v>2010-12-19T00:00:00.000Z</x:v>
      </x:c>
      <x:c r="C5134" s="13" t="n">
        <x:v>0</x:v>
      </x:c>
    </x:row>
    <x:row r="5135" ht="20" customHeight="1">
      <x:c r="A5135" s="1" t="str">
        <x:v>22960</x:v>
      </x:c>
      <x:c r="B5135" s="9" t="d">
        <x:v>2010-12-20T00:00:00.000Z</x:v>
      </x:c>
      <x:c r="C5135" s="13" t="n">
        <x:v>8</x:v>
      </x:c>
    </x:row>
    <x:row r="5136" ht="20" customHeight="1">
      <x:c r="A5136" s="1" t="str">
        <x:v>22960</x:v>
      </x:c>
      <x:c r="B5136" s="9" t="d">
        <x:v>2010-12-21T00:00:00.000Z</x:v>
      </x:c>
      <x:c r="C5136" s="13" t="n">
        <x:v>12</x:v>
      </x:c>
    </x:row>
    <x:row r="5137" ht="20" customHeight="1">
      <x:c r="A5137" s="1" t="str">
        <x:v>22960</x:v>
      </x:c>
      <x:c r="B5137" s="9" t="d">
        <x:v>2010-12-22T00:00:00.000Z</x:v>
      </x:c>
      <x:c r="C5137" s="13" t="n">
        <x:v>6</x:v>
      </x:c>
    </x:row>
    <x:row r="5138" ht="20" customHeight="1">
      <x:c r="A5138" s="1" t="str">
        <x:v>22960</x:v>
      </x:c>
      <x:c r="B5138" s="9" t="d">
        <x:v>2010-12-23T00:00:00.000Z</x:v>
      </x:c>
      <x:c r="C5138" s="13" t="n">
        <x:v>14</x:v>
      </x:c>
    </x:row>
    <x:row r="5139" ht="20" customHeight="1">
      <x:c r="A5139" s="1" t="str">
        <x:v>22960</x:v>
      </x:c>
      <x:c r="B5139" s="9" t="d">
        <x:v>2010-12-24T00:00:00.000Z</x:v>
      </x:c>
      <x:c r="C5139" s="13" t="n">
        <x:v>0</x:v>
      </x:c>
    </x:row>
    <x:row r="5140" ht="20" customHeight="1">
      <x:c r="A5140" s="1" t="str">
        <x:v>22960</x:v>
      </x:c>
      <x:c r="B5140" s="9" t="d">
        <x:v>2010-12-25T00:00:00.000Z</x:v>
      </x:c>
      <x:c r="C5140" s="13" t="n">
        <x:v>0</x:v>
      </x:c>
    </x:row>
    <x:row r="5141" ht="20" customHeight="1">
      <x:c r="A5141" s="1" t="str">
        <x:v>22960</x:v>
      </x:c>
      <x:c r="B5141" s="9" t="d">
        <x:v>2010-12-26T00:00:00.000Z</x:v>
      </x:c>
      <x:c r="C5141" s="13" t="n">
        <x:v>0</x:v>
      </x:c>
    </x:row>
    <x:row r="5142" ht="20" customHeight="1">
      <x:c r="A5142" s="1" t="str">
        <x:v>22960</x:v>
      </x:c>
      <x:c r="B5142" s="9" t="d">
        <x:v>2010-12-27T00:00:00.000Z</x:v>
      </x:c>
      <x:c r="C5142" s="13" t="n">
        <x:v>0</x:v>
      </x:c>
    </x:row>
    <x:row r="5143" ht="20" customHeight="1">
      <x:c r="A5143" s="1" t="str">
        <x:v>22960</x:v>
      </x:c>
      <x:c r="B5143" s="9" t="d">
        <x:v>2010-12-28T00:00:00.000Z</x:v>
      </x:c>
      <x:c r="C5143" s="13" t="n">
        <x:v>0</x:v>
      </x:c>
    </x:row>
    <x:row r="5144" ht="20" customHeight="1">
      <x:c r="A5144" s="1" t="str">
        <x:v>22960</x:v>
      </x:c>
      <x:c r="B5144" s="9" t="d">
        <x:v>2010-12-29T00:00:00.000Z</x:v>
      </x:c>
      <x:c r="C5144" s="13" t="n">
        <x:v>0</x:v>
      </x:c>
    </x:row>
    <x:row r="5145" ht="20" customHeight="1">
      <x:c r="A5145" s="1" t="str">
        <x:v>22960</x:v>
      </x:c>
      <x:c r="B5145" s="9" t="d">
        <x:v>2010-12-30T00:00:00.000Z</x:v>
      </x:c>
      <x:c r="C5145" s="13" t="n">
        <x:v>0</x:v>
      </x:c>
    </x:row>
    <x:row r="5146" ht="20" customHeight="1">
      <x:c r="A5146" s="1" t="str">
        <x:v>22960</x:v>
      </x:c>
      <x:c r="B5146" s="9" t="d">
        <x:v>2010-12-31T00:00:00.000Z</x:v>
      </x:c>
      <x:c r="C5146" s="13" t="n">
        <x:v>0</x:v>
      </x:c>
    </x:row>
    <x:row r="5147" ht="20" customHeight="1">
      <x:c r="A5147" s="1" t="str">
        <x:v>22960</x:v>
      </x:c>
      <x:c r="B5147" s="9" t="d">
        <x:v>2011-01-01T00:00:00.000Z</x:v>
      </x:c>
      <x:c r="C5147" s="13" t="n">
        <x:v>0</x:v>
      </x:c>
    </x:row>
    <x:row r="5148" ht="20" customHeight="1">
      <x:c r="A5148" s="1" t="str">
        <x:v>22960</x:v>
      </x:c>
      <x:c r="B5148" s="9" t="d">
        <x:v>2011-01-02T00:00:00.000Z</x:v>
      </x:c>
      <x:c r="C5148" s="13" t="n">
        <x:v>0</x:v>
      </x:c>
    </x:row>
    <x:row r="5149" ht="20" customHeight="1">
      <x:c r="A5149" s="1" t="str">
        <x:v>22960</x:v>
      </x:c>
      <x:c r="B5149" s="9" t="d">
        <x:v>2011-01-03T00:00:00.000Z</x:v>
      </x:c>
      <x:c r="C5149" s="13" t="n">
        <x:v>0</x:v>
      </x:c>
    </x:row>
    <x:row r="5150" ht="20" customHeight="1">
      <x:c r="A5150" s="1" t="str">
        <x:v>22960</x:v>
      </x:c>
      <x:c r="B5150" s="9" t="d">
        <x:v>2011-01-04T00:00:00.000Z</x:v>
      </x:c>
      <x:c r="C5150" s="13" t="n">
        <x:v>8</x:v>
      </x:c>
    </x:row>
    <x:row r="5151" ht="20" customHeight="1">
      <x:c r="A5151" s="1" t="str">
        <x:v>22960</x:v>
      </x:c>
      <x:c r="B5151" s="9" t="d">
        <x:v>2011-01-05T00:00:00.000Z</x:v>
      </x:c>
      <x:c r="C5151" s="13" t="n">
        <x:v>3</x:v>
      </x:c>
    </x:row>
    <x:row r="5152" ht="20" customHeight="1">
      <x:c r="A5152" s="1" t="str">
        <x:v>22960</x:v>
      </x:c>
      <x:c r="B5152" s="9" t="d">
        <x:v>2011-01-06T00:00:00.000Z</x:v>
      </x:c>
      <x:c r="C5152" s="13" t="n">
        <x:v>23</x:v>
      </x:c>
    </x:row>
    <x:row r="5153" ht="20" customHeight="1">
      <x:c r="A5153" s="1" t="str">
        <x:v>22960</x:v>
      </x:c>
      <x:c r="B5153" s="9" t="d">
        <x:v>2011-01-07T00:00:00.000Z</x:v>
      </x:c>
      <x:c r="C5153" s="13" t="n">
        <x:v>24</x:v>
      </x:c>
    </x:row>
    <x:row r="5154" ht="20" customHeight="1">
      <x:c r="A5154" s="1" t="str">
        <x:v>22960</x:v>
      </x:c>
      <x:c r="B5154" s="9" t="d">
        <x:v>2011-01-08T00:00:00.000Z</x:v>
      </x:c>
      <x:c r="C5154" s="13" t="n">
        <x:v>0</x:v>
      </x:c>
    </x:row>
    <x:row r="5155" ht="20" customHeight="1">
      <x:c r="A5155" s="1" t="str">
        <x:v>22960</x:v>
      </x:c>
      <x:c r="B5155" s="9" t="d">
        <x:v>2011-01-09T00:00:00.000Z</x:v>
      </x:c>
      <x:c r="C5155" s="13" t="n">
        <x:v>16</x:v>
      </x:c>
    </x:row>
    <x:row r="5156" ht="20" customHeight="1">
      <x:c r="A5156" s="1" t="str">
        <x:v>22960</x:v>
      </x:c>
      <x:c r="B5156" s="9" t="d">
        <x:v>2011-01-10T00:00:00.000Z</x:v>
      </x:c>
      <x:c r="C5156" s="13" t="n">
        <x:v>15</x:v>
      </x:c>
    </x:row>
    <x:row r="5157" ht="20" customHeight="1">
      <x:c r="A5157" s="1" t="str">
        <x:v>22960</x:v>
      </x:c>
      <x:c r="B5157" s="9" t="d">
        <x:v>2011-01-11T00:00:00.000Z</x:v>
      </x:c>
      <x:c r="C5157" s="13" t="n">
        <x:v>23</x:v>
      </x:c>
    </x:row>
    <x:row r="5158" ht="20" customHeight="1">
      <x:c r="A5158" s="1" t="str">
        <x:v>22960</x:v>
      </x:c>
      <x:c r="B5158" s="9" t="d">
        <x:v>2011-01-12T00:00:00.000Z</x:v>
      </x:c>
      <x:c r="C5158" s="13" t="n">
        <x:v>18</x:v>
      </x:c>
    </x:row>
    <x:row r="5159" ht="20" customHeight="1">
      <x:c r="A5159" s="1" t="str">
        <x:v>22960</x:v>
      </x:c>
      <x:c r="B5159" s="9" t="d">
        <x:v>2011-01-13T00:00:00.000Z</x:v>
      </x:c>
      <x:c r="C5159" s="13" t="n">
        <x:v>13</x:v>
      </x:c>
    </x:row>
    <x:row r="5160" ht="20" customHeight="1">
      <x:c r="A5160" s="1" t="str">
        <x:v>22960</x:v>
      </x:c>
      <x:c r="B5160" s="9" t="d">
        <x:v>2011-01-14T00:00:00.000Z</x:v>
      </x:c>
      <x:c r="C5160" s="13" t="n">
        <x:v>109</x:v>
      </x:c>
    </x:row>
    <x:row r="5161" ht="20" customHeight="1">
      <x:c r="A5161" s="1" t="str">
        <x:v>22960</x:v>
      </x:c>
      <x:c r="B5161" s="9" t="d">
        <x:v>2011-01-15T00:00:00.000Z</x:v>
      </x:c>
      <x:c r="C5161" s="13" t="n">
        <x:v>0</x:v>
      </x:c>
    </x:row>
    <x:row r="5162" ht="20" customHeight="1">
      <x:c r="A5162" s="1" t="str">
        <x:v>22960</x:v>
      </x:c>
      <x:c r="B5162" s="9" t="d">
        <x:v>2011-01-16T00:00:00.000Z</x:v>
      </x:c>
      <x:c r="C5162" s="13" t="n">
        <x:v>13</x:v>
      </x:c>
    </x:row>
    <x:row r="5163" ht="20" customHeight="1">
      <x:c r="A5163" s="1" t="str">
        <x:v>22960</x:v>
      </x:c>
      <x:c r="B5163" s="9" t="d">
        <x:v>2011-01-17T00:00:00.000Z</x:v>
      </x:c>
      <x:c r="C5163" s="13" t="n">
        <x:v>35</x:v>
      </x:c>
    </x:row>
    <x:row r="5164" ht="20" customHeight="1">
      <x:c r="A5164" s="1" t="str">
        <x:v>22960</x:v>
      </x:c>
      <x:c r="B5164" s="9" t="d">
        <x:v>2011-01-18T00:00:00.000Z</x:v>
      </x:c>
      <x:c r="C5164" s="13" t="n">
        <x:v>7</x:v>
      </x:c>
    </x:row>
    <x:row r="5165" ht="20" customHeight="1">
      <x:c r="A5165" s="1" t="str">
        <x:v>22960</x:v>
      </x:c>
      <x:c r="B5165" s="9" t="d">
        <x:v>2011-01-19T00:00:00.000Z</x:v>
      </x:c>
      <x:c r="C5165" s="13" t="n">
        <x:v>7</x:v>
      </x:c>
    </x:row>
    <x:row r="5166" ht="20" customHeight="1">
      <x:c r="A5166" s="1" t="str">
        <x:v>22960</x:v>
      </x:c>
      <x:c r="B5166" s="9" t="d">
        <x:v>2011-01-20T00:00:00.000Z</x:v>
      </x:c>
      <x:c r="C5166" s="13" t="n">
        <x:v>96</x:v>
      </x:c>
    </x:row>
    <x:row r="5167" ht="20" customHeight="1">
      <x:c r="A5167" s="1" t="str">
        <x:v>22960</x:v>
      </x:c>
      <x:c r="B5167" s="9" t="d">
        <x:v>2011-01-21T00:00:00.000Z</x:v>
      </x:c>
      <x:c r="C5167" s="13" t="n">
        <x:v>54</x:v>
      </x:c>
    </x:row>
    <x:row r="5168" ht="20" customHeight="1">
      <x:c r="A5168" s="1" t="str">
        <x:v>22960</x:v>
      </x:c>
      <x:c r="B5168" s="9" t="d">
        <x:v>2011-01-22T00:00:00.000Z</x:v>
      </x:c>
      <x:c r="C5168" s="13" t="n">
        <x:v>0</x:v>
      </x:c>
    </x:row>
    <x:row r="5169" ht="20" customHeight="1">
      <x:c r="A5169" s="1" t="str">
        <x:v>22960</x:v>
      </x:c>
      <x:c r="B5169" s="9" t="d">
        <x:v>2011-01-23T00:00:00.000Z</x:v>
      </x:c>
      <x:c r="C5169" s="13" t="n">
        <x:v>14</x:v>
      </x:c>
    </x:row>
    <x:row r="5170" ht="20" customHeight="1">
      <x:c r="A5170" s="1" t="str">
        <x:v>22960</x:v>
      </x:c>
      <x:c r="B5170" s="9" t="d">
        <x:v>2011-01-24T00:00:00.000Z</x:v>
      </x:c>
      <x:c r="C5170" s="13" t="n">
        <x:v>20</x:v>
      </x:c>
    </x:row>
    <x:row r="5171" ht="20" customHeight="1">
      <x:c r="A5171" s="1" t="str">
        <x:v>22960</x:v>
      </x:c>
      <x:c r="B5171" s="9" t="d">
        <x:v>2011-01-25T00:00:00.000Z</x:v>
      </x:c>
      <x:c r="C5171" s="13" t="n">
        <x:v>32</x:v>
      </x:c>
    </x:row>
    <x:row r="5172" ht="20" customHeight="1">
      <x:c r="A5172" s="1" t="str">
        <x:v>22960</x:v>
      </x:c>
      <x:c r="B5172" s="9" t="d">
        <x:v>2011-01-26T00:00:00.000Z</x:v>
      </x:c>
      <x:c r="C5172" s="13" t="n">
        <x:v>15</x:v>
      </x:c>
    </x:row>
    <x:row r="5173" ht="20" customHeight="1">
      <x:c r="A5173" s="1" t="str">
        <x:v>22960</x:v>
      </x:c>
      <x:c r="B5173" s="9" t="d">
        <x:v>2011-01-27T00:00:00.000Z</x:v>
      </x:c>
      <x:c r="C5173" s="13" t="n">
        <x:v>63</x:v>
      </x:c>
    </x:row>
    <x:row r="5174" ht="20" customHeight="1">
      <x:c r="A5174" s="1" t="str">
        <x:v>22960</x:v>
      </x:c>
      <x:c r="B5174" s="9" t="d">
        <x:v>2011-01-28T00:00:00.000Z</x:v>
      </x:c>
      <x:c r="C5174" s="13" t="n">
        <x:v>44</x:v>
      </x:c>
    </x:row>
    <x:row r="5175" ht="20" customHeight="1">
      <x:c r="A5175" s="1" t="str">
        <x:v>22960</x:v>
      </x:c>
      <x:c r="B5175" s="9" t="d">
        <x:v>2011-01-29T00:00:00.000Z</x:v>
      </x:c>
      <x:c r="C5175" s="13" t="n">
        <x:v>0</x:v>
      </x:c>
    </x:row>
    <x:row r="5176" ht="20" customHeight="1">
      <x:c r="A5176" s="1" t="str">
        <x:v>22960</x:v>
      </x:c>
      <x:c r="B5176" s="9" t="d">
        <x:v>2011-01-30T00:00:00.000Z</x:v>
      </x:c>
      <x:c r="C5176" s="13" t="n">
        <x:v>19</x:v>
      </x:c>
    </x:row>
    <x:row r="5177" ht="20" customHeight="1">
      <x:c r="A5177" s="1" t="str">
        <x:v>22960</x:v>
      </x:c>
      <x:c r="B5177" s="9" t="d">
        <x:v>2011-01-31T00:00:00.000Z</x:v>
      </x:c>
      <x:c r="C5177" s="13" t="n">
        <x:v>18</x:v>
      </x:c>
    </x:row>
    <x:row r="5178" ht="20" customHeight="1">
      <x:c r="A5178" s="1" t="str">
        <x:v>22960</x:v>
      </x:c>
      <x:c r="B5178" s="9" t="d">
        <x:v>2011-02-01T00:00:00.000Z</x:v>
      </x:c>
      <x:c r="C5178" s="13" t="n">
        <x:v>22</x:v>
      </x:c>
    </x:row>
    <x:row r="5179" ht="20" customHeight="1">
      <x:c r="A5179" s="1" t="str">
        <x:v>22960</x:v>
      </x:c>
      <x:c r="B5179" s="9" t="d">
        <x:v>2011-02-02T00:00:00.000Z</x:v>
      </x:c>
      <x:c r="C5179" s="13" t="n">
        <x:v>19</x:v>
      </x:c>
    </x:row>
    <x:row r="5180" ht="20" customHeight="1">
      <x:c r="A5180" s="1" t="str">
        <x:v>22960</x:v>
      </x:c>
      <x:c r="B5180" s="9" t="d">
        <x:v>2011-02-03T00:00:00.000Z</x:v>
      </x:c>
      <x:c r="C5180" s="13" t="n">
        <x:v>19</x:v>
      </x:c>
    </x:row>
    <x:row r="5181" ht="20" customHeight="1">
      <x:c r="A5181" s="1" t="str">
        <x:v>22960</x:v>
      </x:c>
      <x:c r="B5181" s="9" t="d">
        <x:v>2011-02-04T00:00:00.000Z</x:v>
      </x:c>
      <x:c r="C5181" s="13" t="n">
        <x:v>30</x:v>
      </x:c>
    </x:row>
    <x:row r="5182" ht="20" customHeight="1">
      <x:c r="A5182" s="1" t="str">
        <x:v>22960</x:v>
      </x:c>
      <x:c r="B5182" s="9" t="d">
        <x:v>2011-02-05T00:00:00.000Z</x:v>
      </x:c>
      <x:c r="C5182" s="13" t="n">
        <x:v>0</x:v>
      </x:c>
    </x:row>
    <x:row r="5183" ht="20" customHeight="1">
      <x:c r="A5183" s="1" t="str">
        <x:v>22960</x:v>
      </x:c>
      <x:c r="B5183" s="9" t="d">
        <x:v>2011-02-06T00:00:00.000Z</x:v>
      </x:c>
      <x:c r="C5183" s="13" t="n">
        <x:v>4</x:v>
      </x:c>
    </x:row>
    <x:row r="5184" ht="20" customHeight="1">
      <x:c r="A5184" s="1" t="str">
        <x:v>22960</x:v>
      </x:c>
      <x:c r="B5184" s="9" t="d">
        <x:v>2011-02-07T00:00:00.000Z</x:v>
      </x:c>
      <x:c r="C5184" s="13" t="n">
        <x:v>37</x:v>
      </x:c>
    </x:row>
    <x:row r="5185" ht="20" customHeight="1">
      <x:c r="A5185" s="1" t="str">
        <x:v>22960</x:v>
      </x:c>
      <x:c r="B5185" s="9" t="d">
        <x:v>2011-02-08T00:00:00.000Z</x:v>
      </x:c>
      <x:c r="C5185" s="13" t="n">
        <x:v>7</x:v>
      </x:c>
    </x:row>
    <x:row r="5186" ht="20" customHeight="1">
      <x:c r="A5186" s="1" t="str">
        <x:v>22960</x:v>
      </x:c>
      <x:c r="B5186" s="9" t="d">
        <x:v>2011-02-09T00:00:00.000Z</x:v>
      </x:c>
      <x:c r="C5186" s="13" t="n">
        <x:v>20</x:v>
      </x:c>
    </x:row>
    <x:row r="5187" ht="20" customHeight="1">
      <x:c r="A5187" s="1" t="str">
        <x:v>22960</x:v>
      </x:c>
      <x:c r="B5187" s="9" t="d">
        <x:v>2011-02-10T00:00:00.000Z</x:v>
      </x:c>
      <x:c r="C5187" s="13" t="n">
        <x:v>24</x:v>
      </x:c>
    </x:row>
    <x:row r="5188" ht="20" customHeight="1">
      <x:c r="A5188" s="1" t="str">
        <x:v>22960</x:v>
      </x:c>
      <x:c r="B5188" s="9" t="d">
        <x:v>2011-02-11T00:00:00.000Z</x:v>
      </x:c>
      <x:c r="C5188" s="13" t="n">
        <x:v>1</x:v>
      </x:c>
    </x:row>
    <x:row r="5189" ht="20" customHeight="1">
      <x:c r="A5189" s="1" t="str">
        <x:v>22960</x:v>
      </x:c>
      <x:c r="B5189" s="9" t="d">
        <x:v>2011-02-12T00:00:00.000Z</x:v>
      </x:c>
      <x:c r="C5189" s="13" t="n">
        <x:v>0</x:v>
      </x:c>
    </x:row>
    <x:row r="5190" ht="20" customHeight="1">
      <x:c r="A5190" s="1" t="str">
        <x:v>22960</x:v>
      </x:c>
      <x:c r="B5190" s="9" t="d">
        <x:v>2011-02-13T00:00:00.000Z</x:v>
      </x:c>
      <x:c r="C5190" s="13" t="n">
        <x:v>2</x:v>
      </x:c>
    </x:row>
    <x:row r="5191" ht="20" customHeight="1">
      <x:c r="A5191" s="1" t="str">
        <x:v>22960</x:v>
      </x:c>
      <x:c r="B5191" s="9" t="d">
        <x:v>2011-02-14T00:00:00.000Z</x:v>
      </x:c>
      <x:c r="C5191" s="13" t="n">
        <x:v>59</x:v>
      </x:c>
    </x:row>
    <x:row r="5192" ht="20" customHeight="1">
      <x:c r="A5192" s="1" t="str">
        <x:v>22960</x:v>
      </x:c>
      <x:c r="B5192" s="9" t="d">
        <x:v>2011-02-15T00:00:00.000Z</x:v>
      </x:c>
      <x:c r="C5192" s="13" t="n">
        <x:v>204</x:v>
      </x:c>
    </x:row>
    <x:row r="5193" ht="20" customHeight="1">
      <x:c r="A5193" s="1" t="str">
        <x:v>22960</x:v>
      </x:c>
      <x:c r="B5193" s="9" t="d">
        <x:v>2011-02-16T00:00:00.000Z</x:v>
      </x:c>
      <x:c r="C5193" s="13" t="n">
        <x:v>43</x:v>
      </x:c>
    </x:row>
    <x:row r="5194" ht="20" customHeight="1">
      <x:c r="A5194" s="1" t="str">
        <x:v>22960</x:v>
      </x:c>
      <x:c r="B5194" s="9" t="d">
        <x:v>2011-02-17T00:00:00.000Z</x:v>
      </x:c>
      <x:c r="C5194" s="13" t="n">
        <x:v>22</x:v>
      </x:c>
    </x:row>
    <x:row r="5195" ht="20" customHeight="1">
      <x:c r="A5195" s="1" t="str">
        <x:v>22960</x:v>
      </x:c>
      <x:c r="B5195" s="9" t="d">
        <x:v>2011-02-18T00:00:00.000Z</x:v>
      </x:c>
      <x:c r="C5195" s="13" t="n">
        <x:v>12</x:v>
      </x:c>
    </x:row>
    <x:row r="5196" ht="20" customHeight="1">
      <x:c r="A5196" s="1" t="str">
        <x:v>22960</x:v>
      </x:c>
      <x:c r="B5196" s="9" t="d">
        <x:v>2011-02-19T00:00:00.000Z</x:v>
      </x:c>
      <x:c r="C5196" s="13" t="n">
        <x:v>0</x:v>
      </x:c>
    </x:row>
    <x:row r="5197" ht="20" customHeight="1">
      <x:c r="A5197" s="1" t="str">
        <x:v>22960</x:v>
      </x:c>
      <x:c r="B5197" s="9" t="d">
        <x:v>2011-02-20T00:00:00.000Z</x:v>
      </x:c>
      <x:c r="C5197" s="13" t="n">
        <x:v>2</x:v>
      </x:c>
    </x:row>
    <x:row r="5198" ht="20" customHeight="1">
      <x:c r="A5198" s="1" t="str">
        <x:v>22960</x:v>
      </x:c>
      <x:c r="B5198" s="9" t="d">
        <x:v>2011-02-21T00:00:00.000Z</x:v>
      </x:c>
      <x:c r="C5198" s="13" t="n">
        <x:v>24</x:v>
      </x:c>
    </x:row>
    <x:row r="5199" ht="20" customHeight="1">
      <x:c r="A5199" s="1" t="str">
        <x:v>22960</x:v>
      </x:c>
      <x:c r="B5199" s="9" t="d">
        <x:v>2011-02-22T00:00:00.000Z</x:v>
      </x:c>
      <x:c r="C5199" s="13" t="n">
        <x:v>26</x:v>
      </x:c>
    </x:row>
    <x:row r="5200" ht="20" customHeight="1">
      <x:c r="A5200" s="1" t="str">
        <x:v>22960</x:v>
      </x:c>
      <x:c r="B5200" s="9" t="d">
        <x:v>2011-02-23T00:00:00.000Z</x:v>
      </x:c>
      <x:c r="C5200" s="13" t="n">
        <x:v>20</x:v>
      </x:c>
    </x:row>
    <x:row r="5201" ht="20" customHeight="1">
      <x:c r="A5201" s="1" t="str">
        <x:v>22960</x:v>
      </x:c>
      <x:c r="B5201" s="9" t="d">
        <x:v>2011-02-24T00:00:00.000Z</x:v>
      </x:c>
      <x:c r="C5201" s="13" t="n">
        <x:v>31</x:v>
      </x:c>
    </x:row>
    <x:row r="5202" ht="20" customHeight="1">
      <x:c r="A5202" s="1" t="str">
        <x:v>22960</x:v>
      </x:c>
      <x:c r="B5202" s="9" t="d">
        <x:v>2011-02-25T00:00:00.000Z</x:v>
      </x:c>
      <x:c r="C5202" s="13" t="n">
        <x:v>13</x:v>
      </x:c>
    </x:row>
    <x:row r="5203" ht="20" customHeight="1">
      <x:c r="A5203" s="1" t="str">
        <x:v>22960</x:v>
      </x:c>
      <x:c r="B5203" s="9" t="d">
        <x:v>2011-02-26T00:00:00.000Z</x:v>
      </x:c>
      <x:c r="C5203" s="13" t="n">
        <x:v>0</x:v>
      </x:c>
    </x:row>
    <x:row r="5204" ht="20" customHeight="1">
      <x:c r="A5204" s="1" t="str">
        <x:v>22960</x:v>
      </x:c>
      <x:c r="B5204" s="9" t="d">
        <x:v>2011-02-27T00:00:00.000Z</x:v>
      </x:c>
      <x:c r="C5204" s="13" t="n">
        <x:v>0</x:v>
      </x:c>
    </x:row>
    <x:row r="5205" ht="20" customHeight="1">
      <x:c r="A5205" s="1" t="str">
        <x:v>22960</x:v>
      </x:c>
      <x:c r="B5205" s="9" t="d">
        <x:v>2011-02-28T00:00:00.000Z</x:v>
      </x:c>
      <x:c r="C5205" s="13" t="n">
        <x:v>39</x:v>
      </x:c>
    </x:row>
    <x:row r="5206" ht="20" customHeight="1">
      <x:c r="A5206" s="1" t="str">
        <x:v>22960</x:v>
      </x:c>
      <x:c r="B5206" s="9" t="d">
        <x:v>2011-03-01T00:00:00.000Z</x:v>
      </x:c>
      <x:c r="C5206" s="13" t="n">
        <x:v>26</x:v>
      </x:c>
    </x:row>
    <x:row r="5207" ht="20" customHeight="1">
      <x:c r="A5207" s="1" t="str">
        <x:v>22960</x:v>
      </x:c>
      <x:c r="B5207" s="9" t="d">
        <x:v>2011-03-02T00:00:00.000Z</x:v>
      </x:c>
      <x:c r="C5207" s="13" t="n">
        <x:v>60</x:v>
      </x:c>
    </x:row>
    <x:row r="5208" ht="20" customHeight="1">
      <x:c r="A5208" s="1" t="str">
        <x:v>22960</x:v>
      </x:c>
      <x:c r="B5208" s="9" t="d">
        <x:v>2011-03-03T00:00:00.000Z</x:v>
      </x:c>
      <x:c r="C5208" s="13" t="n">
        <x:v>141</x:v>
      </x:c>
    </x:row>
    <x:row r="5209" ht="20" customHeight="1">
      <x:c r="A5209" s="1" t="str">
        <x:v>22960</x:v>
      </x:c>
      <x:c r="B5209" s="9" t="d">
        <x:v>2011-03-04T00:00:00.000Z</x:v>
      </x:c>
      <x:c r="C5209" s="13" t="n">
        <x:v>7</x:v>
      </x:c>
    </x:row>
    <x:row r="5210" ht="20" customHeight="1">
      <x:c r="A5210" s="1" t="str">
        <x:v>22960</x:v>
      </x:c>
      <x:c r="B5210" s="9" t="d">
        <x:v>2011-03-05T00:00:00.000Z</x:v>
      </x:c>
      <x:c r="C5210" s="13" t="n">
        <x:v>0</x:v>
      </x:c>
    </x:row>
    <x:row r="5211" ht="20" customHeight="1">
      <x:c r="A5211" s="1" t="str">
        <x:v>22960</x:v>
      </x:c>
      <x:c r="B5211" s="9" t="d">
        <x:v>2011-03-06T00:00:00.000Z</x:v>
      </x:c>
      <x:c r="C5211" s="13" t="n">
        <x:v>22</x:v>
      </x:c>
    </x:row>
    <x:row r="5212" ht="20" customHeight="1">
      <x:c r="A5212" s="1" t="str">
        <x:v>22960</x:v>
      </x:c>
      <x:c r="B5212" s="9" t="d">
        <x:v>2011-03-07T00:00:00.000Z</x:v>
      </x:c>
      <x:c r="C5212" s="13" t="n">
        <x:v>77</x:v>
      </x:c>
    </x:row>
    <x:row r="5213" ht="20" customHeight="1">
      <x:c r="A5213" s="1" t="str">
        <x:v>22960</x:v>
      </x:c>
      <x:c r="B5213" s="9" t="d">
        <x:v>2011-03-08T00:00:00.000Z</x:v>
      </x:c>
      <x:c r="C5213" s="13" t="n">
        <x:v>38</x:v>
      </x:c>
    </x:row>
    <x:row r="5214" ht="20" customHeight="1">
      <x:c r="A5214" s="1" t="str">
        <x:v>22960</x:v>
      </x:c>
      <x:c r="B5214" s="9" t="d">
        <x:v>2011-03-09T00:00:00.000Z</x:v>
      </x:c>
      <x:c r="C5214" s="13" t="n">
        <x:v>14</x:v>
      </x:c>
    </x:row>
    <x:row r="5215" ht="20" customHeight="1">
      <x:c r="A5215" s="1" t="str">
        <x:v>22960</x:v>
      </x:c>
      <x:c r="B5215" s="9" t="d">
        <x:v>2011-03-10T00:00:00.000Z</x:v>
      </x:c>
      <x:c r="C5215" s="13" t="n">
        <x:v>26</x:v>
      </x:c>
    </x:row>
    <x:row r="5216" ht="20" customHeight="1">
      <x:c r="A5216" s="1" t="str">
        <x:v>22960</x:v>
      </x:c>
      <x:c r="B5216" s="9" t="d">
        <x:v>2011-03-11T00:00:00.000Z</x:v>
      </x:c>
      <x:c r="C5216" s="13" t="n">
        <x:v>48</x:v>
      </x:c>
    </x:row>
    <x:row r="5217" ht="20" customHeight="1">
      <x:c r="A5217" s="1" t="str">
        <x:v>22960</x:v>
      </x:c>
      <x:c r="B5217" s="9" t="d">
        <x:v>2011-03-12T00:00:00.000Z</x:v>
      </x:c>
      <x:c r="C5217" s="13" t="n">
        <x:v>0</x:v>
      </x:c>
    </x:row>
    <x:row r="5218" ht="20" customHeight="1">
      <x:c r="A5218" s="1" t="str">
        <x:v>22960</x:v>
      </x:c>
      <x:c r="B5218" s="9" t="d">
        <x:v>2011-03-13T00:00:00.000Z</x:v>
      </x:c>
      <x:c r="C5218" s="13" t="n">
        <x:v>2</x:v>
      </x:c>
    </x:row>
    <x:row r="5219" ht="20" customHeight="1">
      <x:c r="A5219" s="1" t="str">
        <x:v>22960</x:v>
      </x:c>
      <x:c r="B5219" s="9" t="d">
        <x:v>2011-03-14T00:00:00.000Z</x:v>
      </x:c>
      <x:c r="C5219" s="13" t="n">
        <x:v>31</x:v>
      </x:c>
    </x:row>
    <x:row r="5220" ht="20" customHeight="1">
      <x:c r="A5220" s="1" t="str">
        <x:v>22960</x:v>
      </x:c>
      <x:c r="B5220" s="9" t="d">
        <x:v>2011-03-15T00:00:00.000Z</x:v>
      </x:c>
      <x:c r="C5220" s="13" t="n">
        <x:v>37</x:v>
      </x:c>
    </x:row>
    <x:row r="5221" ht="20" customHeight="1">
      <x:c r="A5221" s="1" t="str">
        <x:v>22960</x:v>
      </x:c>
      <x:c r="B5221" s="9" t="d">
        <x:v>2011-03-16T00:00:00.000Z</x:v>
      </x:c>
      <x:c r="C5221" s="13" t="n">
        <x:v>18</x:v>
      </x:c>
    </x:row>
    <x:row r="5222" ht="20" customHeight="1">
      <x:c r="A5222" s="1" t="str">
        <x:v>22960</x:v>
      </x:c>
      <x:c r="B5222" s="9" t="d">
        <x:v>2011-03-17T00:00:00.000Z</x:v>
      </x:c>
      <x:c r="C5222" s="13" t="n">
        <x:v>39</x:v>
      </x:c>
    </x:row>
    <x:row r="5223" ht="20" customHeight="1">
      <x:c r="A5223" s="1" t="str">
        <x:v>22960</x:v>
      </x:c>
      <x:c r="B5223" s="9" t="d">
        <x:v>2011-03-18T00:00:00.000Z</x:v>
      </x:c>
      <x:c r="C5223" s="13" t="n">
        <x:v>81</x:v>
      </x:c>
    </x:row>
    <x:row r="5224" ht="20" customHeight="1">
      <x:c r="A5224" s="1" t="str">
        <x:v>22960</x:v>
      </x:c>
      <x:c r="B5224" s="9" t="d">
        <x:v>2011-03-19T00:00:00.000Z</x:v>
      </x:c>
      <x:c r="C5224" s="13" t="n">
        <x:v>0</x:v>
      </x:c>
    </x:row>
    <x:row r="5225" ht="20" customHeight="1">
      <x:c r="A5225" s="1" t="str">
        <x:v>22960</x:v>
      </x:c>
      <x:c r="B5225" s="9" t="d">
        <x:v>2011-03-20T00:00:00.000Z</x:v>
      </x:c>
      <x:c r="C5225" s="13" t="n">
        <x:v>45</x:v>
      </x:c>
    </x:row>
    <x:row r="5226" ht="20" customHeight="1">
      <x:c r="A5226" s="1" t="str">
        <x:v>22960</x:v>
      </x:c>
      <x:c r="B5226" s="9" t="d">
        <x:v>2011-03-21T00:00:00.000Z</x:v>
      </x:c>
      <x:c r="C5226" s="13" t="n">
        <x:v>38</x:v>
      </x:c>
    </x:row>
    <x:row r="5227" ht="20" customHeight="1">
      <x:c r="A5227" s="1" t="str">
        <x:v>22960</x:v>
      </x:c>
      <x:c r="B5227" s="9" t="d">
        <x:v>2011-03-22T00:00:00.000Z</x:v>
      </x:c>
      <x:c r="C5227" s="13" t="n">
        <x:v>42</x:v>
      </x:c>
    </x:row>
    <x:row r="5228" ht="20" customHeight="1">
      <x:c r="A5228" s="1" t="str">
        <x:v>22960</x:v>
      </x:c>
      <x:c r="B5228" s="9" t="d">
        <x:v>2011-03-23T00:00:00.000Z</x:v>
      </x:c>
      <x:c r="C5228" s="13" t="n">
        <x:v>32</x:v>
      </x:c>
    </x:row>
    <x:row r="5229" ht="20" customHeight="1">
      <x:c r="A5229" s="1" t="str">
        <x:v>22960</x:v>
      </x:c>
      <x:c r="B5229" s="9" t="d">
        <x:v>2011-03-24T00:00:00.000Z</x:v>
      </x:c>
      <x:c r="C5229" s="13" t="n">
        <x:v>69</x:v>
      </x:c>
    </x:row>
    <x:row r="5230" ht="20" customHeight="1">
      <x:c r="A5230" s="1" t="str">
        <x:v>22960</x:v>
      </x:c>
      <x:c r="B5230" s="9" t="d">
        <x:v>2011-03-25T00:00:00.000Z</x:v>
      </x:c>
      <x:c r="C5230" s="13" t="n">
        <x:v>7</x:v>
      </x:c>
    </x:row>
    <x:row r="5231" ht="20" customHeight="1">
      <x:c r="A5231" s="1" t="str">
        <x:v>22960</x:v>
      </x:c>
      <x:c r="B5231" s="9" t="d">
        <x:v>2011-03-26T00:00:00.000Z</x:v>
      </x:c>
      <x:c r="C5231" s="13" t="n">
        <x:v>0</x:v>
      </x:c>
    </x:row>
    <x:row r="5232" ht="20" customHeight="1">
      <x:c r="A5232" s="1" t="str">
        <x:v>22960</x:v>
      </x:c>
      <x:c r="B5232" s="9" t="d">
        <x:v>2011-03-27T00:00:00.000Z</x:v>
      </x:c>
      <x:c r="C5232" s="13" t="n">
        <x:v>17</x:v>
      </x:c>
    </x:row>
    <x:row r="5233" ht="20" customHeight="1">
      <x:c r="A5233" s="1" t="str">
        <x:v>22960</x:v>
      </x:c>
      <x:c r="B5233" s="9" t="d">
        <x:v>2011-03-28T00:00:00.000Z</x:v>
      </x:c>
      <x:c r="C5233" s="13" t="n">
        <x:v>22</x:v>
      </x:c>
    </x:row>
    <x:row r="5234" ht="20" customHeight="1">
      <x:c r="A5234" s="1" t="str">
        <x:v>22960</x:v>
      </x:c>
      <x:c r="B5234" s="9" t="d">
        <x:v>2011-03-29T00:00:00.000Z</x:v>
      </x:c>
      <x:c r="C5234" s="13" t="n">
        <x:v>33</x:v>
      </x:c>
    </x:row>
    <x:row r="5235" ht="20" customHeight="1">
      <x:c r="A5235" s="1" t="str">
        <x:v>22960</x:v>
      </x:c>
      <x:c r="B5235" s="9" t="d">
        <x:v>2011-03-30T00:00:00.000Z</x:v>
      </x:c>
      <x:c r="C5235" s="13" t="n">
        <x:v>23</x:v>
      </x:c>
    </x:row>
    <x:row r="5236" ht="20" customHeight="1">
      <x:c r="A5236" s="1" t="str">
        <x:v>22960</x:v>
      </x:c>
      <x:c r="B5236" s="9" t="d">
        <x:v>2011-03-31T00:00:00.000Z</x:v>
      </x:c>
      <x:c r="C5236" s="13" t="n">
        <x:v>38</x:v>
      </x:c>
    </x:row>
    <x:row r="5237" ht="20" customHeight="1">
      <x:c r="A5237" s="1" t="str">
        <x:v>22960</x:v>
      </x:c>
      <x:c r="B5237" s="9" t="d">
        <x:v>2011-04-01T00:00:00.000Z</x:v>
      </x:c>
      <x:c r="C5237" s="13" t="n">
        <x:v>6</x:v>
      </x:c>
    </x:row>
    <x:row r="5238" ht="20" customHeight="1">
      <x:c r="A5238" s="1" t="str">
        <x:v>22960</x:v>
      </x:c>
      <x:c r="B5238" s="9" t="d">
        <x:v>2011-04-02T00:00:00.000Z</x:v>
      </x:c>
      <x:c r="C5238" s="13" t="n">
        <x:v>0</x:v>
      </x:c>
    </x:row>
    <x:row r="5239" ht="20" customHeight="1">
      <x:c r="A5239" s="1" t="str">
        <x:v>22960</x:v>
      </x:c>
      <x:c r="B5239" s="9" t="d">
        <x:v>2011-04-03T00:00:00.000Z</x:v>
      </x:c>
      <x:c r="C5239" s="13" t="n">
        <x:v>8</x:v>
      </x:c>
    </x:row>
    <x:row r="5240" ht="20" customHeight="1">
      <x:c r="A5240" s="1" t="str">
        <x:v>22960</x:v>
      </x:c>
      <x:c r="B5240" s="9" t="d">
        <x:v>2011-04-04T00:00:00.000Z</x:v>
      </x:c>
      <x:c r="C5240" s="13" t="n">
        <x:v>39</x:v>
      </x:c>
    </x:row>
    <x:row r="5241" ht="20" customHeight="1">
      <x:c r="A5241" s="1" t="str">
        <x:v>22960</x:v>
      </x:c>
      <x:c r="B5241" s="9" t="d">
        <x:v>2011-04-05T00:00:00.000Z</x:v>
      </x:c>
      <x:c r="C5241" s="13" t="n">
        <x:v>7</x:v>
      </x:c>
    </x:row>
    <x:row r="5242" ht="20" customHeight="1">
      <x:c r="A5242" s="1" t="str">
        <x:v>22960</x:v>
      </x:c>
      <x:c r="B5242" s="9" t="d">
        <x:v>2011-04-06T00:00:00.000Z</x:v>
      </x:c>
      <x:c r="C5242" s="13" t="n">
        <x:v>2</x:v>
      </x:c>
    </x:row>
    <x:row r="5243" ht="20" customHeight="1">
      <x:c r="A5243" s="1" t="str">
        <x:v>22960</x:v>
      </x:c>
      <x:c r="B5243" s="9" t="d">
        <x:v>2011-04-07T00:00:00.000Z</x:v>
      </x:c>
      <x:c r="C5243" s="13" t="n">
        <x:v>7</x:v>
      </x:c>
    </x:row>
    <x:row r="5244" ht="20" customHeight="1">
      <x:c r="A5244" s="1" t="str">
        <x:v>22960</x:v>
      </x:c>
      <x:c r="B5244" s="9" t="d">
        <x:v>2011-04-08T00:00:00.000Z</x:v>
      </x:c>
      <x:c r="C5244" s="13" t="n">
        <x:v>31</x:v>
      </x:c>
    </x:row>
    <x:row r="5245" ht="20" customHeight="1">
      <x:c r="A5245" s="1" t="str">
        <x:v>22960</x:v>
      </x:c>
      <x:c r="B5245" s="9" t="d">
        <x:v>2011-04-09T00:00:00.000Z</x:v>
      </x:c>
      <x:c r="C5245" s="13" t="n">
        <x:v>0</x:v>
      </x:c>
    </x:row>
    <x:row r="5246" ht="20" customHeight="1">
      <x:c r="A5246" s="1" t="str">
        <x:v>22960</x:v>
      </x:c>
      <x:c r="B5246" s="9" t="d">
        <x:v>2011-04-10T00:00:00.000Z</x:v>
      </x:c>
      <x:c r="C5246" s="13" t="n">
        <x:v>1</x:v>
      </x:c>
    </x:row>
    <x:row r="5247" ht="20" customHeight="1">
      <x:c r="A5247" s="1" t="str">
        <x:v>22960</x:v>
      </x:c>
      <x:c r="B5247" s="9" t="d">
        <x:v>2011-04-11T00:00:00.000Z</x:v>
      </x:c>
      <x:c r="C5247" s="13" t="n">
        <x:v>20</x:v>
      </x:c>
    </x:row>
    <x:row r="5248" ht="20" customHeight="1">
      <x:c r="A5248" s="1" t="str">
        <x:v>22960</x:v>
      </x:c>
      <x:c r="B5248" s="9" t="d">
        <x:v>2011-04-12T00:00:00.000Z</x:v>
      </x:c>
      <x:c r="C5248" s="13" t="n">
        <x:v>24</x:v>
      </x:c>
    </x:row>
    <x:row r="5249" ht="20" customHeight="1">
      <x:c r="A5249" s="1" t="str">
        <x:v>22960</x:v>
      </x:c>
      <x:c r="B5249" s="9" t="d">
        <x:v>2011-04-13T00:00:00.000Z</x:v>
      </x:c>
      <x:c r="C5249" s="13" t="n">
        <x:v>102</x:v>
      </x:c>
    </x:row>
    <x:row r="5250" ht="20" customHeight="1">
      <x:c r="A5250" s="1" t="str">
        <x:v>22960</x:v>
      </x:c>
      <x:c r="B5250" s="9" t="d">
        <x:v>2011-04-14T00:00:00.000Z</x:v>
      </x:c>
      <x:c r="C5250" s="13" t="n">
        <x:v>50</x:v>
      </x:c>
    </x:row>
    <x:row r="5251" ht="20" customHeight="1">
      <x:c r="A5251" s="1" t="str">
        <x:v>22960</x:v>
      </x:c>
      <x:c r="B5251" s="9" t="d">
        <x:v>2011-04-15T00:00:00.000Z</x:v>
      </x:c>
      <x:c r="C5251" s="13" t="n">
        <x:v>67</x:v>
      </x:c>
    </x:row>
    <x:row r="5252" ht="20" customHeight="1">
      <x:c r="A5252" s="1" t="str">
        <x:v>22960</x:v>
      </x:c>
      <x:c r="B5252" s="9" t="d">
        <x:v>2011-04-16T00:00:00.000Z</x:v>
      </x:c>
      <x:c r="C5252" s="13" t="n">
        <x:v>0</x:v>
      </x:c>
    </x:row>
    <x:row r="5253" ht="20" customHeight="1">
      <x:c r="A5253" s="1" t="str">
        <x:v>22960</x:v>
      </x:c>
      <x:c r="B5253" s="9" t="d">
        <x:v>2011-04-17T00:00:00.000Z</x:v>
      </x:c>
      <x:c r="C5253" s="13" t="n">
        <x:v>25</x:v>
      </x:c>
    </x:row>
    <x:row r="5254" ht="20" customHeight="1">
      <x:c r="A5254" s="1" t="str">
        <x:v>22960</x:v>
      </x:c>
      <x:c r="B5254" s="9" t="d">
        <x:v>2011-04-18T00:00:00.000Z</x:v>
      </x:c>
      <x:c r="C5254" s="13" t="n">
        <x:v>29</x:v>
      </x:c>
    </x:row>
    <x:row r="5255" ht="20" customHeight="1">
      <x:c r="A5255" s="1" t="str">
        <x:v>22960</x:v>
      </x:c>
      <x:c r="B5255" s="9" t="d">
        <x:v>2011-04-19T00:00:00.000Z</x:v>
      </x:c>
      <x:c r="C5255" s="13" t="n">
        <x:v>25</x:v>
      </x:c>
    </x:row>
    <x:row r="5256" ht="20" customHeight="1">
      <x:c r="A5256" s="1" t="str">
        <x:v>22960</x:v>
      </x:c>
      <x:c r="B5256" s="9" t="d">
        <x:v>2011-04-20T00:00:00.000Z</x:v>
      </x:c>
      <x:c r="C5256" s="13" t="n">
        <x:v>6</x:v>
      </x:c>
    </x:row>
    <x:row r="5257" ht="20" customHeight="1">
      <x:c r="A5257" s="1" t="str">
        <x:v>22960</x:v>
      </x:c>
      <x:c r="B5257" s="9" t="d">
        <x:v>2011-04-21T00:00:00.000Z</x:v>
      </x:c>
      <x:c r="C5257" s="13" t="n">
        <x:v>19</x:v>
      </x:c>
    </x:row>
    <x:row r="5258" ht="20" customHeight="1">
      <x:c r="A5258" s="1" t="str">
        <x:v>22960</x:v>
      </x:c>
      <x:c r="B5258" s="9" t="d">
        <x:v>2011-04-22T00:00:00.000Z</x:v>
      </x:c>
      <x:c r="C5258" s="13" t="n">
        <x:v>0</x:v>
      </x:c>
    </x:row>
    <x:row r="5259" ht="20" customHeight="1">
      <x:c r="A5259" s="1" t="str">
        <x:v>22960</x:v>
      </x:c>
      <x:c r="B5259" s="9" t="d">
        <x:v>2011-04-23T00:00:00.000Z</x:v>
      </x:c>
      <x:c r="C5259" s="13" t="n">
        <x:v>0</x:v>
      </x:c>
    </x:row>
    <x:row r="5260" ht="20" customHeight="1">
      <x:c r="A5260" s="1" t="str">
        <x:v>22960</x:v>
      </x:c>
      <x:c r="B5260" s="9" t="d">
        <x:v>2011-04-24T00:00:00.000Z</x:v>
      </x:c>
      <x:c r="C5260" s="13" t="n">
        <x:v>0</x:v>
      </x:c>
    </x:row>
    <x:row r="5261" ht="20" customHeight="1">
      <x:c r="A5261" s="1" t="str">
        <x:v>22960</x:v>
      </x:c>
      <x:c r="B5261" s="9" t="d">
        <x:v>2011-04-25T00:00:00.000Z</x:v>
      </x:c>
      <x:c r="C5261" s="13" t="n">
        <x:v>0</x:v>
      </x:c>
    </x:row>
    <x:row r="5262" ht="20" customHeight="1">
      <x:c r="A5262" s="1" t="str">
        <x:v>22960</x:v>
      </x:c>
      <x:c r="B5262" s="9" t="d">
        <x:v>2011-04-26T00:00:00.000Z</x:v>
      </x:c>
      <x:c r="C5262" s="13" t="n">
        <x:v>21</x:v>
      </x:c>
    </x:row>
    <x:row r="5263" ht="20" customHeight="1">
      <x:c r="A5263" s="1" t="str">
        <x:v>22960</x:v>
      </x:c>
      <x:c r="B5263" s="9" t="d">
        <x:v>2011-04-27T00:00:00.000Z</x:v>
      </x:c>
      <x:c r="C5263" s="13" t="n">
        <x:v>6</x:v>
      </x:c>
    </x:row>
    <x:row r="5264" ht="20" customHeight="1">
      <x:c r="A5264" s="1" t="str">
        <x:v>22960</x:v>
      </x:c>
      <x:c r="B5264" s="9" t="d">
        <x:v>2011-04-28T00:00:00.000Z</x:v>
      </x:c>
      <x:c r="C5264" s="13" t="n">
        <x:v>18</x:v>
      </x:c>
    </x:row>
    <x:row r="5265" ht="20" customHeight="1">
      <x:c r="A5265" s="1" t="str">
        <x:v>22960</x:v>
      </x:c>
      <x:c r="B5265" s="9" t="d">
        <x:v>2011-04-29T00:00:00.000Z</x:v>
      </x:c>
      <x:c r="C5265" s="13" t="n">
        <x:v>0</x:v>
      </x:c>
    </x:row>
    <x:row r="5266" ht="20" customHeight="1">
      <x:c r="A5266" s="1" t="str">
        <x:v>22960</x:v>
      </x:c>
      <x:c r="B5266" s="9" t="d">
        <x:v>2011-04-30T00:00:00.000Z</x:v>
      </x:c>
      <x:c r="C5266" s="13" t="n">
        <x:v>0</x:v>
      </x:c>
    </x:row>
    <x:row r="5267" ht="20" customHeight="1">
      <x:c r="A5267" s="1" t="str">
        <x:v>22960</x:v>
      </x:c>
      <x:c r="B5267" s="9" t="d">
        <x:v>2011-05-01T00:00:00.000Z</x:v>
      </x:c>
      <x:c r="C5267" s="13" t="n">
        <x:v>0</x:v>
      </x:c>
    </x:row>
    <x:row r="5268" ht="20" customHeight="1">
      <x:c r="A5268" s="1" t="str">
        <x:v>22960</x:v>
      </x:c>
      <x:c r="B5268" s="9" t="d">
        <x:v>2011-05-02T00:00:00.000Z</x:v>
      </x:c>
      <x:c r="C5268" s="13" t="n">
        <x:v>0</x:v>
      </x:c>
    </x:row>
    <x:row r="5269" ht="20" customHeight="1">
      <x:c r="A5269" s="1" t="str">
        <x:v>22960</x:v>
      </x:c>
      <x:c r="B5269" s="9" t="d">
        <x:v>2011-05-03T00:00:00.000Z</x:v>
      </x:c>
      <x:c r="C5269" s="13" t="n">
        <x:v>12</x:v>
      </x:c>
    </x:row>
    <x:row r="5270" ht="20" customHeight="1">
      <x:c r="A5270" s="1" t="str">
        <x:v>22960</x:v>
      </x:c>
      <x:c r="B5270" s="9" t="d">
        <x:v>2011-05-04T00:00:00.000Z</x:v>
      </x:c>
      <x:c r="C5270" s="13" t="n">
        <x:v>24</x:v>
      </x:c>
    </x:row>
    <x:row r="5271" ht="20" customHeight="1">
      <x:c r="A5271" s="1" t="str">
        <x:v>22960</x:v>
      </x:c>
      <x:c r="B5271" s="9" t="d">
        <x:v>2011-05-05T00:00:00.000Z</x:v>
      </x:c>
      <x:c r="C5271" s="13" t="n">
        <x:v>30</x:v>
      </x:c>
    </x:row>
    <x:row r="5272" ht="20" customHeight="1">
      <x:c r="A5272" s="1" t="str">
        <x:v>22960</x:v>
      </x:c>
      <x:c r="B5272" s="9" t="d">
        <x:v>2011-05-06T00:00:00.000Z</x:v>
      </x:c>
      <x:c r="C5272" s="13" t="n">
        <x:v>21</x:v>
      </x:c>
    </x:row>
    <x:row r="5273" ht="20" customHeight="1">
      <x:c r="A5273" s="1" t="str">
        <x:v>22960</x:v>
      </x:c>
      <x:c r="B5273" s="9" t="d">
        <x:v>2011-05-07T00:00:00.000Z</x:v>
      </x:c>
      <x:c r="C5273" s="13" t="n">
        <x:v>0</x:v>
      </x:c>
    </x:row>
    <x:row r="5274" ht="20" customHeight="1">
      <x:c r="A5274" s="1" t="str">
        <x:v>22960</x:v>
      </x:c>
      <x:c r="B5274" s="9" t="d">
        <x:v>2011-05-08T00:00:00.000Z</x:v>
      </x:c>
      <x:c r="C5274" s="13" t="n">
        <x:v>2</x:v>
      </x:c>
    </x:row>
    <x:row r="5275" ht="20" customHeight="1">
      <x:c r="A5275" s="1" t="str">
        <x:v>22960</x:v>
      </x:c>
      <x:c r="B5275" s="9" t="d">
        <x:v>2011-05-09T00:00:00.000Z</x:v>
      </x:c>
      <x:c r="C5275" s="13" t="n">
        <x:v>5</x:v>
      </x:c>
    </x:row>
    <x:row r="5276" ht="20" customHeight="1">
      <x:c r="A5276" s="1" t="str">
        <x:v>22960</x:v>
      </x:c>
      <x:c r="B5276" s="9" t="d">
        <x:v>2011-05-10T00:00:00.000Z</x:v>
      </x:c>
      <x:c r="C5276" s="13" t="n">
        <x:v>20</x:v>
      </x:c>
    </x:row>
    <x:row r="5277" ht="20" customHeight="1">
      <x:c r="A5277" s="1" t="str">
        <x:v>22960</x:v>
      </x:c>
      <x:c r="B5277" s="9" t="d">
        <x:v>2011-05-11T00:00:00.000Z</x:v>
      </x:c>
      <x:c r="C5277" s="13" t="n">
        <x:v>8</x:v>
      </x:c>
    </x:row>
    <x:row r="5278" ht="20" customHeight="1">
      <x:c r="A5278" s="1" t="str">
        <x:v>22960</x:v>
      </x:c>
      <x:c r="B5278" s="9" t="d">
        <x:v>2011-05-12T00:00:00.000Z</x:v>
      </x:c>
      <x:c r="C5278" s="13" t="n">
        <x:v>53</x:v>
      </x:c>
    </x:row>
    <x:row r="5279" ht="20" customHeight="1">
      <x:c r="A5279" s="1" t="str">
        <x:v>22960</x:v>
      </x:c>
      <x:c r="B5279" s="9" t="d">
        <x:v>2011-05-13T00:00:00.000Z</x:v>
      </x:c>
      <x:c r="C5279" s="13" t="n">
        <x:v>14</x:v>
      </x:c>
    </x:row>
    <x:row r="5280" ht="20" customHeight="1">
      <x:c r="A5280" s="1" t="str">
        <x:v>22960</x:v>
      </x:c>
      <x:c r="B5280" s="9" t="d">
        <x:v>2011-05-14T00:00:00.000Z</x:v>
      </x:c>
      <x:c r="C5280" s="13" t="n">
        <x:v>0</x:v>
      </x:c>
    </x:row>
    <x:row r="5281" ht="20" customHeight="1">
      <x:c r="A5281" s="1" t="str">
        <x:v>22960</x:v>
      </x:c>
      <x:c r="B5281" s="9" t="d">
        <x:v>2011-05-15T00:00:00.000Z</x:v>
      </x:c>
      <x:c r="C5281" s="13" t="n">
        <x:v>1</x:v>
      </x:c>
    </x:row>
    <x:row r="5282" ht="20" customHeight="1">
      <x:c r="A5282" s="1" t="str">
        <x:v>22960</x:v>
      </x:c>
      <x:c r="B5282" s="9" t="d">
        <x:v>2011-05-16T00:00:00.000Z</x:v>
      </x:c>
      <x:c r="C5282" s="13" t="n">
        <x:v>34</x:v>
      </x:c>
    </x:row>
    <x:row r="5283" ht="20" customHeight="1">
      <x:c r="A5283" s="1" t="str">
        <x:v>22960</x:v>
      </x:c>
      <x:c r="B5283" s="9" t="d">
        <x:v>2011-05-17T00:00:00.000Z</x:v>
      </x:c>
      <x:c r="C5283" s="13" t="n">
        <x:v>48</x:v>
      </x:c>
    </x:row>
    <x:row r="5284" ht="20" customHeight="1">
      <x:c r="A5284" s="1" t="str">
        <x:v>22960</x:v>
      </x:c>
      <x:c r="B5284" s="9" t="d">
        <x:v>2011-05-18T00:00:00.000Z</x:v>
      </x:c>
      <x:c r="C5284" s="13" t="n">
        <x:v>102</x:v>
      </x:c>
    </x:row>
    <x:row r="5285" ht="20" customHeight="1">
      <x:c r="A5285" s="1" t="str">
        <x:v>22960</x:v>
      </x:c>
      <x:c r="B5285" s="9" t="d">
        <x:v>2011-05-19T00:00:00.000Z</x:v>
      </x:c>
      <x:c r="C5285" s="13" t="n">
        <x:v>54</x:v>
      </x:c>
    </x:row>
    <x:row r="5286" ht="20" customHeight="1">
      <x:c r="A5286" s="1" t="str">
        <x:v>22960</x:v>
      </x:c>
      <x:c r="B5286" s="9" t="d">
        <x:v>2011-05-20T00:00:00.000Z</x:v>
      </x:c>
      <x:c r="C5286" s="13" t="n">
        <x:v>6</x:v>
      </x:c>
    </x:row>
    <x:row r="5287" ht="20" customHeight="1">
      <x:c r="A5287" s="1" t="str">
        <x:v>22960</x:v>
      </x:c>
      <x:c r="B5287" s="9" t="d">
        <x:v>2011-05-21T00:00:00.000Z</x:v>
      </x:c>
      <x:c r="C5287" s="13" t="n">
        <x:v>0</x:v>
      </x:c>
    </x:row>
    <x:row r="5288" ht="20" customHeight="1">
      <x:c r="A5288" s="1" t="str">
        <x:v>22960</x:v>
      </x:c>
      <x:c r="B5288" s="9" t="d">
        <x:v>2011-05-22T00:00:00.000Z</x:v>
      </x:c>
      <x:c r="C5288" s="13" t="n">
        <x:v>12</x:v>
      </x:c>
    </x:row>
    <x:row r="5289" ht="20" customHeight="1">
      <x:c r="A5289" s="1" t="str">
        <x:v>22960</x:v>
      </x:c>
      <x:c r="B5289" s="9" t="d">
        <x:v>2011-05-23T00:00:00.000Z</x:v>
      </x:c>
      <x:c r="C5289" s="13" t="n">
        <x:v>1</x:v>
      </x:c>
    </x:row>
    <x:row r="5290" ht="20" customHeight="1">
      <x:c r="A5290" s="1" t="str">
        <x:v>22960</x:v>
      </x:c>
      <x:c r="B5290" s="9" t="d">
        <x:v>2011-05-24T00:00:00.000Z</x:v>
      </x:c>
      <x:c r="C5290" s="13" t="n">
        <x:v>15</x:v>
      </x:c>
    </x:row>
    <x:row r="5291" ht="20" customHeight="1">
      <x:c r="A5291" s="1" t="str">
        <x:v>22960</x:v>
      </x:c>
      <x:c r="B5291" s="9" t="d">
        <x:v>2011-05-25T00:00:00.000Z</x:v>
      </x:c>
      <x:c r="C5291" s="13" t="n">
        <x:v>6</x:v>
      </x:c>
    </x:row>
    <x:row r="5292" ht="20" customHeight="1">
      <x:c r="A5292" s="1" t="str">
        <x:v>22960</x:v>
      </x:c>
      <x:c r="B5292" s="9" t="d">
        <x:v>2011-05-26T00:00:00.000Z</x:v>
      </x:c>
      <x:c r="C5292" s="13" t="n">
        <x:v>12</x:v>
      </x:c>
    </x:row>
    <x:row r="5293" ht="20" customHeight="1">
      <x:c r="A5293" s="1" t="str">
        <x:v>22960</x:v>
      </x:c>
      <x:c r="B5293" s="9" t="d">
        <x:v>2011-05-27T00:00:00.000Z</x:v>
      </x:c>
      <x:c r="C5293" s="13" t="n">
        <x:v>7</x:v>
      </x:c>
    </x:row>
    <x:row r="5294" ht="20" customHeight="1">
      <x:c r="A5294" s="1" t="str">
        <x:v>22960</x:v>
      </x:c>
      <x:c r="B5294" s="9" t="d">
        <x:v>2011-05-28T00:00:00.000Z</x:v>
      </x:c>
      <x:c r="C5294" s="13" t="n">
        <x:v>0</x:v>
      </x:c>
    </x:row>
    <x:row r="5295" ht="20" customHeight="1">
      <x:c r="A5295" s="1" t="str">
        <x:v>22960</x:v>
      </x:c>
      <x:c r="B5295" s="9" t="d">
        <x:v>2011-05-29T00:00:00.000Z</x:v>
      </x:c>
      <x:c r="C5295" s="13" t="n">
        <x:v>7</x:v>
      </x:c>
    </x:row>
    <x:row r="5296" ht="20" customHeight="1">
      <x:c r="A5296" s="1" t="str">
        <x:v>22960</x:v>
      </x:c>
      <x:c r="B5296" s="9" t="d">
        <x:v>2011-05-30T00:00:00.000Z</x:v>
      </x:c>
      <x:c r="C5296" s="13" t="n">
        <x:v>0</x:v>
      </x:c>
    </x:row>
    <x:row r="5297" ht="20" customHeight="1">
      <x:c r="A5297" s="1" t="str">
        <x:v>22960</x:v>
      </x:c>
      <x:c r="B5297" s="9" t="d">
        <x:v>2011-05-31T00:00:00.000Z</x:v>
      </x:c>
      <x:c r="C5297" s="13" t="n">
        <x:v>7</x:v>
      </x:c>
    </x:row>
    <x:row r="5298" ht="20" customHeight="1">
      <x:c r="A5298" s="1" t="str">
        <x:v>22960</x:v>
      </x:c>
      <x:c r="B5298" s="9" t="d">
        <x:v>2011-06-01T00:00:00.000Z</x:v>
      </x:c>
      <x:c r="C5298" s="13" t="n">
        <x:v>14</x:v>
      </x:c>
    </x:row>
    <x:row r="5299" ht="20" customHeight="1">
      <x:c r="A5299" s="1" t="str">
        <x:v>22960</x:v>
      </x:c>
      <x:c r="B5299" s="9" t="d">
        <x:v>2011-06-02T00:00:00.000Z</x:v>
      </x:c>
      <x:c r="C5299" s="13" t="n">
        <x:v>30</x:v>
      </x:c>
    </x:row>
    <x:row r="5300" ht="20" customHeight="1">
      <x:c r="A5300" s="1" t="str">
        <x:v>22960</x:v>
      </x:c>
      <x:c r="B5300" s="9" t="d">
        <x:v>2011-06-03T00:00:00.000Z</x:v>
      </x:c>
      <x:c r="C5300" s="13" t="n">
        <x:v>8</x:v>
      </x:c>
    </x:row>
    <x:row r="5301" ht="20" customHeight="1">
      <x:c r="A5301" s="1" t="str">
        <x:v>22960</x:v>
      </x:c>
      <x:c r="B5301" s="9" t="d">
        <x:v>2011-06-04T00:00:00.000Z</x:v>
      </x:c>
      <x:c r="C5301" s="13" t="n">
        <x:v>0</x:v>
      </x:c>
    </x:row>
    <x:row r="5302" ht="20" customHeight="1">
      <x:c r="A5302" s="1" t="str">
        <x:v>22960</x:v>
      </x:c>
      <x:c r="B5302" s="9" t="d">
        <x:v>2011-06-05T00:00:00.000Z</x:v>
      </x:c>
      <x:c r="C5302" s="13" t="n">
        <x:v>13</x:v>
      </x:c>
    </x:row>
    <x:row r="5303" ht="20" customHeight="1">
      <x:c r="A5303" s="1" t="str">
        <x:v>22960</x:v>
      </x:c>
      <x:c r="B5303" s="9" t="d">
        <x:v>2011-06-06T00:00:00.000Z</x:v>
      </x:c>
      <x:c r="C5303" s="13" t="n">
        <x:v>18</x:v>
      </x:c>
    </x:row>
    <x:row r="5304" ht="20" customHeight="1">
      <x:c r="A5304" s="1" t="str">
        <x:v>22960</x:v>
      </x:c>
      <x:c r="B5304" s="9" t="d">
        <x:v>2011-06-07T00:00:00.000Z</x:v>
      </x:c>
      <x:c r="C5304" s="13" t="n">
        <x:v>5</x:v>
      </x:c>
    </x:row>
    <x:row r="5305" ht="20" customHeight="1">
      <x:c r="A5305" s="1" t="str">
        <x:v>22960</x:v>
      </x:c>
      <x:c r="B5305" s="9" t="d">
        <x:v>2011-06-08T00:00:00.000Z</x:v>
      </x:c>
      <x:c r="C5305" s="13" t="n">
        <x:v>54</x:v>
      </x:c>
    </x:row>
    <x:row r="5306" ht="20" customHeight="1">
      <x:c r="A5306" s="1" t="str">
        <x:v>22960</x:v>
      </x:c>
      <x:c r="B5306" s="9" t="d">
        <x:v>2011-06-09T00:00:00.000Z</x:v>
      </x:c>
      <x:c r="C5306" s="13" t="n">
        <x:v>20</x:v>
      </x:c>
    </x:row>
    <x:row r="5307" ht="20" customHeight="1">
      <x:c r="A5307" s="1" t="str">
        <x:v>22960</x:v>
      </x:c>
      <x:c r="B5307" s="9" t="d">
        <x:v>2011-06-10T00:00:00.000Z</x:v>
      </x:c>
      <x:c r="C5307" s="13" t="n">
        <x:v>21</x:v>
      </x:c>
    </x:row>
    <x:row r="5308" ht="20" customHeight="1">
      <x:c r="A5308" s="1" t="str">
        <x:v>22960</x:v>
      </x:c>
      <x:c r="B5308" s="9" t="d">
        <x:v>2011-06-11T00:00:00.000Z</x:v>
      </x:c>
      <x:c r="C5308" s="13" t="n">
        <x:v>0</x:v>
      </x:c>
    </x:row>
    <x:row r="5309" ht="20" customHeight="1">
      <x:c r="A5309" s="1" t="str">
        <x:v>22960</x:v>
      </x:c>
      <x:c r="B5309" s="9" t="d">
        <x:v>2011-06-12T00:00:00.000Z</x:v>
      </x:c>
      <x:c r="C5309" s="13" t="n">
        <x:v>4</x:v>
      </x:c>
    </x:row>
    <x:row r="5310" ht="20" customHeight="1">
      <x:c r="A5310" s="1" t="str">
        <x:v>22960</x:v>
      </x:c>
      <x:c r="B5310" s="9" t="d">
        <x:v>2011-06-13T00:00:00.000Z</x:v>
      </x:c>
      <x:c r="C5310" s="13" t="n">
        <x:v>25</x:v>
      </x:c>
    </x:row>
    <x:row r="5311" ht="20" customHeight="1">
      <x:c r="A5311" s="1" t="str">
        <x:v>22960</x:v>
      </x:c>
      <x:c r="B5311" s="9" t="d">
        <x:v>2011-06-14T00:00:00.000Z</x:v>
      </x:c>
      <x:c r="C5311" s="13" t="n">
        <x:v>4</x:v>
      </x:c>
    </x:row>
    <x:row r="5312" ht="20" customHeight="1">
      <x:c r="A5312" s="1" t="str">
        <x:v>22960</x:v>
      </x:c>
      <x:c r="B5312" s="9" t="d">
        <x:v>2011-06-15T00:00:00.000Z</x:v>
      </x:c>
      <x:c r="C5312" s="13" t="n">
        <x:v>43</x:v>
      </x:c>
    </x:row>
    <x:row r="5313" ht="20" customHeight="1">
      <x:c r="A5313" s="1" t="str">
        <x:v>22960</x:v>
      </x:c>
      <x:c r="B5313" s="9" t="d">
        <x:v>2011-06-16T00:00:00.000Z</x:v>
      </x:c>
      <x:c r="C5313" s="13" t="n">
        <x:v>25</x:v>
      </x:c>
    </x:row>
    <x:row r="5314" ht="20" customHeight="1">
      <x:c r="A5314" s="1" t="str">
        <x:v>22960</x:v>
      </x:c>
      <x:c r="B5314" s="9" t="d">
        <x:v>2011-06-17T00:00:00.000Z</x:v>
      </x:c>
      <x:c r="C5314" s="13" t="n">
        <x:v>12</x:v>
      </x:c>
    </x:row>
    <x:row r="5315" ht="20" customHeight="1">
      <x:c r="A5315" s="1" t="str">
        <x:v>22960</x:v>
      </x:c>
      <x:c r="B5315" s="9" t="d">
        <x:v>2011-06-18T00:00:00.000Z</x:v>
      </x:c>
      <x:c r="C5315" s="13" t="n">
        <x:v>0</x:v>
      </x:c>
    </x:row>
    <x:row r="5316" ht="20" customHeight="1">
      <x:c r="A5316" s="1" t="str">
        <x:v>22960</x:v>
      </x:c>
      <x:c r="B5316" s="9" t="d">
        <x:v>2011-06-19T00:00:00.000Z</x:v>
      </x:c>
      <x:c r="C5316" s="13" t="n">
        <x:v>24</x:v>
      </x:c>
    </x:row>
    <x:row r="5317" ht="20" customHeight="1">
      <x:c r="A5317" s="1" t="str">
        <x:v>22960</x:v>
      </x:c>
      <x:c r="B5317" s="9" t="d">
        <x:v>2011-06-20T00:00:00.000Z</x:v>
      </x:c>
      <x:c r="C5317" s="13" t="n">
        <x:v>21</x:v>
      </x:c>
    </x:row>
    <x:row r="5318" ht="20" customHeight="1">
      <x:c r="A5318" s="1" t="str">
        <x:v>22960</x:v>
      </x:c>
      <x:c r="B5318" s="9" t="d">
        <x:v>2011-06-21T00:00:00.000Z</x:v>
      </x:c>
      <x:c r="C5318" s="13" t="n">
        <x:v>17</x:v>
      </x:c>
    </x:row>
    <x:row r="5319" ht="20" customHeight="1">
      <x:c r="A5319" s="1" t="str">
        <x:v>22960</x:v>
      </x:c>
      <x:c r="B5319" s="9" t="d">
        <x:v>2011-06-22T00:00:00.000Z</x:v>
      </x:c>
      <x:c r="C5319" s="13" t="n">
        <x:v>12</x:v>
      </x:c>
    </x:row>
    <x:row r="5320" ht="20" customHeight="1">
      <x:c r="A5320" s="1" t="str">
        <x:v>22960</x:v>
      </x:c>
      <x:c r="B5320" s="9" t="d">
        <x:v>2011-06-23T00:00:00.000Z</x:v>
      </x:c>
      <x:c r="C5320" s="13" t="n">
        <x:v>21</x:v>
      </x:c>
    </x:row>
    <x:row r="5321" ht="20" customHeight="1">
      <x:c r="A5321" s="1" t="str">
        <x:v>22960</x:v>
      </x:c>
      <x:c r="B5321" s="9" t="d">
        <x:v>2011-06-24T00:00:00.000Z</x:v>
      </x:c>
      <x:c r="C5321" s="13" t="n">
        <x:v>10</x:v>
      </x:c>
    </x:row>
    <x:row r="5322" ht="20" customHeight="1">
      <x:c r="A5322" s="1" t="str">
        <x:v>22960</x:v>
      </x:c>
      <x:c r="B5322" s="9" t="d">
        <x:v>2011-06-25T00:00:00.000Z</x:v>
      </x:c>
      <x:c r="C5322" s="13" t="n">
        <x:v>0</x:v>
      </x:c>
    </x:row>
    <x:row r="5323" ht="20" customHeight="1">
      <x:c r="A5323" s="1" t="str">
        <x:v>22960</x:v>
      </x:c>
      <x:c r="B5323" s="9" t="d">
        <x:v>2011-06-26T00:00:00.000Z</x:v>
      </x:c>
      <x:c r="C5323" s="13" t="n">
        <x:v>5</x:v>
      </x:c>
    </x:row>
    <x:row r="5324" ht="20" customHeight="1">
      <x:c r="A5324" s="1" t="str">
        <x:v>22960</x:v>
      </x:c>
      <x:c r="B5324" s="9" t="d">
        <x:v>2011-06-27T00:00:00.000Z</x:v>
      </x:c>
      <x:c r="C5324" s="13" t="n">
        <x:v>3</x:v>
      </x:c>
    </x:row>
    <x:row r="5325" ht="20" customHeight="1">
      <x:c r="A5325" s="1" t="str">
        <x:v>22960</x:v>
      </x:c>
      <x:c r="B5325" s="9" t="d">
        <x:v>2011-06-28T00:00:00.000Z</x:v>
      </x:c>
      <x:c r="C5325" s="13" t="n">
        <x:v>18</x:v>
      </x:c>
    </x:row>
    <x:row r="5326" ht="20" customHeight="1">
      <x:c r="A5326" s="1" t="str">
        <x:v>22960</x:v>
      </x:c>
      <x:c r="B5326" s="9" t="d">
        <x:v>2011-06-29T00:00:00.000Z</x:v>
      </x:c>
      <x:c r="C5326" s="13" t="n">
        <x:v>23</x:v>
      </x:c>
    </x:row>
    <x:row r="5327" ht="20" customHeight="1">
      <x:c r="A5327" s="1" t="str">
        <x:v>22960</x:v>
      </x:c>
      <x:c r="B5327" s="9" t="d">
        <x:v>2011-06-30T00:00:00.000Z</x:v>
      </x:c>
      <x:c r="C5327" s="13" t="n">
        <x:v>24</x:v>
      </x:c>
    </x:row>
    <x:row r="5328" ht="20" customHeight="1">
      <x:c r="A5328" s="1" t="str">
        <x:v>22960</x:v>
      </x:c>
      <x:c r="B5328" s="9" t="d">
        <x:v>2011-07-01T00:00:00.000Z</x:v>
      </x:c>
      <x:c r="C5328" s="13" t="n">
        <x:v>12</x:v>
      </x:c>
    </x:row>
    <x:row r="5329" ht="20" customHeight="1">
      <x:c r="A5329" s="1" t="str">
        <x:v>22960</x:v>
      </x:c>
      <x:c r="B5329" s="9" t="d">
        <x:v>2011-07-02T00:00:00.000Z</x:v>
      </x:c>
      <x:c r="C5329" s="13" t="n">
        <x:v>0</x:v>
      </x:c>
    </x:row>
    <x:row r="5330" ht="20" customHeight="1">
      <x:c r="A5330" s="1" t="str">
        <x:v>22960</x:v>
      </x:c>
      <x:c r="B5330" s="9" t="d">
        <x:v>2011-07-03T00:00:00.000Z</x:v>
      </x:c>
      <x:c r="C5330" s="13" t="n">
        <x:v>3</x:v>
      </x:c>
    </x:row>
    <x:row r="5331" ht="20" customHeight="1">
      <x:c r="A5331" s="1" t="str">
        <x:v>22960</x:v>
      </x:c>
      <x:c r="B5331" s="9" t="d">
        <x:v>2011-07-04T00:00:00.000Z</x:v>
      </x:c>
      <x:c r="C5331" s="13" t="n">
        <x:v>16</x:v>
      </x:c>
    </x:row>
    <x:row r="5332" ht="20" customHeight="1">
      <x:c r="A5332" s="1" t="str">
        <x:v>22960</x:v>
      </x:c>
      <x:c r="B5332" s="9" t="d">
        <x:v>2011-07-05T00:00:00.000Z</x:v>
      </x:c>
      <x:c r="C5332" s="13" t="n">
        <x:v>2</x:v>
      </x:c>
    </x:row>
    <x:row r="5333" ht="20" customHeight="1">
      <x:c r="A5333" s="1" t="str">
        <x:v>22960</x:v>
      </x:c>
      <x:c r="B5333" s="9" t="d">
        <x:v>2011-07-06T00:00:00.000Z</x:v>
      </x:c>
      <x:c r="C5333" s="13" t="n">
        <x:v>0</x:v>
      </x:c>
    </x:row>
    <x:row r="5334" ht="20" customHeight="1">
      <x:c r="A5334" s="1" t="str">
        <x:v>22960</x:v>
      </x:c>
      <x:c r="B5334" s="9" t="d">
        <x:v>2011-07-07T00:00:00.000Z</x:v>
      </x:c>
      <x:c r="C5334" s="13" t="n">
        <x:v>38</x:v>
      </x:c>
    </x:row>
    <x:row r="5335" ht="20" customHeight="1">
      <x:c r="A5335" s="1" t="str">
        <x:v>22960</x:v>
      </x:c>
      <x:c r="B5335" s="9" t="d">
        <x:v>2011-07-08T00:00:00.000Z</x:v>
      </x:c>
      <x:c r="C5335" s="13" t="n">
        <x:v>7</x:v>
      </x:c>
    </x:row>
    <x:row r="5336" ht="20" customHeight="1">
      <x:c r="A5336" s="1" t="str">
        <x:v>22960</x:v>
      </x:c>
      <x:c r="B5336" s="9" t="d">
        <x:v>2011-07-09T00:00:00.000Z</x:v>
      </x:c>
      <x:c r="C5336" s="13" t="n">
        <x:v>0</x:v>
      </x:c>
    </x:row>
    <x:row r="5337" ht="20" customHeight="1">
      <x:c r="A5337" s="1" t="str">
        <x:v>22960</x:v>
      </x:c>
      <x:c r="B5337" s="9" t="d">
        <x:v>2011-07-10T00:00:00.000Z</x:v>
      </x:c>
      <x:c r="C5337" s="13" t="n">
        <x:v>3</x:v>
      </x:c>
    </x:row>
    <x:row r="5338" ht="20" customHeight="1">
      <x:c r="A5338" s="1" t="str">
        <x:v>22960</x:v>
      </x:c>
      <x:c r="B5338" s="9" t="d">
        <x:v>2011-07-11T00:00:00.000Z</x:v>
      </x:c>
      <x:c r="C5338" s="13" t="n">
        <x:v>10</x:v>
      </x:c>
    </x:row>
    <x:row r="5339" ht="20" customHeight="1">
      <x:c r="A5339" s="1" t="str">
        <x:v>22960</x:v>
      </x:c>
      <x:c r="B5339" s="9" t="d">
        <x:v>2011-07-12T00:00:00.000Z</x:v>
      </x:c>
      <x:c r="C5339" s="13" t="n">
        <x:v>8</x:v>
      </x:c>
    </x:row>
    <x:row r="5340" ht="20" customHeight="1">
      <x:c r="A5340" s="1" t="str">
        <x:v>22960</x:v>
      </x:c>
      <x:c r="B5340" s="9" t="d">
        <x:v>2011-07-13T00:00:00.000Z</x:v>
      </x:c>
      <x:c r="C5340" s="13" t="n">
        <x:v>10</x:v>
      </x:c>
    </x:row>
    <x:row r="5341" ht="20" customHeight="1">
      <x:c r="A5341" s="1" t="str">
        <x:v>22960</x:v>
      </x:c>
      <x:c r="B5341" s="9" t="d">
        <x:v>2011-07-14T00:00:00.000Z</x:v>
      </x:c>
      <x:c r="C5341" s="13" t="n">
        <x:v>37</x:v>
      </x:c>
    </x:row>
    <x:row r="5342" ht="20" customHeight="1">
      <x:c r="A5342" s="1" t="str">
        <x:v>22960</x:v>
      </x:c>
      <x:c r="B5342" s="9" t="d">
        <x:v>2011-07-15T00:00:00.000Z</x:v>
      </x:c>
      <x:c r="C5342" s="13" t="n">
        <x:v>12</x:v>
      </x:c>
    </x:row>
    <x:row r="5343" ht="20" customHeight="1">
      <x:c r="A5343" s="1" t="str">
        <x:v>22960</x:v>
      </x:c>
      <x:c r="B5343" s="9" t="d">
        <x:v>2011-07-16T00:00:00.000Z</x:v>
      </x:c>
      <x:c r="C5343" s="13" t="n">
        <x:v>0</x:v>
      </x:c>
    </x:row>
    <x:row r="5344" ht="20" customHeight="1">
      <x:c r="A5344" s="1" t="str">
        <x:v>22960</x:v>
      </x:c>
      <x:c r="B5344" s="9" t="d">
        <x:v>2011-07-17T00:00:00.000Z</x:v>
      </x:c>
      <x:c r="C5344" s="13" t="n">
        <x:v>11</x:v>
      </x:c>
    </x:row>
    <x:row r="5345" ht="20" customHeight="1">
      <x:c r="A5345" s="1" t="str">
        <x:v>22960</x:v>
      </x:c>
      <x:c r="B5345" s="9" t="d">
        <x:v>2011-07-18T00:00:00.000Z</x:v>
      </x:c>
      <x:c r="C5345" s="13" t="n">
        <x:v>25</x:v>
      </x:c>
    </x:row>
    <x:row r="5346" ht="20" customHeight="1">
      <x:c r="A5346" s="1" t="str">
        <x:v>22960</x:v>
      </x:c>
      <x:c r="B5346" s="9" t="d">
        <x:v>2011-07-19T00:00:00.000Z</x:v>
      </x:c>
      <x:c r="C5346" s="13" t="n">
        <x:v>100</x:v>
      </x:c>
    </x:row>
    <x:row r="5347" ht="20" customHeight="1">
      <x:c r="A5347" s="1" t="str">
        <x:v>22960</x:v>
      </x:c>
      <x:c r="B5347" s="9" t="d">
        <x:v>2011-07-20T00:00:00.000Z</x:v>
      </x:c>
      <x:c r="C5347" s="13" t="n">
        <x:v>0</x:v>
      </x:c>
    </x:row>
    <x:row r="5348" ht="20" customHeight="1">
      <x:c r="A5348" s="1" t="str">
        <x:v>22960</x:v>
      </x:c>
      <x:c r="B5348" s="9" t="d">
        <x:v>2011-07-21T00:00:00.000Z</x:v>
      </x:c>
      <x:c r="C5348" s="13" t="n">
        <x:v>13</x:v>
      </x:c>
    </x:row>
    <x:row r="5349" ht="20" customHeight="1">
      <x:c r="A5349" s="1" t="str">
        <x:v>22960</x:v>
      </x:c>
      <x:c r="B5349" s="9" t="d">
        <x:v>2011-07-22T00:00:00.000Z</x:v>
      </x:c>
      <x:c r="C5349" s="13" t="n">
        <x:v>78</x:v>
      </x:c>
    </x:row>
    <x:row r="5350" ht="20" customHeight="1">
      <x:c r="A5350" s="1" t="str">
        <x:v>22960</x:v>
      </x:c>
      <x:c r="B5350" s="9" t="d">
        <x:v>2011-07-23T00:00:00.000Z</x:v>
      </x:c>
      <x:c r="C5350" s="13" t="n">
        <x:v>0</x:v>
      </x:c>
    </x:row>
    <x:row r="5351" ht="20" customHeight="1">
      <x:c r="A5351" s="1" t="str">
        <x:v>22960</x:v>
      </x:c>
      <x:c r="B5351" s="9" t="d">
        <x:v>2011-07-24T00:00:00.000Z</x:v>
      </x:c>
      <x:c r="C5351" s="13" t="n">
        <x:v>48</x:v>
      </x:c>
    </x:row>
    <x:row r="5352" ht="20" customHeight="1">
      <x:c r="A5352" s="1" t="str">
        <x:v>22960</x:v>
      </x:c>
      <x:c r="B5352" s="9" t="d">
        <x:v>2011-07-25T00:00:00.000Z</x:v>
      </x:c>
      <x:c r="C5352" s="13" t="n">
        <x:v>9</x:v>
      </x:c>
    </x:row>
    <x:row r="5353" ht="20" customHeight="1">
      <x:c r="A5353" s="1" t="str">
        <x:v>22960</x:v>
      </x:c>
      <x:c r="B5353" s="9" t="d">
        <x:v>2011-07-26T00:00:00.000Z</x:v>
      </x:c>
      <x:c r="C5353" s="13" t="n">
        <x:v>12</x:v>
      </x:c>
    </x:row>
    <x:row r="5354" ht="20" customHeight="1">
      <x:c r="A5354" s="1" t="str">
        <x:v>22960</x:v>
      </x:c>
      <x:c r="B5354" s="9" t="d">
        <x:v>2011-07-27T00:00:00.000Z</x:v>
      </x:c>
      <x:c r="C5354" s="13" t="n">
        <x:v>96</x:v>
      </x:c>
    </x:row>
    <x:row r="5355" ht="20" customHeight="1">
      <x:c r="A5355" s="1" t="str">
        <x:v>22960</x:v>
      </x:c>
      <x:c r="B5355" s="9" t="d">
        <x:v>2011-07-28T00:00:00.000Z</x:v>
      </x:c>
      <x:c r="C5355" s="13" t="n">
        <x:v>90</x:v>
      </x:c>
    </x:row>
    <x:row r="5356" ht="20" customHeight="1">
      <x:c r="A5356" s="1" t="str">
        <x:v>22960</x:v>
      </x:c>
      <x:c r="B5356" s="9" t="d">
        <x:v>2011-07-29T00:00:00.000Z</x:v>
      </x:c>
      <x:c r="C5356" s="13" t="n">
        <x:v>8</x:v>
      </x:c>
    </x:row>
    <x:row r="5357" ht="20" customHeight="1">
      <x:c r="A5357" s="1" t="str">
        <x:v>22960</x:v>
      </x:c>
      <x:c r="B5357" s="9" t="d">
        <x:v>2011-07-30T00:00:00.000Z</x:v>
      </x:c>
      <x:c r="C5357" s="13" t="n">
        <x:v>0</x:v>
      </x:c>
    </x:row>
    <x:row r="5358" ht="20" customHeight="1">
      <x:c r="A5358" s="1" t="str">
        <x:v>22960</x:v>
      </x:c>
      <x:c r="B5358" s="9" t="d">
        <x:v>2011-07-31T00:00:00.000Z</x:v>
      </x:c>
      <x:c r="C5358" s="13" t="n">
        <x:v>204</x:v>
      </x:c>
    </x:row>
    <x:row r="5359" ht="20" customHeight="1">
      <x:c r="A5359" s="1" t="str">
        <x:v>22960</x:v>
      </x:c>
      <x:c r="B5359" s="9" t="d">
        <x:v>2011-08-01T00:00:00.000Z</x:v>
      </x:c>
      <x:c r="C5359" s="13" t="n">
        <x:v>1</x:v>
      </x:c>
    </x:row>
    <x:row r="5360" ht="20" customHeight="1">
      <x:c r="A5360" s="1" t="str">
        <x:v>22960</x:v>
      </x:c>
      <x:c r="B5360" s="9" t="d">
        <x:v>2011-08-02T00:00:00.000Z</x:v>
      </x:c>
      <x:c r="C5360" s="13" t="n">
        <x:v>13</x:v>
      </x:c>
    </x:row>
    <x:row r="5361" ht="20" customHeight="1">
      <x:c r="A5361" s="1" t="str">
        <x:v>22960</x:v>
      </x:c>
      <x:c r="B5361" s="9" t="d">
        <x:v>2011-08-03T00:00:00.000Z</x:v>
      </x:c>
      <x:c r="C5361" s="13" t="n">
        <x:v>30</x:v>
      </x:c>
    </x:row>
    <x:row r="5362" ht="20" customHeight="1">
      <x:c r="A5362" s="1" t="str">
        <x:v>22960</x:v>
      </x:c>
      <x:c r="B5362" s="9" t="d">
        <x:v>2011-08-04T00:00:00.000Z</x:v>
      </x:c>
      <x:c r="C5362" s="13" t="n">
        <x:v>19</x:v>
      </x:c>
    </x:row>
    <x:row r="5363" ht="20" customHeight="1">
      <x:c r="A5363" s="1" t="str">
        <x:v>22960</x:v>
      </x:c>
      <x:c r="B5363" s="9" t="d">
        <x:v>2011-08-05T00:00:00.000Z</x:v>
      </x:c>
      <x:c r="C5363" s="13" t="n">
        <x:v>12</x:v>
      </x:c>
    </x:row>
    <x:row r="5364" ht="20" customHeight="1">
      <x:c r="A5364" s="1" t="str">
        <x:v>22960</x:v>
      </x:c>
      <x:c r="B5364" s="9" t="d">
        <x:v>2011-08-06T00:00:00.000Z</x:v>
      </x:c>
      <x:c r="C5364" s="13" t="n">
        <x:v>0</x:v>
      </x:c>
    </x:row>
    <x:row r="5365" ht="20" customHeight="1">
      <x:c r="A5365" s="1" t="str">
        <x:v>22960</x:v>
      </x:c>
      <x:c r="B5365" s="9" t="d">
        <x:v>2011-08-07T00:00:00.000Z</x:v>
      </x:c>
      <x:c r="C5365" s="13" t="n">
        <x:v>0</x:v>
      </x:c>
    </x:row>
    <x:row r="5366" ht="20" customHeight="1">
      <x:c r="A5366" s="1" t="str">
        <x:v>22960</x:v>
      </x:c>
      <x:c r="B5366" s="9" t="d">
        <x:v>2011-08-08T00:00:00.000Z</x:v>
      </x:c>
      <x:c r="C5366" s="13" t="n">
        <x:v>14</x:v>
      </x:c>
    </x:row>
    <x:row r="5367" ht="20" customHeight="1">
      <x:c r="A5367" s="1" t="str">
        <x:v>22960</x:v>
      </x:c>
      <x:c r="B5367" s="9" t="d">
        <x:v>2011-08-09T00:00:00.000Z</x:v>
      </x:c>
      <x:c r="C5367" s="13" t="n">
        <x:v>25</x:v>
      </x:c>
    </x:row>
    <x:row r="5368" ht="20" customHeight="1">
      <x:c r="A5368" s="1" t="str">
        <x:v>22960</x:v>
      </x:c>
      <x:c r="B5368" s="9" t="d">
        <x:v>2011-08-10T00:00:00.000Z</x:v>
      </x:c>
      <x:c r="C5368" s="13" t="n">
        <x:v>21</x:v>
      </x:c>
    </x:row>
    <x:row r="5369" ht="20" customHeight="1">
      <x:c r="A5369" s="1" t="str">
        <x:v>22960</x:v>
      </x:c>
      <x:c r="B5369" s="9" t="d">
        <x:v>2011-08-11T00:00:00.000Z</x:v>
      </x:c>
      <x:c r="C5369" s="13" t="n">
        <x:v>10</x:v>
      </x:c>
    </x:row>
    <x:row r="5370" ht="20" customHeight="1">
      <x:c r="A5370" s="1" t="str">
        <x:v>22960</x:v>
      </x:c>
      <x:c r="B5370" s="9" t="d">
        <x:v>2011-08-12T00:00:00.000Z</x:v>
      </x:c>
      <x:c r="C5370" s="13" t="n">
        <x:v>23</x:v>
      </x:c>
    </x:row>
    <x:row r="5371" ht="20" customHeight="1">
      <x:c r="A5371" s="1" t="str">
        <x:v>22960</x:v>
      </x:c>
      <x:c r="B5371" s="9" t="d">
        <x:v>2011-08-13T00:00:00.000Z</x:v>
      </x:c>
      <x:c r="C5371" s="13" t="n">
        <x:v>0</x:v>
      </x:c>
    </x:row>
    <x:row r="5372" ht="20" customHeight="1">
      <x:c r="A5372" s="1" t="str">
        <x:v>22960</x:v>
      </x:c>
      <x:c r="B5372" s="9" t="d">
        <x:v>2011-08-14T00:00:00.000Z</x:v>
      </x:c>
      <x:c r="C5372" s="13" t="n">
        <x:v>0</x:v>
      </x:c>
    </x:row>
    <x:row r="5373" ht="20" customHeight="1">
      <x:c r="A5373" s="1" t="str">
        <x:v>22960</x:v>
      </x:c>
      <x:c r="B5373" s="9" t="d">
        <x:v>2011-08-15T00:00:00.000Z</x:v>
      </x:c>
      <x:c r="C5373" s="13" t="n">
        <x:v>6</x:v>
      </x:c>
    </x:row>
    <x:row r="5374" ht="20" customHeight="1">
      <x:c r="A5374" s="1" t="str">
        <x:v>22960</x:v>
      </x:c>
      <x:c r="B5374" s="9" t="d">
        <x:v>2011-08-16T00:00:00.000Z</x:v>
      </x:c>
      <x:c r="C5374" s="13" t="n">
        <x:v>6</x:v>
      </x:c>
    </x:row>
    <x:row r="5375" ht="20" customHeight="1">
      <x:c r="A5375" s="1" t="str">
        <x:v>22960</x:v>
      </x:c>
      <x:c r="B5375" s="9" t="d">
        <x:v>2011-08-17T00:00:00.000Z</x:v>
      </x:c>
      <x:c r="C5375" s="13" t="n">
        <x:v>245</x:v>
      </x:c>
    </x:row>
    <x:row r="5376" ht="20" customHeight="1">
      <x:c r="A5376" s="1" t="str">
        <x:v>22960</x:v>
      </x:c>
      <x:c r="B5376" s="9" t="d">
        <x:v>2011-08-18T00:00:00.000Z</x:v>
      </x:c>
      <x:c r="C5376" s="13" t="n">
        <x:v>12</x:v>
      </x:c>
    </x:row>
    <x:row r="5377" ht="20" customHeight="1">
      <x:c r="A5377" s="1" t="str">
        <x:v>22960</x:v>
      </x:c>
      <x:c r="B5377" s="9" t="d">
        <x:v>2011-08-19T00:00:00.000Z</x:v>
      </x:c>
      <x:c r="C5377" s="13" t="n">
        <x:v>6</x:v>
      </x:c>
    </x:row>
    <x:row r="5378" ht="20" customHeight="1">
      <x:c r="A5378" s="1" t="str">
        <x:v>22960</x:v>
      </x:c>
      <x:c r="B5378" s="9" t="d">
        <x:v>2011-08-20T00:00:00.000Z</x:v>
      </x:c>
      <x:c r="C5378" s="13" t="n">
        <x:v>0</x:v>
      </x:c>
    </x:row>
    <x:row r="5379" ht="20" customHeight="1">
      <x:c r="A5379" s="1" t="str">
        <x:v>22960</x:v>
      </x:c>
      <x:c r="B5379" s="9" t="d">
        <x:v>2011-08-21T00:00:00.000Z</x:v>
      </x:c>
      <x:c r="C5379" s="13" t="n">
        <x:v>19</x:v>
      </x:c>
    </x:row>
    <x:row r="5380" ht="20" customHeight="1">
      <x:c r="A5380" s="1" t="str">
        <x:v>22960</x:v>
      </x:c>
      <x:c r="B5380" s="9" t="d">
        <x:v>2011-08-22T00:00:00.000Z</x:v>
      </x:c>
      <x:c r="C5380" s="13" t="n">
        <x:v>8</x:v>
      </x:c>
    </x:row>
    <x:row r="5381" ht="20" customHeight="1">
      <x:c r="A5381" s="1" t="str">
        <x:v>22960</x:v>
      </x:c>
      <x:c r="B5381" s="9" t="d">
        <x:v>2011-08-23T00:00:00.000Z</x:v>
      </x:c>
      <x:c r="C5381" s="13" t="n">
        <x:v>18</x:v>
      </x:c>
    </x:row>
    <x:row r="5382" ht="20" customHeight="1">
      <x:c r="A5382" s="1" t="str">
        <x:v>22960</x:v>
      </x:c>
      <x:c r="B5382" s="9" t="d">
        <x:v>2011-08-24T00:00:00.000Z</x:v>
      </x:c>
      <x:c r="C5382" s="13" t="n">
        <x:v>6</x:v>
      </x:c>
    </x:row>
    <x:row r="5383" ht="20" customHeight="1">
      <x:c r="A5383" s="1" t="str">
        <x:v>22960</x:v>
      </x:c>
      <x:c r="B5383" s="9" t="d">
        <x:v>2011-08-25T00:00:00.000Z</x:v>
      </x:c>
      <x:c r="C5383" s="13" t="n">
        <x:v>13</x:v>
      </x:c>
    </x:row>
    <x:row r="5384" ht="20" customHeight="1">
      <x:c r="A5384" s="1" t="str">
        <x:v>22960</x:v>
      </x:c>
      <x:c r="B5384" s="9" t="d">
        <x:v>2011-08-26T00:00:00.000Z</x:v>
      </x:c>
      <x:c r="C5384" s="13" t="n">
        <x:v>0</x:v>
      </x:c>
    </x:row>
    <x:row r="5385" ht="20" customHeight="1">
      <x:c r="A5385" s="1" t="str">
        <x:v>22960</x:v>
      </x:c>
      <x:c r="B5385" s="9" t="d">
        <x:v>2011-08-27T00:00:00.000Z</x:v>
      </x:c>
      <x:c r="C5385" s="13" t="n">
        <x:v>0</x:v>
      </x:c>
    </x:row>
    <x:row r="5386" ht="20" customHeight="1">
      <x:c r="A5386" s="1" t="str">
        <x:v>22960</x:v>
      </x:c>
      <x:c r="B5386" s="9" t="d">
        <x:v>2011-08-28T00:00:00.000Z</x:v>
      </x:c>
      <x:c r="C5386" s="13" t="n">
        <x:v>1</x:v>
      </x:c>
    </x:row>
    <x:row r="5387" ht="20" customHeight="1">
      <x:c r="A5387" s="1" t="str">
        <x:v>22960</x:v>
      </x:c>
      <x:c r="B5387" s="9" t="d">
        <x:v>2011-08-29T00:00:00.000Z</x:v>
      </x:c>
      <x:c r="C5387" s="13" t="n">
        <x:v>0</x:v>
      </x:c>
    </x:row>
    <x:row r="5388" ht="20" customHeight="1">
      <x:c r="A5388" s="1" t="str">
        <x:v>22960</x:v>
      </x:c>
      <x:c r="B5388" s="9" t="d">
        <x:v>2011-08-30T00:00:00.000Z</x:v>
      </x:c>
      <x:c r="C5388" s="13" t="n">
        <x:v>13</x:v>
      </x:c>
    </x:row>
    <x:row r="5389" ht="20" customHeight="1">
      <x:c r="A5389" s="1" t="str">
        <x:v>22960</x:v>
      </x:c>
      <x:c r="B5389" s="9" t="d">
        <x:v>2011-08-31T00:00:00.000Z</x:v>
      </x:c>
      <x:c r="C5389" s="13" t="n">
        <x:v>3</x:v>
      </x:c>
    </x:row>
    <x:row r="5390" ht="20" customHeight="1">
      <x:c r="A5390" s="1" t="str">
        <x:v>22960</x:v>
      </x:c>
      <x:c r="B5390" s="9" t="d">
        <x:v>2011-09-01T00:00:00.000Z</x:v>
      </x:c>
      <x:c r="C5390" s="13" t="n">
        <x:v>18</x:v>
      </x:c>
    </x:row>
    <x:row r="5391" ht="20" customHeight="1">
      <x:c r="A5391" s="1" t="str">
        <x:v>22960</x:v>
      </x:c>
      <x:c r="B5391" s="9" t="d">
        <x:v>2011-09-02T00:00:00.000Z</x:v>
      </x:c>
      <x:c r="C5391" s="13" t="n">
        <x:v>24</x:v>
      </x:c>
    </x:row>
    <x:row r="5392" ht="20" customHeight="1">
      <x:c r="A5392" s="1" t="str">
        <x:v>22960</x:v>
      </x:c>
      <x:c r="B5392" s="9" t="d">
        <x:v>2011-09-03T00:00:00.000Z</x:v>
      </x:c>
      <x:c r="C5392" s="13" t="n">
        <x:v>0</x:v>
      </x:c>
    </x:row>
    <x:row r="5393" ht="20" customHeight="1">
      <x:c r="A5393" s="1" t="str">
        <x:v>22960</x:v>
      </x:c>
      <x:c r="B5393" s="9" t="d">
        <x:v>2011-09-04T00:00:00.000Z</x:v>
      </x:c>
      <x:c r="C5393" s="13" t="n">
        <x:v>31</x:v>
      </x:c>
    </x:row>
    <x:row r="5394" ht="20" customHeight="1">
      <x:c r="A5394" s="1" t="str">
        <x:v>22960</x:v>
      </x:c>
      <x:c r="B5394" s="9" t="d">
        <x:v>2011-09-05T00:00:00.000Z</x:v>
      </x:c>
      <x:c r="C5394" s="13" t="n">
        <x:v>54</x:v>
      </x:c>
    </x:row>
    <x:row r="5395" ht="20" customHeight="1">
      <x:c r="A5395" s="1" t="str">
        <x:v>22960</x:v>
      </x:c>
      <x:c r="B5395" s="9" t="d">
        <x:v>2011-09-06T00:00:00.000Z</x:v>
      </x:c>
      <x:c r="C5395" s="13" t="n">
        <x:v>1</x:v>
      </x:c>
    </x:row>
    <x:row r="5396" ht="20" customHeight="1">
      <x:c r="A5396" s="1" t="str">
        <x:v>22960</x:v>
      </x:c>
      <x:c r="B5396" s="9" t="d">
        <x:v>2011-09-07T00:00:00.000Z</x:v>
      </x:c>
      <x:c r="C5396" s="13" t="n">
        <x:v>11</x:v>
      </x:c>
    </x:row>
    <x:row r="5397" ht="20" customHeight="1">
      <x:c r="A5397" s="1" t="str">
        <x:v>22960</x:v>
      </x:c>
      <x:c r="B5397" s="9" t="d">
        <x:v>2011-09-08T00:00:00.000Z</x:v>
      </x:c>
      <x:c r="C5397" s="13" t="n">
        <x:v>24</x:v>
      </x:c>
    </x:row>
    <x:row r="5398" ht="20" customHeight="1">
      <x:c r="A5398" s="1" t="str">
        <x:v>22960</x:v>
      </x:c>
      <x:c r="B5398" s="9" t="d">
        <x:v>2011-09-09T00:00:00.000Z</x:v>
      </x:c>
      <x:c r="C5398" s="13" t="n">
        <x:v>7</x:v>
      </x:c>
    </x:row>
    <x:row r="5399" ht="20" customHeight="1">
      <x:c r="A5399" s="1" t="str">
        <x:v>22960</x:v>
      </x:c>
      <x:c r="B5399" s="9" t="d">
        <x:v>2011-09-10T00:00:00.000Z</x:v>
      </x:c>
      <x:c r="C5399" s="13" t="n">
        <x:v>0</x:v>
      </x:c>
    </x:row>
    <x:row r="5400" ht="20" customHeight="1">
      <x:c r="A5400" s="1" t="str">
        <x:v>22960</x:v>
      </x:c>
      <x:c r="B5400" s="9" t="d">
        <x:v>2011-09-11T00:00:00.000Z</x:v>
      </x:c>
      <x:c r="C5400" s="13" t="n">
        <x:v>17</x:v>
      </x:c>
    </x:row>
    <x:row r="5401" ht="20" customHeight="1">
      <x:c r="A5401" s="1" t="str">
        <x:v>22960</x:v>
      </x:c>
      <x:c r="B5401" s="9" t="d">
        <x:v>2011-09-12T00:00:00.000Z</x:v>
      </x:c>
      <x:c r="C5401" s="13" t="n">
        <x:v>12</x:v>
      </x:c>
    </x:row>
    <x:row r="5402" ht="20" customHeight="1">
      <x:c r="A5402" s="1" t="str">
        <x:v>22960</x:v>
      </x:c>
      <x:c r="B5402" s="9" t="d">
        <x:v>2011-09-13T00:00:00.000Z</x:v>
      </x:c>
      <x:c r="C5402" s="13" t="n">
        <x:v>56</x:v>
      </x:c>
    </x:row>
    <x:row r="5403" ht="20" customHeight="1">
      <x:c r="A5403" s="1" t="str">
        <x:v>22960</x:v>
      </x:c>
      <x:c r="B5403" s="9" t="d">
        <x:v>2011-09-14T00:00:00.000Z</x:v>
      </x:c>
      <x:c r="C5403" s="13" t="n">
        <x:v>44</x:v>
      </x:c>
    </x:row>
    <x:row r="5404" ht="20" customHeight="1">
      <x:c r="A5404" s="1" t="str">
        <x:v>22960</x:v>
      </x:c>
      <x:c r="B5404" s="9" t="d">
        <x:v>2011-09-15T00:00:00.000Z</x:v>
      </x:c>
      <x:c r="C5404" s="13" t="n">
        <x:v>51</x:v>
      </x:c>
    </x:row>
    <x:row r="5405" ht="20" customHeight="1">
      <x:c r="A5405" s="1" t="str">
        <x:v>22960</x:v>
      </x:c>
      <x:c r="B5405" s="9" t="d">
        <x:v>2011-09-16T00:00:00.000Z</x:v>
      </x:c>
      <x:c r="C5405" s="13" t="n">
        <x:v>25</x:v>
      </x:c>
    </x:row>
    <x:row r="5406" ht="20" customHeight="1">
      <x:c r="A5406" s="1" t="str">
        <x:v>22960</x:v>
      </x:c>
      <x:c r="B5406" s="9" t="d">
        <x:v>2011-09-17T00:00:00.000Z</x:v>
      </x:c>
      <x:c r="C5406" s="13" t="n">
        <x:v>0</x:v>
      </x:c>
    </x:row>
    <x:row r="5407" ht="20" customHeight="1">
      <x:c r="A5407" s="1" t="str">
        <x:v>22960</x:v>
      </x:c>
      <x:c r="B5407" s="9" t="d">
        <x:v>2011-09-18T00:00:00.000Z</x:v>
      </x:c>
      <x:c r="C5407" s="13" t="n">
        <x:v>28</x:v>
      </x:c>
    </x:row>
    <x:row r="5408" ht="20" customHeight="1">
      <x:c r="A5408" s="1" t="str">
        <x:v>22960</x:v>
      </x:c>
      <x:c r="B5408" s="9" t="d">
        <x:v>2011-09-19T00:00:00.000Z</x:v>
      </x:c>
      <x:c r="C5408" s="13" t="n">
        <x:v>18</x:v>
      </x:c>
    </x:row>
    <x:row r="5409" ht="20" customHeight="1">
      <x:c r="A5409" s="1" t="str">
        <x:v>22960</x:v>
      </x:c>
      <x:c r="B5409" s="9" t="d">
        <x:v>2011-09-20T00:00:00.000Z</x:v>
      </x:c>
      <x:c r="C5409" s="13" t="n">
        <x:v>90</x:v>
      </x:c>
    </x:row>
    <x:row r="5410" ht="20" customHeight="1">
      <x:c r="A5410" s="1" t="str">
        <x:v>22960</x:v>
      </x:c>
      <x:c r="B5410" s="9" t="d">
        <x:v>2011-09-21T00:00:00.000Z</x:v>
      </x:c>
      <x:c r="C5410" s="13" t="n">
        <x:v>9</x:v>
      </x:c>
    </x:row>
    <x:row r="5411" ht="20" customHeight="1">
      <x:c r="A5411" s="1" t="str">
        <x:v>22960</x:v>
      </x:c>
      <x:c r="B5411" s="9" t="d">
        <x:v>2011-09-22T00:00:00.000Z</x:v>
      </x:c>
      <x:c r="C5411" s="13" t="n">
        <x:v>127</x:v>
      </x:c>
    </x:row>
    <x:row r="5412" ht="20" customHeight="1">
      <x:c r="A5412" s="1" t="str">
        <x:v>22960</x:v>
      </x:c>
      <x:c r="B5412" s="9" t="d">
        <x:v>2011-09-23T00:00:00.000Z</x:v>
      </x:c>
      <x:c r="C5412" s="13" t="n">
        <x:v>28</x:v>
      </x:c>
    </x:row>
    <x:row r="5413" ht="20" customHeight="1">
      <x:c r="A5413" s="1" t="str">
        <x:v>22960</x:v>
      </x:c>
      <x:c r="B5413" s="9" t="d">
        <x:v>2011-09-24T00:00:00.000Z</x:v>
      </x:c>
      <x:c r="C5413" s="13" t="n">
        <x:v>0</x:v>
      </x:c>
    </x:row>
    <x:row r="5414" ht="20" customHeight="1">
      <x:c r="A5414" s="1" t="str">
        <x:v>22960</x:v>
      </x:c>
      <x:c r="B5414" s="9" t="d">
        <x:v>2011-09-25T00:00:00.000Z</x:v>
      </x:c>
      <x:c r="C5414" s="13" t="n">
        <x:v>3</x:v>
      </x:c>
    </x:row>
    <x:row r="5415" ht="20" customHeight="1">
      <x:c r="A5415" s="1" t="str">
        <x:v>22960</x:v>
      </x:c>
      <x:c r="B5415" s="9" t="d">
        <x:v>2011-09-26T00:00:00.000Z</x:v>
      </x:c>
      <x:c r="C5415" s="13" t="n">
        <x:v>53</x:v>
      </x:c>
    </x:row>
    <x:row r="5416" ht="20" customHeight="1">
      <x:c r="A5416" s="1" t="str">
        <x:v>22960</x:v>
      </x:c>
      <x:c r="B5416" s="9" t="d">
        <x:v>2011-09-27T00:00:00.000Z</x:v>
      </x:c>
      <x:c r="C5416" s="13" t="n">
        <x:v>73</x:v>
      </x:c>
    </x:row>
    <x:row r="5417" ht="20" customHeight="1">
      <x:c r="A5417" s="1" t="str">
        <x:v>22960</x:v>
      </x:c>
      <x:c r="B5417" s="9" t="d">
        <x:v>2011-09-28T00:00:00.000Z</x:v>
      </x:c>
      <x:c r="C5417" s="13" t="n">
        <x:v>17</x:v>
      </x:c>
    </x:row>
    <x:row r="5418" ht="20" customHeight="1">
      <x:c r="A5418" s="1" t="str">
        <x:v>22960</x:v>
      </x:c>
      <x:c r="B5418" s="9" t="d">
        <x:v>2011-09-29T00:00:00.000Z</x:v>
      </x:c>
      <x:c r="C5418" s="13" t="n">
        <x:v>13</x:v>
      </x:c>
    </x:row>
    <x:row r="5419" ht="20" customHeight="1">
      <x:c r="A5419" s="1" t="str">
        <x:v>22960</x:v>
      </x:c>
      <x:c r="B5419" s="9" t="d">
        <x:v>2011-09-30T00:00:00.000Z</x:v>
      </x:c>
      <x:c r="C5419" s="13" t="n">
        <x:v>30</x:v>
      </x:c>
    </x:row>
    <x:row r="5420" ht="20" customHeight="1">
      <x:c r="A5420" s="1" t="str">
        <x:v>22960</x:v>
      </x:c>
      <x:c r="B5420" s="9" t="d">
        <x:v>2011-10-01T00:00:00.000Z</x:v>
      </x:c>
      <x:c r="C5420" s="13" t="n">
        <x:v>0</x:v>
      </x:c>
    </x:row>
    <x:row r="5421" ht="20" customHeight="1">
      <x:c r="A5421" s="1" t="str">
        <x:v>22960</x:v>
      </x:c>
      <x:c r="B5421" s="9" t="d">
        <x:v>2011-10-02T00:00:00.000Z</x:v>
      </x:c>
      <x:c r="C5421" s="13" t="n">
        <x:v>1</x:v>
      </x:c>
    </x:row>
    <x:row r="5422" ht="20" customHeight="1">
      <x:c r="A5422" s="1" t="str">
        <x:v>22960</x:v>
      </x:c>
      <x:c r="B5422" s="9" t="d">
        <x:v>2011-10-03T00:00:00.000Z</x:v>
      </x:c>
      <x:c r="C5422" s="13" t="n">
        <x:v>9</x:v>
      </x:c>
    </x:row>
    <x:row r="5423" ht="20" customHeight="1">
      <x:c r="A5423" s="1" t="str">
        <x:v>22960</x:v>
      </x:c>
      <x:c r="B5423" s="9" t="d">
        <x:v>2011-10-04T00:00:00.000Z</x:v>
      </x:c>
      <x:c r="C5423" s="13" t="n">
        <x:v>23</x:v>
      </x:c>
    </x:row>
    <x:row r="5424" ht="20" customHeight="1">
      <x:c r="A5424" s="1" t="str">
        <x:v>22960</x:v>
      </x:c>
      <x:c r="B5424" s="9" t="d">
        <x:v>2011-10-05T00:00:00.000Z</x:v>
      </x:c>
      <x:c r="C5424" s="13" t="n">
        <x:v>15</x:v>
      </x:c>
    </x:row>
    <x:row r="5425" ht="20" customHeight="1">
      <x:c r="A5425" s="1" t="str">
        <x:v>22960</x:v>
      </x:c>
      <x:c r="B5425" s="9" t="d">
        <x:v>2011-10-06T00:00:00.000Z</x:v>
      </x:c>
      <x:c r="C5425" s="13" t="n">
        <x:v>81</x:v>
      </x:c>
    </x:row>
    <x:row r="5426" ht="20" customHeight="1">
      <x:c r="A5426" s="1" t="str">
        <x:v>22960</x:v>
      </x:c>
      <x:c r="B5426" s="9" t="d">
        <x:v>2011-10-07T00:00:00.000Z</x:v>
      </x:c>
      <x:c r="C5426" s="13" t="n">
        <x:v>16</x:v>
      </x:c>
    </x:row>
    <x:row r="5427" ht="20" customHeight="1">
      <x:c r="A5427" s="1" t="str">
        <x:v>22960</x:v>
      </x:c>
      <x:c r="B5427" s="9" t="d">
        <x:v>2011-10-08T00:00:00.000Z</x:v>
      </x:c>
      <x:c r="C5427" s="13" t="n">
        <x:v>0</x:v>
      </x:c>
    </x:row>
    <x:row r="5428" ht="20" customHeight="1">
      <x:c r="A5428" s="1" t="str">
        <x:v>22960</x:v>
      </x:c>
      <x:c r="B5428" s="9" t="d">
        <x:v>2011-10-09T00:00:00.000Z</x:v>
      </x:c>
      <x:c r="C5428" s="13" t="n">
        <x:v>5</x:v>
      </x:c>
    </x:row>
    <x:row r="5429" ht="20" customHeight="1">
      <x:c r="A5429" s="1" t="str">
        <x:v>22960</x:v>
      </x:c>
      <x:c r="B5429" s="9" t="d">
        <x:v>2011-10-10T00:00:00.000Z</x:v>
      </x:c>
      <x:c r="C5429" s="13" t="n">
        <x:v>21</x:v>
      </x:c>
    </x:row>
    <x:row r="5430" ht="20" customHeight="1">
      <x:c r="A5430" s="1" t="str">
        <x:v>22960</x:v>
      </x:c>
      <x:c r="B5430" s="9" t="d">
        <x:v>2011-10-11T00:00:00.000Z</x:v>
      </x:c>
      <x:c r="C5430" s="13" t="n">
        <x:v>86</x:v>
      </x:c>
    </x:row>
    <x:row r="5431" ht="20" customHeight="1">
      <x:c r="A5431" s="1" t="str">
        <x:v>22960</x:v>
      </x:c>
      <x:c r="B5431" s="9" t="d">
        <x:v>2011-10-12T00:00:00.000Z</x:v>
      </x:c>
      <x:c r="C5431" s="13" t="n">
        <x:v>32</x:v>
      </x:c>
    </x:row>
    <x:row r="5432" ht="20" customHeight="1">
      <x:c r="A5432" s="1" t="str">
        <x:v>22960</x:v>
      </x:c>
      <x:c r="B5432" s="9" t="d">
        <x:v>2011-10-13T00:00:00.000Z</x:v>
      </x:c>
      <x:c r="C5432" s="13" t="n">
        <x:v>27</x:v>
      </x:c>
    </x:row>
    <x:row r="5433" ht="20" customHeight="1">
      <x:c r="A5433" s="1" t="str">
        <x:v>22960</x:v>
      </x:c>
      <x:c r="B5433" s="9" t="d">
        <x:v>2011-10-14T00:00:00.000Z</x:v>
      </x:c>
      <x:c r="C5433" s="13" t="n">
        <x:v>18</x:v>
      </x:c>
    </x:row>
    <x:row r="5434" ht="20" customHeight="1">
      <x:c r="A5434" s="1" t="str">
        <x:v>22960</x:v>
      </x:c>
      <x:c r="B5434" s="9" t="d">
        <x:v>2011-10-15T00:00:00.000Z</x:v>
      </x:c>
      <x:c r="C5434" s="13" t="n">
        <x:v>0</x:v>
      </x:c>
    </x:row>
    <x:row r="5435" ht="20" customHeight="1">
      <x:c r="A5435" s="1" t="str">
        <x:v>22960</x:v>
      </x:c>
      <x:c r="B5435" s="9" t="d">
        <x:v>2011-10-16T00:00:00.000Z</x:v>
      </x:c>
      <x:c r="C5435" s="13" t="n">
        <x:v>78</x:v>
      </x:c>
    </x:row>
    <x:row r="5436" ht="20" customHeight="1">
      <x:c r="A5436" s="1" t="str">
        <x:v>22960</x:v>
      </x:c>
      <x:c r="B5436" s="9" t="d">
        <x:v>2011-10-17T00:00:00.000Z</x:v>
      </x:c>
      <x:c r="C5436" s="13" t="n">
        <x:v>10</x:v>
      </x:c>
    </x:row>
    <x:row r="5437" ht="20" customHeight="1">
      <x:c r="A5437" s="1" t="str">
        <x:v>22960</x:v>
      </x:c>
      <x:c r="B5437" s="9" t="d">
        <x:v>2011-10-18T00:00:00.000Z</x:v>
      </x:c>
      <x:c r="C5437" s="13" t="n">
        <x:v>25</x:v>
      </x:c>
    </x:row>
    <x:row r="5438" ht="20" customHeight="1">
      <x:c r="A5438" s="1" t="str">
        <x:v>22960</x:v>
      </x:c>
      <x:c r="B5438" s="9" t="d">
        <x:v>2011-10-19T00:00:00.000Z</x:v>
      </x:c>
      <x:c r="C5438" s="13" t="n">
        <x:v>10</x:v>
      </x:c>
    </x:row>
    <x:row r="5439" ht="20" customHeight="1">
      <x:c r="A5439" s="1" t="str">
        <x:v>22960</x:v>
      </x:c>
      <x:c r="B5439" s="9" t="d">
        <x:v>2011-10-20T00:00:00.000Z</x:v>
      </x:c>
      <x:c r="C5439" s="13" t="n">
        <x:v>12</x:v>
      </x:c>
    </x:row>
    <x:row r="5440" ht="20" customHeight="1">
      <x:c r="A5440" s="1" t="str">
        <x:v>22960</x:v>
      </x:c>
      <x:c r="B5440" s="9" t="d">
        <x:v>2011-10-21T00:00:00.000Z</x:v>
      </x:c>
      <x:c r="C5440" s="13" t="n">
        <x:v>0</x:v>
      </x:c>
    </x:row>
    <x:row r="5441" ht="20" customHeight="1">
      <x:c r="A5441" s="1" t="str">
        <x:v>22960</x:v>
      </x:c>
      <x:c r="B5441" s="9" t="d">
        <x:v>2011-10-22T00:00:00.000Z</x:v>
      </x:c>
      <x:c r="C5441" s="13" t="n">
        <x:v>0</x:v>
      </x:c>
    </x:row>
    <x:row r="5442" ht="20" customHeight="1">
      <x:c r="A5442" s="1" t="str">
        <x:v>22960</x:v>
      </x:c>
      <x:c r="B5442" s="9" t="d">
        <x:v>2011-10-23T00:00:00.000Z</x:v>
      </x:c>
      <x:c r="C5442" s="13" t="n">
        <x:v>9</x:v>
      </x:c>
    </x:row>
    <x:row r="5443" ht="20" customHeight="1">
      <x:c r="A5443" s="1" t="str">
        <x:v>22960</x:v>
      </x:c>
      <x:c r="B5443" s="9" t="d">
        <x:v>2011-10-24T00:00:00.000Z</x:v>
      </x:c>
      <x:c r="C5443" s="13" t="n">
        <x:v>4</x:v>
      </x:c>
    </x:row>
    <x:row r="5444" ht="20" customHeight="1">
      <x:c r="A5444" s="1" t="str">
        <x:v>22960</x:v>
      </x:c>
      <x:c r="B5444" s="9" t="d">
        <x:v>2011-10-25T00:00:00.000Z</x:v>
      </x:c>
      <x:c r="C5444" s="13" t="n">
        <x:v>36</x:v>
      </x:c>
    </x:row>
    <x:row r="5445" ht="20" customHeight="1">
      <x:c r="A5445" s="1" t="str">
        <x:v>22960</x:v>
      </x:c>
      <x:c r="B5445" s="9" t="d">
        <x:v>2011-10-26T00:00:00.000Z</x:v>
      </x:c>
      <x:c r="C5445" s="13" t="n">
        <x:v>11</x:v>
      </x:c>
    </x:row>
    <x:row r="5446" ht="20" customHeight="1">
      <x:c r="A5446" s="1" t="str">
        <x:v>22960</x:v>
      </x:c>
      <x:c r="B5446" s="9" t="d">
        <x:v>2011-10-27T00:00:00.000Z</x:v>
      </x:c>
      <x:c r="C5446" s="13" t="n">
        <x:v>25</x:v>
      </x:c>
    </x:row>
    <x:row r="5447" ht="20" customHeight="1">
      <x:c r="A5447" s="1" t="str">
        <x:v>22960</x:v>
      </x:c>
      <x:c r="B5447" s="9" t="d">
        <x:v>2011-10-28T00:00:00.000Z</x:v>
      </x:c>
      <x:c r="C5447" s="13" t="n">
        <x:v>18</x:v>
      </x:c>
    </x:row>
    <x:row r="5448" ht="20" customHeight="1">
      <x:c r="A5448" s="1" t="str">
        <x:v>22960</x:v>
      </x:c>
      <x:c r="B5448" s="9" t="d">
        <x:v>2011-10-29T00:00:00.000Z</x:v>
      </x:c>
      <x:c r="C5448" s="13" t="n">
        <x:v>0</x:v>
      </x:c>
    </x:row>
    <x:row r="5449" ht="20" customHeight="1">
      <x:c r="A5449" s="1" t="str">
        <x:v>22960</x:v>
      </x:c>
      <x:c r="B5449" s="9" t="d">
        <x:v>2011-10-30T00:00:00.000Z</x:v>
      </x:c>
      <x:c r="C5449" s="13" t="n">
        <x:v>30</x:v>
      </x:c>
    </x:row>
    <x:row r="5450" ht="20" customHeight="1">
      <x:c r="A5450" s="1" t="str">
        <x:v>22960</x:v>
      </x:c>
      <x:c r="B5450" s="9" t="d">
        <x:v>2011-10-31T00:00:00.000Z</x:v>
      </x:c>
      <x:c r="C5450" s="13" t="n">
        <x:v>73</x:v>
      </x:c>
    </x:row>
    <x:row r="5451" ht="20" customHeight="1">
      <x:c r="A5451" s="1" t="str">
        <x:v>22960</x:v>
      </x:c>
      <x:c r="B5451" s="9" t="d">
        <x:v>2011-11-01T00:00:00.000Z</x:v>
      </x:c>
      <x:c r="C5451" s="13" t="n">
        <x:v>2</x:v>
      </x:c>
    </x:row>
    <x:row r="5452" ht="20" customHeight="1">
      <x:c r="A5452" s="1" t="str">
        <x:v>22960</x:v>
      </x:c>
      <x:c r="B5452" s="9" t="d">
        <x:v>2011-11-02T00:00:00.000Z</x:v>
      </x:c>
      <x:c r="C5452" s="13" t="n">
        <x:v>7</x:v>
      </x:c>
    </x:row>
    <x:row r="5453" ht="20" customHeight="1">
      <x:c r="A5453" s="1" t="str">
        <x:v>22960</x:v>
      </x:c>
      <x:c r="B5453" s="9" t="d">
        <x:v>2011-11-03T00:00:00.000Z</x:v>
      </x:c>
      <x:c r="C5453" s="13" t="n">
        <x:v>161</x:v>
      </x:c>
    </x:row>
    <x:row r="5454" ht="20" customHeight="1">
      <x:c r="A5454" s="1" t="str">
        <x:v>22960</x:v>
      </x:c>
      <x:c r="B5454" s="9" t="d">
        <x:v>2011-11-04T00:00:00.000Z</x:v>
      </x:c>
      <x:c r="C5454" s="13" t="n">
        <x:v>57</x:v>
      </x:c>
    </x:row>
    <x:row r="5455" ht="20" customHeight="1">
      <x:c r="A5455" s="1" t="str">
        <x:v>22960</x:v>
      </x:c>
      <x:c r="B5455" s="9" t="d">
        <x:v>2011-11-05T00:00:00.000Z</x:v>
      </x:c>
      <x:c r="C5455" s="13" t="n">
        <x:v>0</x:v>
      </x:c>
    </x:row>
    <x:row r="5456" ht="20" customHeight="1">
      <x:c r="A5456" s="1" t="str">
        <x:v>22960</x:v>
      </x:c>
      <x:c r="B5456" s="9" t="d">
        <x:v>2011-11-06T00:00:00.000Z</x:v>
      </x:c>
      <x:c r="C5456" s="13" t="n">
        <x:v>0</x:v>
      </x:c>
    </x:row>
    <x:row r="5457" ht="20" customHeight="1">
      <x:c r="A5457" s="1" t="str">
        <x:v>22960</x:v>
      </x:c>
      <x:c r="B5457" s="9" t="d">
        <x:v>2011-11-07T00:00:00.000Z</x:v>
      </x:c>
      <x:c r="C5457" s="13" t="n">
        <x:v>28</x:v>
      </x:c>
    </x:row>
    <x:row r="5458" ht="20" customHeight="1">
      <x:c r="A5458" s="1" t="str">
        <x:v>22960</x:v>
      </x:c>
      <x:c r="B5458" s="9" t="d">
        <x:v>2011-11-08T00:00:00.000Z</x:v>
      </x:c>
      <x:c r="C5458" s="13" t="n">
        <x:v>10</x:v>
      </x:c>
    </x:row>
    <x:row r="5459" ht="20" customHeight="1">
      <x:c r="A5459" s="1" t="str">
        <x:v>22960</x:v>
      </x:c>
      <x:c r="B5459" s="9" t="d">
        <x:v>2011-11-09T00:00:00.000Z</x:v>
      </x:c>
      <x:c r="C5459" s="13" t="n">
        <x:v>8</x:v>
      </x:c>
    </x:row>
    <x:row r="5460" ht="20" customHeight="1">
      <x:c r="A5460" s="1" t="str">
        <x:v>22960</x:v>
      </x:c>
      <x:c r="B5460" s="9" t="d">
        <x:v>2011-11-10T00:00:00.000Z</x:v>
      </x:c>
      <x:c r="C5460" s="13" t="n">
        <x:v>64</x:v>
      </x:c>
    </x:row>
    <x:row r="5461" ht="20" customHeight="1">
      <x:c r="A5461" s="1" t="str">
        <x:v>22960</x:v>
      </x:c>
      <x:c r="B5461" s="9" t="d">
        <x:v>2011-11-11T00:00:00.000Z</x:v>
      </x:c>
      <x:c r="C5461" s="13" t="n">
        <x:v>5</x:v>
      </x:c>
    </x:row>
    <x:row r="5462" ht="20" customHeight="1">
      <x:c r="A5462" s="1" t="str">
        <x:v>22960</x:v>
      </x:c>
      <x:c r="B5462" s="9" t="d">
        <x:v>2011-11-12T00:00:00.000Z</x:v>
      </x:c>
      <x:c r="C5462" s="13" t="n">
        <x:v>0</x:v>
      </x:c>
    </x:row>
    <x:row r="5463" ht="20" customHeight="1">
      <x:c r="A5463" s="1" t="str">
        <x:v>22960</x:v>
      </x:c>
      <x:c r="B5463" s="9" t="d">
        <x:v>2011-11-13T00:00:00.000Z</x:v>
      </x:c>
      <x:c r="C5463" s="13" t="n">
        <x:v>33</x:v>
      </x:c>
    </x:row>
    <x:row r="5464" ht="20" customHeight="1">
      <x:c r="A5464" s="1" t="str">
        <x:v>22960</x:v>
      </x:c>
      <x:c r="B5464" s="9" t="d">
        <x:v>2011-11-14T00:00:00.000Z</x:v>
      </x:c>
      <x:c r="C5464" s="13" t="n">
        <x:v>27</x:v>
      </x:c>
    </x:row>
    <x:row r="5465" ht="20" customHeight="1">
      <x:c r="A5465" s="1" t="str">
        <x:v>22960</x:v>
      </x:c>
      <x:c r="B5465" s="9" t="d">
        <x:v>2011-11-15T00:00:00.000Z</x:v>
      </x:c>
      <x:c r="C5465" s="13" t="n">
        <x:v>5</x:v>
      </x:c>
    </x:row>
    <x:row r="5466" ht="20" customHeight="1">
      <x:c r="A5466" s="1" t="str">
        <x:v>22960</x:v>
      </x:c>
      <x:c r="B5466" s="9" t="d">
        <x:v>2011-11-16T00:00:00.000Z</x:v>
      </x:c>
      <x:c r="C5466" s="13" t="n">
        <x:v>82</x:v>
      </x:c>
    </x:row>
    <x:row r="5467" ht="20" customHeight="1">
      <x:c r="A5467" s="1" t="str">
        <x:v>22960</x:v>
      </x:c>
      <x:c r="B5467" s="9" t="d">
        <x:v>2011-11-17T00:00:00.000Z</x:v>
      </x:c>
      <x:c r="C5467" s="13" t="n">
        <x:v>20</x:v>
      </x:c>
    </x:row>
    <x:row r="5468" ht="20" customHeight="1">
      <x:c r="A5468" s="1" t="str">
        <x:v>22960</x:v>
      </x:c>
      <x:c r="B5468" s="9" t="d">
        <x:v>2011-11-18T00:00:00.000Z</x:v>
      </x:c>
      <x:c r="C5468" s="13" t="n">
        <x:v>25</x:v>
      </x:c>
    </x:row>
    <x:row r="5469" ht="20" customHeight="1">
      <x:c r="A5469" s="1" t="str">
        <x:v>22960</x:v>
      </x:c>
      <x:c r="B5469" s="9" t="d">
        <x:v>2011-11-19T00:00:00.000Z</x:v>
      </x:c>
      <x:c r="C5469" s="13" t="n">
        <x:v>0</x:v>
      </x:c>
    </x:row>
    <x:row r="5470" ht="20" customHeight="1">
      <x:c r="A5470" s="1" t="str">
        <x:v>22960</x:v>
      </x:c>
      <x:c r="B5470" s="9" t="d">
        <x:v>2011-11-20T00:00:00.000Z</x:v>
      </x:c>
      <x:c r="C5470" s="13" t="n">
        <x:v>4</x:v>
      </x:c>
    </x:row>
    <x:row r="5471" ht="20" customHeight="1">
      <x:c r="A5471" s="1" t="str">
        <x:v>22960</x:v>
      </x:c>
      <x:c r="B5471" s="9" t="d">
        <x:v>2011-11-21T00:00:00.000Z</x:v>
      </x:c>
      <x:c r="C5471" s="13" t="n">
        <x:v>57</x:v>
      </x:c>
    </x:row>
    <x:row r="5472" ht="20" customHeight="1">
      <x:c r="A5472" s="1" t="str">
        <x:v>22960</x:v>
      </x:c>
      <x:c r="B5472" s="9" t="d">
        <x:v>2011-11-22T00:00:00.000Z</x:v>
      </x:c>
      <x:c r="C5472" s="13" t="n">
        <x:v>38</x:v>
      </x:c>
    </x:row>
    <x:row r="5473" ht="20" customHeight="1">
      <x:c r="A5473" s="1" t="str">
        <x:v>22960</x:v>
      </x:c>
      <x:c r="B5473" s="9" t="d">
        <x:v>2011-11-23T00:00:00.000Z</x:v>
      </x:c>
      <x:c r="C5473" s="13" t="n">
        <x:v>60</x:v>
      </x:c>
    </x:row>
    <x:row r="5474" ht="20" customHeight="1">
      <x:c r="A5474" s="1" t="str">
        <x:v>22960</x:v>
      </x:c>
      <x:c r="B5474" s="9" t="d">
        <x:v>2011-11-24T00:00:00.000Z</x:v>
      </x:c>
      <x:c r="C5474" s="13" t="n">
        <x:v>15</x:v>
      </x:c>
    </x:row>
    <x:row r="5475" ht="20" customHeight="1">
      <x:c r="A5475" s="1" t="str">
        <x:v>22960</x:v>
      </x:c>
      <x:c r="B5475" s="9" t="d">
        <x:v>2011-11-25T00:00:00.000Z</x:v>
      </x:c>
      <x:c r="C5475" s="13" t="n">
        <x:v>13</x:v>
      </x:c>
    </x:row>
    <x:row r="5476" ht="20" customHeight="1">
      <x:c r="A5476" s="1" t="str">
        <x:v>22960</x:v>
      </x:c>
      <x:c r="B5476" s="9" t="d">
        <x:v>2011-11-26T00:00:00.000Z</x:v>
      </x:c>
      <x:c r="C5476" s="13" t="n">
        <x:v>0</x:v>
      </x:c>
    </x:row>
    <x:row r="5477" ht="20" customHeight="1">
      <x:c r="A5477" s="1" t="str">
        <x:v>22960</x:v>
      </x:c>
      <x:c r="B5477" s="9" t="d">
        <x:v>2011-11-27T00:00:00.000Z</x:v>
      </x:c>
      <x:c r="C5477" s="13" t="n">
        <x:v>3</x:v>
      </x:c>
    </x:row>
    <x:row r="5478" ht="20" customHeight="1">
      <x:c r="A5478" s="1" t="str">
        <x:v>22960</x:v>
      </x:c>
      <x:c r="B5478" s="9" t="d">
        <x:v>2011-11-28T00:00:00.000Z</x:v>
      </x:c>
      <x:c r="C5478" s="13" t="n">
        <x:v>45</x:v>
      </x:c>
    </x:row>
    <x:row r="5479" ht="20" customHeight="1">
      <x:c r="A5479" s="1" t="str">
        <x:v>22960</x:v>
      </x:c>
      <x:c r="B5479" s="9" t="d">
        <x:v>2011-11-29T00:00:00.000Z</x:v>
      </x:c>
      <x:c r="C5479" s="13" t="n">
        <x:v>223</x:v>
      </x:c>
    </x:row>
    <x:row r="5480" ht="20" customHeight="1">
      <x:c r="A5480" s="1" t="str">
        <x:v>22960</x:v>
      </x:c>
      <x:c r="B5480" s="9" t="d">
        <x:v>2011-11-30T00:00:00.000Z</x:v>
      </x:c>
      <x:c r="C5480" s="13" t="n">
        <x:v>44</x:v>
      </x:c>
    </x:row>
    <x:row r="5481" ht="20" customHeight="1">
      <x:c r="A5481" s="1" t="str">
        <x:v>22961</x:v>
      </x:c>
      <x:c r="B5481" s="9" t="d">
        <x:v>2010-12-01T00:00:00.000Z</x:v>
      </x:c>
      <x:c r="C5481" s="13" t="n">
        <x:v>151</x:v>
      </x:c>
    </x:row>
    <x:row r="5482" ht="20" customHeight="1">
      <x:c r="A5482" s="1" t="str">
        <x:v>22961</x:v>
      </x:c>
      <x:c r="B5482" s="9" t="d">
        <x:v>2010-12-02T00:00:00.000Z</x:v>
      </x:c>
      <x:c r="C5482" s="13" t="n">
        <x:v>200</x:v>
      </x:c>
    </x:row>
    <x:row r="5483" ht="20" customHeight="1">
      <x:c r="A5483" s="1" t="str">
        <x:v>22961</x:v>
      </x:c>
      <x:c r="B5483" s="9" t="d">
        <x:v>2010-12-03T00:00:00.000Z</x:v>
      </x:c>
      <x:c r="C5483" s="13" t="n">
        <x:v>20</x:v>
      </x:c>
    </x:row>
    <x:row r="5484" ht="20" customHeight="1">
      <x:c r="A5484" s="1" t="str">
        <x:v>22961</x:v>
      </x:c>
      <x:c r="B5484" s="9" t="d">
        <x:v>2010-12-04T00:00:00.000Z</x:v>
      </x:c>
      <x:c r="C5484" s="13" t="n">
        <x:v>0</x:v>
      </x:c>
    </x:row>
    <x:row r="5485" ht="20" customHeight="1">
      <x:c r="A5485" s="1" t="str">
        <x:v>22961</x:v>
      </x:c>
      <x:c r="B5485" s="9" t="d">
        <x:v>2010-12-05T00:00:00.000Z</x:v>
      </x:c>
      <x:c r="C5485" s="13" t="n">
        <x:v>43</x:v>
      </x:c>
    </x:row>
    <x:row r="5486" ht="20" customHeight="1">
      <x:c r="A5486" s="1" t="str">
        <x:v>22961</x:v>
      </x:c>
      <x:c r="B5486" s="9" t="d">
        <x:v>2010-12-06T00:00:00.000Z</x:v>
      </x:c>
      <x:c r="C5486" s="13" t="n">
        <x:v>73</x:v>
      </x:c>
    </x:row>
    <x:row r="5487" ht="20" customHeight="1">
      <x:c r="A5487" s="1" t="str">
        <x:v>22961</x:v>
      </x:c>
      <x:c r="B5487" s="9" t="d">
        <x:v>2010-12-07T00:00:00.000Z</x:v>
      </x:c>
      <x:c r="C5487" s="13" t="n">
        <x:v>99</x:v>
      </x:c>
    </x:row>
    <x:row r="5488" ht="20" customHeight="1">
      <x:c r="A5488" s="1" t="str">
        <x:v>22961</x:v>
      </x:c>
      <x:c r="B5488" s="9" t="d">
        <x:v>2010-12-08T00:00:00.000Z</x:v>
      </x:c>
      <x:c r="C5488" s="13" t="n">
        <x:v>133</x:v>
      </x:c>
    </x:row>
    <x:row r="5489" ht="20" customHeight="1">
      <x:c r="A5489" s="1" t="str">
        <x:v>22961</x:v>
      </x:c>
      <x:c r="B5489" s="9" t="d">
        <x:v>2010-12-09T00:00:00.000Z</x:v>
      </x:c>
      <x:c r="C5489" s="13" t="n">
        <x:v>98</x:v>
      </x:c>
    </x:row>
    <x:row r="5490" ht="20" customHeight="1">
      <x:c r="A5490" s="1" t="str">
        <x:v>22961</x:v>
      </x:c>
      <x:c r="B5490" s="9" t="d">
        <x:v>2010-12-10T00:00:00.000Z</x:v>
      </x:c>
      <x:c r="C5490" s="13" t="n">
        <x:v>44</x:v>
      </x:c>
    </x:row>
    <x:row r="5491" ht="20" customHeight="1">
      <x:c r="A5491" s="1" t="str">
        <x:v>22961</x:v>
      </x:c>
      <x:c r="B5491" s="9" t="d">
        <x:v>2010-12-11T00:00:00.000Z</x:v>
      </x:c>
      <x:c r="C5491" s="13" t="n">
        <x:v>0</x:v>
      </x:c>
    </x:row>
    <x:row r="5492" ht="20" customHeight="1">
      <x:c r="A5492" s="1" t="str">
        <x:v>22961</x:v>
      </x:c>
      <x:c r="B5492" s="9" t="d">
        <x:v>2010-12-12T00:00:00.000Z</x:v>
      </x:c>
      <x:c r="C5492" s="13" t="n">
        <x:v>74</x:v>
      </x:c>
    </x:row>
    <x:row r="5493" ht="20" customHeight="1">
      <x:c r="A5493" s="1" t="str">
        <x:v>22961</x:v>
      </x:c>
      <x:c r="B5493" s="9" t="d">
        <x:v>2010-12-13T00:00:00.000Z</x:v>
      </x:c>
      <x:c r="C5493" s="13" t="n">
        <x:v>84</x:v>
      </x:c>
    </x:row>
    <x:row r="5494" ht="20" customHeight="1">
      <x:c r="A5494" s="1" t="str">
        <x:v>22961</x:v>
      </x:c>
      <x:c r="B5494" s="9" t="d">
        <x:v>2010-12-14T00:00:00.000Z</x:v>
      </x:c>
      <x:c r="C5494" s="13" t="n">
        <x:v>153</x:v>
      </x:c>
    </x:row>
    <x:row r="5495" ht="20" customHeight="1">
      <x:c r="A5495" s="1" t="str">
        <x:v>22961</x:v>
      </x:c>
      <x:c r="B5495" s="9" t="d">
        <x:v>2010-12-15T00:00:00.000Z</x:v>
      </x:c>
      <x:c r="C5495" s="13" t="n">
        <x:v>144</x:v>
      </x:c>
    </x:row>
    <x:row r="5496" ht="20" customHeight="1">
      <x:c r="A5496" s="1" t="str">
        <x:v>22961</x:v>
      </x:c>
      <x:c r="B5496" s="9" t="d">
        <x:v>2010-12-16T00:00:00.000Z</x:v>
      </x:c>
      <x:c r="C5496" s="13" t="n">
        <x:v>60</x:v>
      </x:c>
    </x:row>
    <x:row r="5497" ht="20" customHeight="1">
      <x:c r="A5497" s="1" t="str">
        <x:v>22961</x:v>
      </x:c>
      <x:c r="B5497" s="9" t="d">
        <x:v>2010-12-17T00:00:00.000Z</x:v>
      </x:c>
      <x:c r="C5497" s="13" t="n">
        <x:v>142</x:v>
      </x:c>
    </x:row>
    <x:row r="5498" ht="20" customHeight="1">
      <x:c r="A5498" s="1" t="str">
        <x:v>22961</x:v>
      </x:c>
      <x:c r="B5498" s="9" t="d">
        <x:v>2010-12-18T00:00:00.000Z</x:v>
      </x:c>
      <x:c r="C5498" s="13" t="n">
        <x:v>0</x:v>
      </x:c>
    </x:row>
    <x:row r="5499" ht="20" customHeight="1">
      <x:c r="A5499" s="1" t="str">
        <x:v>22961</x:v>
      </x:c>
      <x:c r="B5499" s="9" t="d">
        <x:v>2010-12-19T00:00:00.000Z</x:v>
      </x:c>
      <x:c r="C5499" s="13" t="n">
        <x:v>17</x:v>
      </x:c>
    </x:row>
    <x:row r="5500" ht="20" customHeight="1">
      <x:c r="A5500" s="1" t="str">
        <x:v>22961</x:v>
      </x:c>
      <x:c r="B5500" s="9" t="d">
        <x:v>2010-12-20T00:00:00.000Z</x:v>
      </x:c>
      <x:c r="C5500" s="13" t="n">
        <x:v>92</x:v>
      </x:c>
    </x:row>
    <x:row r="5501" ht="20" customHeight="1">
      <x:c r="A5501" s="1" t="str">
        <x:v>22961</x:v>
      </x:c>
      <x:c r="B5501" s="9" t="d">
        <x:v>2010-12-21T00:00:00.000Z</x:v>
      </x:c>
      <x:c r="C5501" s="13" t="n">
        <x:v>6</x:v>
      </x:c>
    </x:row>
    <x:row r="5502" ht="20" customHeight="1">
      <x:c r="A5502" s="1" t="str">
        <x:v>22961</x:v>
      </x:c>
      <x:c r="B5502" s="9" t="d">
        <x:v>2010-12-22T00:00:00.000Z</x:v>
      </x:c>
      <x:c r="C5502" s="13" t="n">
        <x:v>0</x:v>
      </x:c>
    </x:row>
    <x:row r="5503" ht="20" customHeight="1">
      <x:c r="A5503" s="1" t="str">
        <x:v>22961</x:v>
      </x:c>
      <x:c r="B5503" s="9" t="d">
        <x:v>2010-12-23T00:00:00.000Z</x:v>
      </x:c>
      <x:c r="C5503" s="13" t="n">
        <x:v>27</x:v>
      </x:c>
    </x:row>
    <x:row r="5504" ht="20" customHeight="1">
      <x:c r="A5504" s="1" t="str">
        <x:v>22961</x:v>
      </x:c>
      <x:c r="B5504" s="9" t="d">
        <x:v>2010-12-24T00:00:00.000Z</x:v>
      </x:c>
      <x:c r="C5504" s="13" t="n">
        <x:v>0</x:v>
      </x:c>
    </x:row>
    <x:row r="5505" ht="20" customHeight="1">
      <x:c r="A5505" s="1" t="str">
        <x:v>22961</x:v>
      </x:c>
      <x:c r="B5505" s="9" t="d">
        <x:v>2010-12-25T00:00:00.000Z</x:v>
      </x:c>
      <x:c r="C5505" s="13" t="n">
        <x:v>0</x:v>
      </x:c>
    </x:row>
    <x:row r="5506" ht="20" customHeight="1">
      <x:c r="A5506" s="1" t="str">
        <x:v>22961</x:v>
      </x:c>
      <x:c r="B5506" s="9" t="d">
        <x:v>2010-12-26T00:00:00.000Z</x:v>
      </x:c>
      <x:c r="C5506" s="13" t="n">
        <x:v>0</x:v>
      </x:c>
    </x:row>
    <x:row r="5507" ht="20" customHeight="1">
      <x:c r="A5507" s="1" t="str">
        <x:v>22961</x:v>
      </x:c>
      <x:c r="B5507" s="9" t="d">
        <x:v>2010-12-27T00:00:00.000Z</x:v>
      </x:c>
      <x:c r="C5507" s="13" t="n">
        <x:v>0</x:v>
      </x:c>
    </x:row>
    <x:row r="5508" ht="20" customHeight="1">
      <x:c r="A5508" s="1" t="str">
        <x:v>22961</x:v>
      </x:c>
      <x:c r="B5508" s="9" t="d">
        <x:v>2010-12-28T00:00:00.000Z</x:v>
      </x:c>
      <x:c r="C5508" s="13" t="n">
        <x:v>0</x:v>
      </x:c>
    </x:row>
    <x:row r="5509" ht="20" customHeight="1">
      <x:c r="A5509" s="1" t="str">
        <x:v>22961</x:v>
      </x:c>
      <x:c r="B5509" s="9" t="d">
        <x:v>2010-12-29T00:00:00.000Z</x:v>
      </x:c>
      <x:c r="C5509" s="13" t="n">
        <x:v>0</x:v>
      </x:c>
    </x:row>
    <x:row r="5510" ht="20" customHeight="1">
      <x:c r="A5510" s="1" t="str">
        <x:v>22961</x:v>
      </x:c>
      <x:c r="B5510" s="9" t="d">
        <x:v>2010-12-30T00:00:00.000Z</x:v>
      </x:c>
      <x:c r="C5510" s="13" t="n">
        <x:v>0</x:v>
      </x:c>
    </x:row>
    <x:row r="5511" ht="20" customHeight="1">
      <x:c r="A5511" s="1" t="str">
        <x:v>22961</x:v>
      </x:c>
      <x:c r="B5511" s="9" t="d">
        <x:v>2010-12-31T00:00:00.000Z</x:v>
      </x:c>
      <x:c r="C5511" s="13" t="n">
        <x:v>0</x:v>
      </x:c>
    </x:row>
    <x:row r="5512" ht="20" customHeight="1">
      <x:c r="A5512" s="1" t="str">
        <x:v>22961</x:v>
      </x:c>
      <x:c r="B5512" s="9" t="d">
        <x:v>2011-01-01T00:00:00.000Z</x:v>
      </x:c>
      <x:c r="C5512" s="13" t="n">
        <x:v>0</x:v>
      </x:c>
    </x:row>
    <x:row r="5513" ht="20" customHeight="1">
      <x:c r="A5513" s="1" t="str">
        <x:v>22961</x:v>
      </x:c>
      <x:c r="B5513" s="9" t="d">
        <x:v>2011-01-02T00:00:00.000Z</x:v>
      </x:c>
      <x:c r="C5513" s="13" t="n">
        <x:v>0</x:v>
      </x:c>
    </x:row>
    <x:row r="5514" ht="20" customHeight="1">
      <x:c r="A5514" s="1" t="str">
        <x:v>22961</x:v>
      </x:c>
      <x:c r="B5514" s="9" t="d">
        <x:v>2011-01-03T00:00:00.000Z</x:v>
      </x:c>
      <x:c r="C5514" s="13" t="n">
        <x:v>0</x:v>
      </x:c>
    </x:row>
    <x:row r="5515" ht="20" customHeight="1">
      <x:c r="A5515" s="1" t="str">
        <x:v>22961</x:v>
      </x:c>
      <x:c r="B5515" s="9" t="d">
        <x:v>2011-01-04T00:00:00.000Z</x:v>
      </x:c>
      <x:c r="C5515" s="13" t="n">
        <x:v>46</x:v>
      </x:c>
    </x:row>
    <x:row r="5516" ht="20" customHeight="1">
      <x:c r="A5516" s="1" t="str">
        <x:v>22961</x:v>
      </x:c>
      <x:c r="B5516" s="9" t="d">
        <x:v>2011-01-05T00:00:00.000Z</x:v>
      </x:c>
      <x:c r="C5516" s="13" t="n">
        <x:v>37</x:v>
      </x:c>
    </x:row>
    <x:row r="5517" ht="20" customHeight="1">
      <x:c r="A5517" s="1" t="str">
        <x:v>22961</x:v>
      </x:c>
      <x:c r="B5517" s="9" t="d">
        <x:v>2011-01-06T00:00:00.000Z</x:v>
      </x:c>
      <x:c r="C5517" s="13" t="n">
        <x:v>32</x:v>
      </x:c>
    </x:row>
    <x:row r="5518" ht="20" customHeight="1">
      <x:c r="A5518" s="1" t="str">
        <x:v>22961</x:v>
      </x:c>
      <x:c r="B5518" s="9" t="d">
        <x:v>2011-01-07T00:00:00.000Z</x:v>
      </x:c>
      <x:c r="C5518" s="13" t="n">
        <x:v>16</x:v>
      </x:c>
    </x:row>
    <x:row r="5519" ht="20" customHeight="1">
      <x:c r="A5519" s="1" t="str">
        <x:v>22961</x:v>
      </x:c>
      <x:c r="B5519" s="9" t="d">
        <x:v>2011-01-08T00:00:00.000Z</x:v>
      </x:c>
      <x:c r="C5519" s="13" t="n">
        <x:v>0</x:v>
      </x:c>
    </x:row>
    <x:row r="5520" ht="20" customHeight="1">
      <x:c r="A5520" s="1" t="str">
        <x:v>22961</x:v>
      </x:c>
      <x:c r="B5520" s="9" t="d">
        <x:v>2011-01-09T00:00:00.000Z</x:v>
      </x:c>
      <x:c r="C5520" s="13" t="n">
        <x:v>24</x:v>
      </x:c>
    </x:row>
    <x:row r="5521" ht="20" customHeight="1">
      <x:c r="A5521" s="1" t="str">
        <x:v>22961</x:v>
      </x:c>
      <x:c r="B5521" s="9" t="d">
        <x:v>2011-01-10T00:00:00.000Z</x:v>
      </x:c>
      <x:c r="C5521" s="13" t="n">
        <x:v>37</x:v>
      </x:c>
    </x:row>
    <x:row r="5522" ht="20" customHeight="1">
      <x:c r="A5522" s="1" t="str">
        <x:v>22961</x:v>
      </x:c>
      <x:c r="B5522" s="9" t="d">
        <x:v>2011-01-11T00:00:00.000Z</x:v>
      </x:c>
      <x:c r="C5522" s="13" t="n">
        <x:v>47</x:v>
      </x:c>
    </x:row>
    <x:row r="5523" ht="20" customHeight="1">
      <x:c r="A5523" s="1" t="str">
        <x:v>22961</x:v>
      </x:c>
      <x:c r="B5523" s="9" t="d">
        <x:v>2011-01-12T00:00:00.000Z</x:v>
      </x:c>
      <x:c r="C5523" s="13" t="n">
        <x:v>24</x:v>
      </x:c>
    </x:row>
    <x:row r="5524" ht="20" customHeight="1">
      <x:c r="A5524" s="1" t="str">
        <x:v>22961</x:v>
      </x:c>
      <x:c r="B5524" s="9" t="d">
        <x:v>2011-01-13T00:00:00.000Z</x:v>
      </x:c>
      <x:c r="C5524" s="13" t="n">
        <x:v>15</x:v>
      </x:c>
    </x:row>
    <x:row r="5525" ht="20" customHeight="1">
      <x:c r="A5525" s="1" t="str">
        <x:v>22961</x:v>
      </x:c>
      <x:c r="B5525" s="9" t="d">
        <x:v>2011-01-14T00:00:00.000Z</x:v>
      </x:c>
      <x:c r="C5525" s="13" t="n">
        <x:v>502</x:v>
      </x:c>
    </x:row>
    <x:row r="5526" ht="20" customHeight="1">
      <x:c r="A5526" s="1" t="str">
        <x:v>22961</x:v>
      </x:c>
      <x:c r="B5526" s="9" t="d">
        <x:v>2011-01-15T00:00:00.000Z</x:v>
      </x:c>
      <x:c r="C5526" s="13" t="n">
        <x:v>0</x:v>
      </x:c>
    </x:row>
    <x:row r="5527" ht="20" customHeight="1">
      <x:c r="A5527" s="1" t="str">
        <x:v>22961</x:v>
      </x:c>
      <x:c r="B5527" s="9" t="d">
        <x:v>2011-01-16T00:00:00.000Z</x:v>
      </x:c>
      <x:c r="C5527" s="13" t="n">
        <x:v>58</x:v>
      </x:c>
    </x:row>
    <x:row r="5528" ht="20" customHeight="1">
      <x:c r="A5528" s="1" t="str">
        <x:v>22961</x:v>
      </x:c>
      <x:c r="B5528" s="9" t="d">
        <x:v>2011-01-17T00:00:00.000Z</x:v>
      </x:c>
      <x:c r="C5528" s="13" t="n">
        <x:v>104</x:v>
      </x:c>
    </x:row>
    <x:row r="5529" ht="20" customHeight="1">
      <x:c r="A5529" s="1" t="str">
        <x:v>22961</x:v>
      </x:c>
      <x:c r="B5529" s="9" t="d">
        <x:v>2011-01-18T00:00:00.000Z</x:v>
      </x:c>
      <x:c r="C5529" s="13" t="n">
        <x:v>3</x:v>
      </x:c>
    </x:row>
    <x:row r="5530" ht="20" customHeight="1">
      <x:c r="A5530" s="1" t="str">
        <x:v>22961</x:v>
      </x:c>
      <x:c r="B5530" s="9" t="d">
        <x:v>2011-01-19T00:00:00.000Z</x:v>
      </x:c>
      <x:c r="C5530" s="13" t="n">
        <x:v>13</x:v>
      </x:c>
    </x:row>
    <x:row r="5531" ht="20" customHeight="1">
      <x:c r="A5531" s="1" t="str">
        <x:v>22961</x:v>
      </x:c>
      <x:c r="B5531" s="9" t="d">
        <x:v>2011-01-20T00:00:00.000Z</x:v>
      </x:c>
      <x:c r="C5531" s="13" t="n">
        <x:v>38</x:v>
      </x:c>
    </x:row>
    <x:row r="5532" ht="20" customHeight="1">
      <x:c r="A5532" s="1" t="str">
        <x:v>22961</x:v>
      </x:c>
      <x:c r="B5532" s="9" t="d">
        <x:v>2011-01-21T00:00:00.000Z</x:v>
      </x:c>
      <x:c r="C5532" s="13" t="n">
        <x:v>19</x:v>
      </x:c>
    </x:row>
    <x:row r="5533" ht="20" customHeight="1">
      <x:c r="A5533" s="1" t="str">
        <x:v>22961</x:v>
      </x:c>
      <x:c r="B5533" s="9" t="d">
        <x:v>2011-01-22T00:00:00.000Z</x:v>
      </x:c>
      <x:c r="C5533" s="13" t="n">
        <x:v>0</x:v>
      </x:c>
    </x:row>
    <x:row r="5534" ht="20" customHeight="1">
      <x:c r="A5534" s="1" t="str">
        <x:v>22961</x:v>
      </x:c>
      <x:c r="B5534" s="9" t="d">
        <x:v>2011-01-23T00:00:00.000Z</x:v>
      </x:c>
      <x:c r="C5534" s="13" t="n">
        <x:v>20</x:v>
      </x:c>
    </x:row>
    <x:row r="5535" ht="20" customHeight="1">
      <x:c r="A5535" s="1" t="str">
        <x:v>22961</x:v>
      </x:c>
      <x:c r="B5535" s="9" t="d">
        <x:v>2011-01-24T00:00:00.000Z</x:v>
      </x:c>
      <x:c r="C5535" s="13" t="n">
        <x:v>50</x:v>
      </x:c>
    </x:row>
    <x:row r="5536" ht="20" customHeight="1">
      <x:c r="A5536" s="1" t="str">
        <x:v>22961</x:v>
      </x:c>
      <x:c r="B5536" s="9" t="d">
        <x:v>2011-01-25T00:00:00.000Z</x:v>
      </x:c>
      <x:c r="C5536" s="13" t="n">
        <x:v>54</x:v>
      </x:c>
    </x:row>
    <x:row r="5537" ht="20" customHeight="1">
      <x:c r="A5537" s="1" t="str">
        <x:v>22961</x:v>
      </x:c>
      <x:c r="B5537" s="9" t="d">
        <x:v>2011-01-26T00:00:00.000Z</x:v>
      </x:c>
      <x:c r="C5537" s="13" t="n">
        <x:v>51</x:v>
      </x:c>
    </x:row>
    <x:row r="5538" ht="20" customHeight="1">
      <x:c r="A5538" s="1" t="str">
        <x:v>22961</x:v>
      </x:c>
      <x:c r="B5538" s="9" t="d">
        <x:v>2011-01-27T00:00:00.000Z</x:v>
      </x:c>
      <x:c r="C5538" s="13" t="n">
        <x:v>121</x:v>
      </x:c>
    </x:row>
    <x:row r="5539" ht="20" customHeight="1">
      <x:c r="A5539" s="1" t="str">
        <x:v>22961</x:v>
      </x:c>
      <x:c r="B5539" s="9" t="d">
        <x:v>2011-01-28T00:00:00.000Z</x:v>
      </x:c>
      <x:c r="C5539" s="13" t="n">
        <x:v>24</x:v>
      </x:c>
    </x:row>
    <x:row r="5540" ht="20" customHeight="1">
      <x:c r="A5540" s="1" t="str">
        <x:v>22961</x:v>
      </x:c>
      <x:c r="B5540" s="9" t="d">
        <x:v>2011-01-29T00:00:00.000Z</x:v>
      </x:c>
      <x:c r="C5540" s="13" t="n">
        <x:v>0</x:v>
      </x:c>
    </x:row>
    <x:row r="5541" ht="20" customHeight="1">
      <x:c r="A5541" s="1" t="str">
        <x:v>22961</x:v>
      </x:c>
      <x:c r="B5541" s="9" t="d">
        <x:v>2011-01-30T00:00:00.000Z</x:v>
      </x:c>
      <x:c r="C5541" s="13" t="n">
        <x:v>24</x:v>
      </x:c>
    </x:row>
    <x:row r="5542" ht="20" customHeight="1">
      <x:c r="A5542" s="1" t="str">
        <x:v>22961</x:v>
      </x:c>
      <x:c r="B5542" s="9" t="d">
        <x:v>2011-01-31T00:00:00.000Z</x:v>
      </x:c>
      <x:c r="C5542" s="13" t="n">
        <x:v>110</x:v>
      </x:c>
    </x:row>
    <x:row r="5543" ht="20" customHeight="1">
      <x:c r="A5543" s="1" t="str">
        <x:v>22961</x:v>
      </x:c>
      <x:c r="B5543" s="9" t="d">
        <x:v>2011-02-01T00:00:00.000Z</x:v>
      </x:c>
      <x:c r="C5543" s="13" t="n">
        <x:v>68</x:v>
      </x:c>
    </x:row>
    <x:row r="5544" ht="20" customHeight="1">
      <x:c r="A5544" s="1" t="str">
        <x:v>22961</x:v>
      </x:c>
      <x:c r="B5544" s="9" t="d">
        <x:v>2011-02-02T00:00:00.000Z</x:v>
      </x:c>
      <x:c r="C5544" s="13" t="n">
        <x:v>39</x:v>
      </x:c>
    </x:row>
    <x:row r="5545" ht="20" customHeight="1">
      <x:c r="A5545" s="1" t="str">
        <x:v>22961</x:v>
      </x:c>
      <x:c r="B5545" s="9" t="d">
        <x:v>2011-02-03T00:00:00.000Z</x:v>
      </x:c>
      <x:c r="C5545" s="13" t="n">
        <x:v>43</x:v>
      </x:c>
    </x:row>
    <x:row r="5546" ht="20" customHeight="1">
      <x:c r="A5546" s="1" t="str">
        <x:v>22961</x:v>
      </x:c>
      <x:c r="B5546" s="9" t="d">
        <x:v>2011-02-04T00:00:00.000Z</x:v>
      </x:c>
      <x:c r="C5546" s="13" t="n">
        <x:v>25</x:v>
      </x:c>
    </x:row>
    <x:row r="5547" ht="20" customHeight="1">
      <x:c r="A5547" s="1" t="str">
        <x:v>22961</x:v>
      </x:c>
      <x:c r="B5547" s="9" t="d">
        <x:v>2011-02-05T00:00:00.000Z</x:v>
      </x:c>
      <x:c r="C5547" s="13" t="n">
        <x:v>0</x:v>
      </x:c>
    </x:row>
    <x:row r="5548" ht="20" customHeight="1">
      <x:c r="A5548" s="1" t="str">
        <x:v>22961</x:v>
      </x:c>
      <x:c r="B5548" s="9" t="d">
        <x:v>2011-02-06T00:00:00.000Z</x:v>
      </x:c>
      <x:c r="C5548" s="13" t="n">
        <x:v>9</x:v>
      </x:c>
    </x:row>
    <x:row r="5549" ht="20" customHeight="1">
      <x:c r="A5549" s="1" t="str">
        <x:v>22961</x:v>
      </x:c>
      <x:c r="B5549" s="9" t="d">
        <x:v>2011-02-07T00:00:00.000Z</x:v>
      </x:c>
      <x:c r="C5549" s="13" t="n">
        <x:v>72</x:v>
      </x:c>
    </x:row>
    <x:row r="5550" ht="20" customHeight="1">
      <x:c r="A5550" s="1" t="str">
        <x:v>22961</x:v>
      </x:c>
      <x:c r="B5550" s="9" t="d">
        <x:v>2011-02-08T00:00:00.000Z</x:v>
      </x:c>
      <x:c r="C5550" s="13" t="n">
        <x:v>15</x:v>
      </x:c>
    </x:row>
    <x:row r="5551" ht="20" customHeight="1">
      <x:c r="A5551" s="1" t="str">
        <x:v>22961</x:v>
      </x:c>
      <x:c r="B5551" s="9" t="d">
        <x:v>2011-02-09T00:00:00.000Z</x:v>
      </x:c>
      <x:c r="C5551" s="13" t="n">
        <x:v>29</x:v>
      </x:c>
    </x:row>
    <x:row r="5552" ht="20" customHeight="1">
      <x:c r="A5552" s="1" t="str">
        <x:v>22961</x:v>
      </x:c>
      <x:c r="B5552" s="9" t="d">
        <x:v>2011-02-10T00:00:00.000Z</x:v>
      </x:c>
      <x:c r="C5552" s="13" t="n">
        <x:v>43</x:v>
      </x:c>
    </x:row>
    <x:row r="5553" ht="20" customHeight="1">
      <x:c r="A5553" s="1" t="str">
        <x:v>22961</x:v>
      </x:c>
      <x:c r="B5553" s="9" t="d">
        <x:v>2011-02-11T00:00:00.000Z</x:v>
      </x:c>
      <x:c r="C5553" s="13" t="n">
        <x:v>2</x:v>
      </x:c>
    </x:row>
    <x:row r="5554" ht="20" customHeight="1">
      <x:c r="A5554" s="1" t="str">
        <x:v>22961</x:v>
      </x:c>
      <x:c r="B5554" s="9" t="d">
        <x:v>2011-02-12T00:00:00.000Z</x:v>
      </x:c>
      <x:c r="C5554" s="13" t="n">
        <x:v>0</x:v>
      </x:c>
    </x:row>
    <x:row r="5555" ht="20" customHeight="1">
      <x:c r="A5555" s="1" t="str">
        <x:v>22961</x:v>
      </x:c>
      <x:c r="B5555" s="9" t="d">
        <x:v>2011-02-13T00:00:00.000Z</x:v>
      </x:c>
      <x:c r="C5555" s="13" t="n">
        <x:v>6</x:v>
      </x:c>
    </x:row>
    <x:row r="5556" ht="20" customHeight="1">
      <x:c r="A5556" s="1" t="str">
        <x:v>22961</x:v>
      </x:c>
      <x:c r="B5556" s="9" t="d">
        <x:v>2011-02-14T00:00:00.000Z</x:v>
      </x:c>
      <x:c r="C5556" s="13" t="n">
        <x:v>72</x:v>
      </x:c>
    </x:row>
    <x:row r="5557" ht="20" customHeight="1">
      <x:c r="A5557" s="1" t="str">
        <x:v>22961</x:v>
      </x:c>
      <x:c r="B5557" s="9" t="d">
        <x:v>2011-02-15T00:00:00.000Z</x:v>
      </x:c>
      <x:c r="C5557" s="13" t="n">
        <x:v>52</x:v>
      </x:c>
    </x:row>
    <x:row r="5558" ht="20" customHeight="1">
      <x:c r="A5558" s="1" t="str">
        <x:v>22961</x:v>
      </x:c>
      <x:c r="B5558" s="9" t="d">
        <x:v>2011-02-16T00:00:00.000Z</x:v>
      </x:c>
      <x:c r="C5558" s="13" t="n">
        <x:v>63</x:v>
      </x:c>
    </x:row>
    <x:row r="5559" ht="20" customHeight="1">
      <x:c r="A5559" s="1" t="str">
        <x:v>22961</x:v>
      </x:c>
      <x:c r="B5559" s="9" t="d">
        <x:v>2011-02-17T00:00:00.000Z</x:v>
      </x:c>
      <x:c r="C5559" s="13" t="n">
        <x:v>122</x:v>
      </x:c>
    </x:row>
    <x:row r="5560" ht="20" customHeight="1">
      <x:c r="A5560" s="1" t="str">
        <x:v>22961</x:v>
      </x:c>
      <x:c r="B5560" s="9" t="d">
        <x:v>2011-02-18T00:00:00.000Z</x:v>
      </x:c>
      <x:c r="C5560" s="13" t="n">
        <x:v>49</x:v>
      </x:c>
    </x:row>
    <x:row r="5561" ht="20" customHeight="1">
      <x:c r="A5561" s="1" t="str">
        <x:v>22961</x:v>
      </x:c>
      <x:c r="B5561" s="9" t="d">
        <x:v>2011-02-19T00:00:00.000Z</x:v>
      </x:c>
      <x:c r="C5561" s="13" t="n">
        <x:v>0</x:v>
      </x:c>
    </x:row>
    <x:row r="5562" ht="20" customHeight="1">
      <x:c r="A5562" s="1" t="str">
        <x:v>22961</x:v>
      </x:c>
      <x:c r="B5562" s="9" t="d">
        <x:v>2011-02-20T00:00:00.000Z</x:v>
      </x:c>
      <x:c r="C5562" s="13" t="n">
        <x:v>3</x:v>
      </x:c>
    </x:row>
    <x:row r="5563" ht="20" customHeight="1">
      <x:c r="A5563" s="1" t="str">
        <x:v>22961</x:v>
      </x:c>
      <x:c r="B5563" s="9" t="d">
        <x:v>2011-02-21T00:00:00.000Z</x:v>
      </x:c>
      <x:c r="C5563" s="13" t="n">
        <x:v>170</x:v>
      </x:c>
    </x:row>
    <x:row r="5564" ht="20" customHeight="1">
      <x:c r="A5564" s="1" t="str">
        <x:v>22961</x:v>
      </x:c>
      <x:c r="B5564" s="9" t="d">
        <x:v>2011-02-22T00:00:00.000Z</x:v>
      </x:c>
      <x:c r="C5564" s="13" t="n">
        <x:v>138</x:v>
      </x:c>
    </x:row>
    <x:row r="5565" ht="20" customHeight="1">
      <x:c r="A5565" s="1" t="str">
        <x:v>22961</x:v>
      </x:c>
      <x:c r="B5565" s="9" t="d">
        <x:v>2011-02-23T00:00:00.000Z</x:v>
      </x:c>
      <x:c r="C5565" s="13" t="n">
        <x:v>26</x:v>
      </x:c>
    </x:row>
    <x:row r="5566" ht="20" customHeight="1">
      <x:c r="A5566" s="1" t="str">
        <x:v>22961</x:v>
      </x:c>
      <x:c r="B5566" s="9" t="d">
        <x:v>2011-02-24T00:00:00.000Z</x:v>
      </x:c>
      <x:c r="C5566" s="13" t="n">
        <x:v>20</x:v>
      </x:c>
    </x:row>
    <x:row r="5567" ht="20" customHeight="1">
      <x:c r="A5567" s="1" t="str">
        <x:v>22961</x:v>
      </x:c>
      <x:c r="B5567" s="9" t="d">
        <x:v>2011-02-25T00:00:00.000Z</x:v>
      </x:c>
      <x:c r="C5567" s="13" t="n">
        <x:v>25</x:v>
      </x:c>
    </x:row>
    <x:row r="5568" ht="20" customHeight="1">
      <x:c r="A5568" s="1" t="str">
        <x:v>22961</x:v>
      </x:c>
      <x:c r="B5568" s="9" t="d">
        <x:v>2011-02-26T00:00:00.000Z</x:v>
      </x:c>
      <x:c r="C5568" s="13" t="n">
        <x:v>0</x:v>
      </x:c>
    </x:row>
    <x:row r="5569" ht="20" customHeight="1">
      <x:c r="A5569" s="1" t="str">
        <x:v>22961</x:v>
      </x:c>
      <x:c r="B5569" s="9" t="d">
        <x:v>2011-02-27T00:00:00.000Z</x:v>
      </x:c>
      <x:c r="C5569" s="13" t="n">
        <x:v>17</x:v>
      </x:c>
    </x:row>
    <x:row r="5570" ht="20" customHeight="1">
      <x:c r="A5570" s="1" t="str">
        <x:v>22961</x:v>
      </x:c>
      <x:c r="B5570" s="9" t="d">
        <x:v>2011-02-28T00:00:00.000Z</x:v>
      </x:c>
      <x:c r="C5570" s="13" t="n">
        <x:v>46</x:v>
      </x:c>
    </x:row>
    <x:row r="5571" ht="20" customHeight="1">
      <x:c r="A5571" s="1" t="str">
        <x:v>22961</x:v>
      </x:c>
      <x:c r="B5571" s="9" t="d">
        <x:v>2011-03-01T00:00:00.000Z</x:v>
      </x:c>
      <x:c r="C5571" s="13" t="n">
        <x:v>49</x:v>
      </x:c>
    </x:row>
    <x:row r="5572" ht="20" customHeight="1">
      <x:c r="A5572" s="1" t="str">
        <x:v>22961</x:v>
      </x:c>
      <x:c r="B5572" s="9" t="d">
        <x:v>2011-03-02T00:00:00.000Z</x:v>
      </x:c>
      <x:c r="C5572" s="13" t="n">
        <x:v>96</x:v>
      </x:c>
    </x:row>
    <x:row r="5573" ht="20" customHeight="1">
      <x:c r="A5573" s="1" t="str">
        <x:v>22961</x:v>
      </x:c>
      <x:c r="B5573" s="9" t="d">
        <x:v>2011-03-03T00:00:00.000Z</x:v>
      </x:c>
      <x:c r="C5573" s="13" t="n">
        <x:v>113</x:v>
      </x:c>
    </x:row>
    <x:row r="5574" ht="20" customHeight="1">
      <x:c r="A5574" s="1" t="str">
        <x:v>22961</x:v>
      </x:c>
      <x:c r="B5574" s="9" t="d">
        <x:v>2011-03-04T00:00:00.000Z</x:v>
      </x:c>
      <x:c r="C5574" s="13" t="n">
        <x:v>43</x:v>
      </x:c>
    </x:row>
    <x:row r="5575" ht="20" customHeight="1">
      <x:c r="A5575" s="1" t="str">
        <x:v>22961</x:v>
      </x:c>
      <x:c r="B5575" s="9" t="d">
        <x:v>2011-03-05T00:00:00.000Z</x:v>
      </x:c>
      <x:c r="C5575" s="13" t="n">
        <x:v>0</x:v>
      </x:c>
    </x:row>
    <x:row r="5576" ht="20" customHeight="1">
      <x:c r="A5576" s="1" t="str">
        <x:v>22961</x:v>
      </x:c>
      <x:c r="B5576" s="9" t="d">
        <x:v>2011-03-06T00:00:00.000Z</x:v>
      </x:c>
      <x:c r="C5576" s="13" t="n">
        <x:v>24</x:v>
      </x:c>
    </x:row>
    <x:row r="5577" ht="20" customHeight="1">
      <x:c r="A5577" s="1" t="str">
        <x:v>22961</x:v>
      </x:c>
      <x:c r="B5577" s="9" t="d">
        <x:v>2011-03-07T00:00:00.000Z</x:v>
      </x:c>
      <x:c r="C5577" s="13" t="n">
        <x:v>15</x:v>
      </x:c>
    </x:row>
    <x:row r="5578" ht="20" customHeight="1">
      <x:c r="A5578" s="1" t="str">
        <x:v>22961</x:v>
      </x:c>
      <x:c r="B5578" s="9" t="d">
        <x:v>2011-03-08T00:00:00.000Z</x:v>
      </x:c>
      <x:c r="C5578" s="13" t="n">
        <x:v>156</x:v>
      </x:c>
    </x:row>
    <x:row r="5579" ht="20" customHeight="1">
      <x:c r="A5579" s="1" t="str">
        <x:v>22961</x:v>
      </x:c>
      <x:c r="B5579" s="9" t="d">
        <x:v>2011-03-09T00:00:00.000Z</x:v>
      </x:c>
      <x:c r="C5579" s="13" t="n">
        <x:v>29</x:v>
      </x:c>
    </x:row>
    <x:row r="5580" ht="20" customHeight="1">
      <x:c r="A5580" s="1" t="str">
        <x:v>22961</x:v>
      </x:c>
      <x:c r="B5580" s="9" t="d">
        <x:v>2011-03-10T00:00:00.000Z</x:v>
      </x:c>
      <x:c r="C5580" s="13" t="n">
        <x:v>72</x:v>
      </x:c>
    </x:row>
    <x:row r="5581" ht="20" customHeight="1">
      <x:c r="A5581" s="1" t="str">
        <x:v>22961</x:v>
      </x:c>
      <x:c r="B5581" s="9" t="d">
        <x:v>2011-03-11T00:00:00.000Z</x:v>
      </x:c>
      <x:c r="C5581" s="13" t="n">
        <x:v>157</x:v>
      </x:c>
    </x:row>
    <x:row r="5582" ht="20" customHeight="1">
      <x:c r="A5582" s="1" t="str">
        <x:v>22961</x:v>
      </x:c>
      <x:c r="B5582" s="9" t="d">
        <x:v>2011-03-12T00:00:00.000Z</x:v>
      </x:c>
      <x:c r="C5582" s="13" t="n">
        <x:v>0</x:v>
      </x:c>
    </x:row>
    <x:row r="5583" ht="20" customHeight="1">
      <x:c r="A5583" s="1" t="str">
        <x:v>22961</x:v>
      </x:c>
      <x:c r="B5583" s="9" t="d">
        <x:v>2011-03-13T00:00:00.000Z</x:v>
      </x:c>
      <x:c r="C5583" s="13" t="n">
        <x:v>0</x:v>
      </x:c>
    </x:row>
    <x:row r="5584" ht="20" customHeight="1">
      <x:c r="A5584" s="1" t="str">
        <x:v>22961</x:v>
      </x:c>
      <x:c r="B5584" s="9" t="d">
        <x:v>2011-03-14T00:00:00.000Z</x:v>
      </x:c>
      <x:c r="C5584" s="13" t="n">
        <x:v>101</x:v>
      </x:c>
    </x:row>
    <x:row r="5585" ht="20" customHeight="1">
      <x:c r="A5585" s="1" t="str">
        <x:v>22961</x:v>
      </x:c>
      <x:c r="B5585" s="9" t="d">
        <x:v>2011-03-15T00:00:00.000Z</x:v>
      </x:c>
      <x:c r="C5585" s="13" t="n">
        <x:v>50</x:v>
      </x:c>
    </x:row>
    <x:row r="5586" ht="20" customHeight="1">
      <x:c r="A5586" s="1" t="str">
        <x:v>22961</x:v>
      </x:c>
      <x:c r="B5586" s="9" t="d">
        <x:v>2011-03-16T00:00:00.000Z</x:v>
      </x:c>
      <x:c r="C5586" s="13" t="n">
        <x:v>0</x:v>
      </x:c>
    </x:row>
    <x:row r="5587" ht="20" customHeight="1">
      <x:c r="A5587" s="1" t="str">
        <x:v>22961</x:v>
      </x:c>
      <x:c r="B5587" s="9" t="d">
        <x:v>2011-03-17T00:00:00.000Z</x:v>
      </x:c>
      <x:c r="C5587" s="13" t="n">
        <x:v>0</x:v>
      </x:c>
    </x:row>
    <x:row r="5588" ht="20" customHeight="1">
      <x:c r="A5588" s="1" t="str">
        <x:v>22961</x:v>
      </x:c>
      <x:c r="B5588" s="9" t="d">
        <x:v>2011-03-18T00:00:00.000Z</x:v>
      </x:c>
      <x:c r="C5588" s="13" t="n">
        <x:v>76</x:v>
      </x:c>
    </x:row>
    <x:row r="5589" ht="20" customHeight="1">
      <x:c r="A5589" s="1" t="str">
        <x:v>22961</x:v>
      </x:c>
      <x:c r="B5589" s="9" t="d">
        <x:v>2011-03-19T00:00:00.000Z</x:v>
      </x:c>
      <x:c r="C5589" s="13" t="n">
        <x:v>0</x:v>
      </x:c>
    </x:row>
    <x:row r="5590" ht="20" customHeight="1">
      <x:c r="A5590" s="1" t="str">
        <x:v>22961</x:v>
      </x:c>
      <x:c r="B5590" s="9" t="d">
        <x:v>2011-03-20T00:00:00.000Z</x:v>
      </x:c>
      <x:c r="C5590" s="13" t="n">
        <x:v>79</x:v>
      </x:c>
    </x:row>
    <x:row r="5591" ht="20" customHeight="1">
      <x:c r="A5591" s="1" t="str">
        <x:v>22961</x:v>
      </x:c>
      <x:c r="B5591" s="9" t="d">
        <x:v>2011-03-21T00:00:00.000Z</x:v>
      </x:c>
      <x:c r="C5591" s="13" t="n">
        <x:v>25</x:v>
      </x:c>
    </x:row>
    <x:row r="5592" ht="20" customHeight="1">
      <x:c r="A5592" s="1" t="str">
        <x:v>22961</x:v>
      </x:c>
      <x:c r="B5592" s="9" t="d">
        <x:v>2011-03-22T00:00:00.000Z</x:v>
      </x:c>
      <x:c r="C5592" s="13" t="n">
        <x:v>50</x:v>
      </x:c>
    </x:row>
    <x:row r="5593" ht="20" customHeight="1">
      <x:c r="A5593" s="1" t="str">
        <x:v>22961</x:v>
      </x:c>
      <x:c r="B5593" s="9" t="d">
        <x:v>2011-03-23T00:00:00.000Z</x:v>
      </x:c>
      <x:c r="C5593" s="13" t="n">
        <x:v>38</x:v>
      </x:c>
    </x:row>
    <x:row r="5594" ht="20" customHeight="1">
      <x:c r="A5594" s="1" t="str">
        <x:v>22961</x:v>
      </x:c>
      <x:c r="B5594" s="9" t="d">
        <x:v>2011-03-24T00:00:00.000Z</x:v>
      </x:c>
      <x:c r="C5594" s="13" t="n">
        <x:v>122</x:v>
      </x:c>
    </x:row>
    <x:row r="5595" ht="20" customHeight="1">
      <x:c r="A5595" s="1" t="str">
        <x:v>22961</x:v>
      </x:c>
      <x:c r="B5595" s="9" t="d">
        <x:v>2011-03-25T00:00:00.000Z</x:v>
      </x:c>
      <x:c r="C5595" s="13" t="n">
        <x:v>36</x:v>
      </x:c>
    </x:row>
    <x:row r="5596" ht="20" customHeight="1">
      <x:c r="A5596" s="1" t="str">
        <x:v>22961</x:v>
      </x:c>
      <x:c r="B5596" s="9" t="d">
        <x:v>2011-03-26T00:00:00.000Z</x:v>
      </x:c>
      <x:c r="C5596" s="13" t="n">
        <x:v>0</x:v>
      </x:c>
    </x:row>
    <x:row r="5597" ht="20" customHeight="1">
      <x:c r="A5597" s="1" t="str">
        <x:v>22961</x:v>
      </x:c>
      <x:c r="B5597" s="9" t="d">
        <x:v>2011-03-27T00:00:00.000Z</x:v>
      </x:c>
      <x:c r="C5597" s="13" t="n">
        <x:v>4</x:v>
      </x:c>
    </x:row>
    <x:row r="5598" ht="20" customHeight="1">
      <x:c r="A5598" s="1" t="str">
        <x:v>22961</x:v>
      </x:c>
      <x:c r="B5598" s="9" t="d">
        <x:v>2011-03-28T00:00:00.000Z</x:v>
      </x:c>
      <x:c r="C5598" s="13" t="n">
        <x:v>71</x:v>
      </x:c>
    </x:row>
    <x:row r="5599" ht="20" customHeight="1">
      <x:c r="A5599" s="1" t="str">
        <x:v>22961</x:v>
      </x:c>
      <x:c r="B5599" s="9" t="d">
        <x:v>2011-03-29T00:00:00.000Z</x:v>
      </x:c>
      <x:c r="C5599" s="13" t="n">
        <x:v>200</x:v>
      </x:c>
    </x:row>
    <x:row r="5600" ht="20" customHeight="1">
      <x:c r="A5600" s="1" t="str">
        <x:v>22961</x:v>
      </x:c>
      <x:c r="B5600" s="9" t="d">
        <x:v>2011-03-30T00:00:00.000Z</x:v>
      </x:c>
      <x:c r="C5600" s="13" t="n">
        <x:v>13</x:v>
      </x:c>
    </x:row>
    <x:row r="5601" ht="20" customHeight="1">
      <x:c r="A5601" s="1" t="str">
        <x:v>22961</x:v>
      </x:c>
      <x:c r="B5601" s="9" t="d">
        <x:v>2011-03-31T00:00:00.000Z</x:v>
      </x:c>
      <x:c r="C5601" s="13" t="n">
        <x:v>108</x:v>
      </x:c>
    </x:row>
    <x:row r="5602" ht="20" customHeight="1">
      <x:c r="A5602" s="1" t="str">
        <x:v>22961</x:v>
      </x:c>
      <x:c r="B5602" s="9" t="d">
        <x:v>2011-04-01T00:00:00.000Z</x:v>
      </x:c>
      <x:c r="C5602" s="13" t="n">
        <x:v>28</x:v>
      </x:c>
    </x:row>
    <x:row r="5603" ht="20" customHeight="1">
      <x:c r="A5603" s="1" t="str">
        <x:v>22961</x:v>
      </x:c>
      <x:c r="B5603" s="9" t="d">
        <x:v>2011-04-02T00:00:00.000Z</x:v>
      </x:c>
      <x:c r="C5603" s="13" t="n">
        <x:v>0</x:v>
      </x:c>
    </x:row>
    <x:row r="5604" ht="20" customHeight="1">
      <x:c r="A5604" s="1" t="str">
        <x:v>22961</x:v>
      </x:c>
      <x:c r="B5604" s="9" t="d">
        <x:v>2011-04-03T00:00:00.000Z</x:v>
      </x:c>
      <x:c r="C5604" s="13" t="n">
        <x:v>16</x:v>
      </x:c>
    </x:row>
    <x:row r="5605" ht="20" customHeight="1">
      <x:c r="A5605" s="1" t="str">
        <x:v>22961</x:v>
      </x:c>
      <x:c r="B5605" s="9" t="d">
        <x:v>2011-04-04T00:00:00.000Z</x:v>
      </x:c>
      <x:c r="C5605" s="13" t="n">
        <x:v>47</x:v>
      </x:c>
    </x:row>
    <x:row r="5606" ht="20" customHeight="1">
      <x:c r="A5606" s="1" t="str">
        <x:v>22961</x:v>
      </x:c>
      <x:c r="B5606" s="9" t="d">
        <x:v>2011-04-05T00:00:00.000Z</x:v>
      </x:c>
      <x:c r="C5606" s="13" t="n">
        <x:v>38</x:v>
      </x:c>
    </x:row>
    <x:row r="5607" ht="20" customHeight="1">
      <x:c r="A5607" s="1" t="str">
        <x:v>22961</x:v>
      </x:c>
      <x:c r="B5607" s="9" t="d">
        <x:v>2011-04-06T00:00:00.000Z</x:v>
      </x:c>
      <x:c r="C5607" s="13" t="n">
        <x:v>0</x:v>
      </x:c>
    </x:row>
    <x:row r="5608" ht="20" customHeight="1">
      <x:c r="A5608" s="1" t="str">
        <x:v>22961</x:v>
      </x:c>
      <x:c r="B5608" s="9" t="d">
        <x:v>2011-04-07T00:00:00.000Z</x:v>
      </x:c>
      <x:c r="C5608" s="13" t="n">
        <x:v>17</x:v>
      </x:c>
    </x:row>
    <x:row r="5609" ht="20" customHeight="1">
      <x:c r="A5609" s="1" t="str">
        <x:v>22961</x:v>
      </x:c>
      <x:c r="B5609" s="9" t="d">
        <x:v>2011-04-08T00:00:00.000Z</x:v>
      </x:c>
      <x:c r="C5609" s="13" t="n">
        <x:v>12</x:v>
      </x:c>
    </x:row>
    <x:row r="5610" ht="20" customHeight="1">
      <x:c r="A5610" s="1" t="str">
        <x:v>22961</x:v>
      </x:c>
      <x:c r="B5610" s="9" t="d">
        <x:v>2011-04-09T00:00:00.000Z</x:v>
      </x:c>
      <x:c r="C5610" s="13" t="n">
        <x:v>0</x:v>
      </x:c>
    </x:row>
    <x:row r="5611" ht="20" customHeight="1">
      <x:c r="A5611" s="1" t="str">
        <x:v>22961</x:v>
      </x:c>
      <x:c r="B5611" s="9" t="d">
        <x:v>2011-04-10T00:00:00.000Z</x:v>
      </x:c>
      <x:c r="C5611" s="13" t="n">
        <x:v>16</x:v>
      </x:c>
    </x:row>
    <x:row r="5612" ht="20" customHeight="1">
      <x:c r="A5612" s="1" t="str">
        <x:v>22961</x:v>
      </x:c>
      <x:c r="B5612" s="9" t="d">
        <x:v>2011-04-11T00:00:00.000Z</x:v>
      </x:c>
      <x:c r="C5612" s="13" t="n">
        <x:v>8</x:v>
      </x:c>
    </x:row>
    <x:row r="5613" ht="20" customHeight="1">
      <x:c r="A5613" s="1" t="str">
        <x:v>22961</x:v>
      </x:c>
      <x:c r="B5613" s="9" t="d">
        <x:v>2011-04-12T00:00:00.000Z</x:v>
      </x:c>
      <x:c r="C5613" s="13" t="n">
        <x:v>1</x:v>
      </x:c>
    </x:row>
    <x:row r="5614" ht="20" customHeight="1">
      <x:c r="A5614" s="1" t="str">
        <x:v>22961</x:v>
      </x:c>
      <x:c r="B5614" s="9" t="d">
        <x:v>2011-04-13T00:00:00.000Z</x:v>
      </x:c>
      <x:c r="C5614" s="13" t="n">
        <x:v>0</x:v>
      </x:c>
    </x:row>
    <x:row r="5615" ht="20" customHeight="1">
      <x:c r="A5615" s="1" t="str">
        <x:v>22961</x:v>
      </x:c>
      <x:c r="B5615" s="9" t="d">
        <x:v>2011-04-14T00:00:00.000Z</x:v>
      </x:c>
      <x:c r="C5615" s="13" t="n">
        <x:v>0</x:v>
      </x:c>
    </x:row>
    <x:row r="5616" ht="20" customHeight="1">
      <x:c r="A5616" s="1" t="str">
        <x:v>22961</x:v>
      </x:c>
      <x:c r="B5616" s="9" t="d">
        <x:v>2011-04-15T00:00:00.000Z</x:v>
      </x:c>
      <x:c r="C5616" s="13" t="n">
        <x:v>2</x:v>
      </x:c>
    </x:row>
    <x:row r="5617" ht="20" customHeight="1">
      <x:c r="A5617" s="1" t="str">
        <x:v>22961</x:v>
      </x:c>
      <x:c r="B5617" s="9" t="d">
        <x:v>2011-04-16T00:00:00.000Z</x:v>
      </x:c>
      <x:c r="C5617" s="13" t="n">
        <x:v>0</x:v>
      </x:c>
    </x:row>
    <x:row r="5618" ht="20" customHeight="1">
      <x:c r="A5618" s="1" t="str">
        <x:v>22961</x:v>
      </x:c>
      <x:c r="B5618" s="9" t="d">
        <x:v>2011-04-17T00:00:00.000Z</x:v>
      </x:c>
      <x:c r="C5618" s="13" t="n">
        <x:v>0</x:v>
      </x:c>
    </x:row>
    <x:row r="5619" ht="20" customHeight="1">
      <x:c r="A5619" s="1" t="str">
        <x:v>22961</x:v>
      </x:c>
      <x:c r="B5619" s="9" t="d">
        <x:v>2011-04-18T00:00:00.000Z</x:v>
      </x:c>
      <x:c r="C5619" s="13" t="n">
        <x:v>5</x:v>
      </x:c>
    </x:row>
    <x:row r="5620" ht="20" customHeight="1">
      <x:c r="A5620" s="1" t="str">
        <x:v>22961</x:v>
      </x:c>
      <x:c r="B5620" s="9" t="d">
        <x:v>2011-04-19T00:00:00.000Z</x:v>
      </x:c>
      <x:c r="C5620" s="13" t="n">
        <x:v>3</x:v>
      </x:c>
    </x:row>
    <x:row r="5621" ht="20" customHeight="1">
      <x:c r="A5621" s="1" t="str">
        <x:v>22961</x:v>
      </x:c>
      <x:c r="B5621" s="9" t="d">
        <x:v>2011-04-20T00:00:00.000Z</x:v>
      </x:c>
      <x:c r="C5621" s="13" t="n">
        <x:v>0</x:v>
      </x:c>
    </x:row>
    <x:row r="5622" ht="20" customHeight="1">
      <x:c r="A5622" s="1" t="str">
        <x:v>22961</x:v>
      </x:c>
      <x:c r="B5622" s="9" t="d">
        <x:v>2011-04-21T00:00:00.000Z</x:v>
      </x:c>
      <x:c r="C5622" s="13" t="n">
        <x:v>1</x:v>
      </x:c>
    </x:row>
    <x:row r="5623" ht="20" customHeight="1">
      <x:c r="A5623" s="1" t="str">
        <x:v>22961</x:v>
      </x:c>
      <x:c r="B5623" s="9" t="d">
        <x:v>2011-04-22T00:00:00.000Z</x:v>
      </x:c>
      <x:c r="C5623" s="13" t="n">
        <x:v>0</x:v>
      </x:c>
    </x:row>
    <x:row r="5624" ht="20" customHeight="1">
      <x:c r="A5624" s="1" t="str">
        <x:v>22961</x:v>
      </x:c>
      <x:c r="B5624" s="9" t="d">
        <x:v>2011-04-23T00:00:00.000Z</x:v>
      </x:c>
      <x:c r="C5624" s="13" t="n">
        <x:v>0</x:v>
      </x:c>
    </x:row>
    <x:row r="5625" ht="20" customHeight="1">
      <x:c r="A5625" s="1" t="str">
        <x:v>22961</x:v>
      </x:c>
      <x:c r="B5625" s="9" t="d">
        <x:v>2011-04-24T00:00:00.000Z</x:v>
      </x:c>
      <x:c r="C5625" s="13" t="n">
        <x:v>0</x:v>
      </x:c>
    </x:row>
    <x:row r="5626" ht="20" customHeight="1">
      <x:c r="A5626" s="1" t="str">
        <x:v>22961</x:v>
      </x:c>
      <x:c r="B5626" s="9" t="d">
        <x:v>2011-04-25T00:00:00.000Z</x:v>
      </x:c>
      <x:c r="C5626" s="13" t="n">
        <x:v>0</x:v>
      </x:c>
    </x:row>
    <x:row r="5627" ht="20" customHeight="1">
      <x:c r="A5627" s="1" t="str">
        <x:v>22961</x:v>
      </x:c>
      <x:c r="B5627" s="9" t="d">
        <x:v>2011-04-26T00:00:00.000Z</x:v>
      </x:c>
      <x:c r="C5627" s="13" t="n">
        <x:v>3</x:v>
      </x:c>
    </x:row>
    <x:row r="5628" ht="20" customHeight="1">
      <x:c r="A5628" s="1" t="str">
        <x:v>22961</x:v>
      </x:c>
      <x:c r="B5628" s="9" t="d">
        <x:v>2011-04-27T00:00:00.000Z</x:v>
      </x:c>
      <x:c r="C5628" s="13" t="n">
        <x:v>0</x:v>
      </x:c>
    </x:row>
    <x:row r="5629" ht="20" customHeight="1">
      <x:c r="A5629" s="1" t="str">
        <x:v>22961</x:v>
      </x:c>
      <x:c r="B5629" s="9" t="d">
        <x:v>2011-04-28T00:00:00.000Z</x:v>
      </x:c>
      <x:c r="C5629" s="13" t="n">
        <x:v>0</x:v>
      </x:c>
    </x:row>
    <x:row r="5630" ht="20" customHeight="1">
      <x:c r="A5630" s="1" t="str">
        <x:v>22961</x:v>
      </x:c>
      <x:c r="B5630" s="9" t="d">
        <x:v>2011-04-29T00:00:00.000Z</x:v>
      </x:c>
      <x:c r="C5630" s="13" t="n">
        <x:v>0</x:v>
      </x:c>
    </x:row>
    <x:row r="5631" ht="20" customHeight="1">
      <x:c r="A5631" s="1" t="str">
        <x:v>22961</x:v>
      </x:c>
      <x:c r="B5631" s="9" t="d">
        <x:v>2011-04-30T00:00:00.000Z</x:v>
      </x:c>
      <x:c r="C5631" s="13" t="n">
        <x:v>0</x:v>
      </x:c>
    </x:row>
    <x:row r="5632" ht="20" customHeight="1">
      <x:c r="A5632" s="1" t="str">
        <x:v>22961</x:v>
      </x:c>
      <x:c r="B5632" s="9" t="d">
        <x:v>2011-05-01T00:00:00.000Z</x:v>
      </x:c>
      <x:c r="C5632" s="13" t="n">
        <x:v>0</x:v>
      </x:c>
    </x:row>
    <x:row r="5633" ht="20" customHeight="1">
      <x:c r="A5633" s="1" t="str">
        <x:v>22961</x:v>
      </x:c>
      <x:c r="B5633" s="9" t="d">
        <x:v>2011-05-02T00:00:00.000Z</x:v>
      </x:c>
      <x:c r="C5633" s="13" t="n">
        <x:v>0</x:v>
      </x:c>
    </x:row>
    <x:row r="5634" ht="20" customHeight="1">
      <x:c r="A5634" s="1" t="str">
        <x:v>22961</x:v>
      </x:c>
      <x:c r="B5634" s="9" t="d">
        <x:v>2011-05-03T00:00:00.000Z</x:v>
      </x:c>
      <x:c r="C5634" s="13" t="n">
        <x:v>1</x:v>
      </x:c>
    </x:row>
    <x:row r="5635" ht="20" customHeight="1">
      <x:c r="A5635" s="1" t="str">
        <x:v>22961</x:v>
      </x:c>
      <x:c r="B5635" s="9" t="d">
        <x:v>2011-05-04T00:00:00.000Z</x:v>
      </x:c>
      <x:c r="C5635" s="13" t="n">
        <x:v>0</x:v>
      </x:c>
    </x:row>
    <x:row r="5636" ht="20" customHeight="1">
      <x:c r="A5636" s="1" t="str">
        <x:v>22961</x:v>
      </x:c>
      <x:c r="B5636" s="9" t="d">
        <x:v>2011-05-05T00:00:00.000Z</x:v>
      </x:c>
      <x:c r="C5636" s="13" t="n">
        <x:v>0</x:v>
      </x:c>
    </x:row>
    <x:row r="5637" ht="20" customHeight="1">
      <x:c r="A5637" s="1" t="str">
        <x:v>22961</x:v>
      </x:c>
      <x:c r="B5637" s="9" t="d">
        <x:v>2011-05-06T00:00:00.000Z</x:v>
      </x:c>
      <x:c r="C5637" s="13" t="n">
        <x:v>0</x:v>
      </x:c>
    </x:row>
    <x:row r="5638" ht="20" customHeight="1">
      <x:c r="A5638" s="1" t="str">
        <x:v>22961</x:v>
      </x:c>
      <x:c r="B5638" s="9" t="d">
        <x:v>2011-05-07T00:00:00.000Z</x:v>
      </x:c>
      <x:c r="C5638" s="13" t="n">
        <x:v>0</x:v>
      </x:c>
    </x:row>
    <x:row r="5639" ht="20" customHeight="1">
      <x:c r="A5639" s="1" t="str">
        <x:v>22961</x:v>
      </x:c>
      <x:c r="B5639" s="9" t="d">
        <x:v>2011-05-08T00:00:00.000Z</x:v>
      </x:c>
      <x:c r="C5639" s="13" t="n">
        <x:v>0</x:v>
      </x:c>
    </x:row>
    <x:row r="5640" ht="20" customHeight="1">
      <x:c r="A5640" s="1" t="str">
        <x:v>22961</x:v>
      </x:c>
      <x:c r="B5640" s="9" t="d">
        <x:v>2011-05-09T00:00:00.000Z</x:v>
      </x:c>
      <x:c r="C5640" s="13" t="n">
        <x:v>5</x:v>
      </x:c>
    </x:row>
    <x:row r="5641" ht="20" customHeight="1">
      <x:c r="A5641" s="1" t="str">
        <x:v>22961</x:v>
      </x:c>
      <x:c r="B5641" s="9" t="d">
        <x:v>2011-05-10T00:00:00.000Z</x:v>
      </x:c>
      <x:c r="C5641" s="13" t="n">
        <x:v>108</x:v>
      </x:c>
    </x:row>
    <x:row r="5642" ht="20" customHeight="1">
      <x:c r="A5642" s="1" t="str">
        <x:v>22961</x:v>
      </x:c>
      <x:c r="B5642" s="9" t="d">
        <x:v>2011-05-11T00:00:00.000Z</x:v>
      </x:c>
      <x:c r="C5642" s="13" t="n">
        <x:v>27</x:v>
      </x:c>
    </x:row>
    <x:row r="5643" ht="20" customHeight="1">
      <x:c r="A5643" s="1" t="str">
        <x:v>22961</x:v>
      </x:c>
      <x:c r="B5643" s="9" t="d">
        <x:v>2011-05-12T00:00:00.000Z</x:v>
      </x:c>
      <x:c r="C5643" s="13" t="n">
        <x:v>98</x:v>
      </x:c>
    </x:row>
    <x:row r="5644" ht="20" customHeight="1">
      <x:c r="A5644" s="1" t="str">
        <x:v>22961</x:v>
      </x:c>
      <x:c r="B5644" s="9" t="d">
        <x:v>2011-05-13T00:00:00.000Z</x:v>
      </x:c>
      <x:c r="C5644" s="13" t="n">
        <x:v>149</x:v>
      </x:c>
    </x:row>
    <x:row r="5645" ht="20" customHeight="1">
      <x:c r="A5645" s="1" t="str">
        <x:v>22961</x:v>
      </x:c>
      <x:c r="B5645" s="9" t="d">
        <x:v>2011-05-14T00:00:00.000Z</x:v>
      </x:c>
      <x:c r="C5645" s="13" t="n">
        <x:v>0</x:v>
      </x:c>
    </x:row>
    <x:row r="5646" ht="20" customHeight="1">
      <x:c r="A5646" s="1" t="str">
        <x:v>22961</x:v>
      </x:c>
      <x:c r="B5646" s="9" t="d">
        <x:v>2011-05-15T00:00:00.000Z</x:v>
      </x:c>
      <x:c r="C5646" s="13" t="n">
        <x:v>0</x:v>
      </x:c>
    </x:row>
    <x:row r="5647" ht="20" customHeight="1">
      <x:c r="A5647" s="1" t="str">
        <x:v>22961</x:v>
      </x:c>
      <x:c r="B5647" s="9" t="d">
        <x:v>2011-05-16T00:00:00.000Z</x:v>
      </x:c>
      <x:c r="C5647" s="13" t="n">
        <x:v>36</x:v>
      </x:c>
    </x:row>
    <x:row r="5648" ht="20" customHeight="1">
      <x:c r="A5648" s="1" t="str">
        <x:v>22961</x:v>
      </x:c>
      <x:c r="B5648" s="9" t="d">
        <x:v>2011-05-17T00:00:00.000Z</x:v>
      </x:c>
      <x:c r="C5648" s="13" t="n">
        <x:v>1</x:v>
      </x:c>
    </x:row>
    <x:row r="5649" ht="20" customHeight="1">
      <x:c r="A5649" s="1" t="str">
        <x:v>22961</x:v>
      </x:c>
      <x:c r="B5649" s="9" t="d">
        <x:v>2011-05-18T00:00:00.000Z</x:v>
      </x:c>
      <x:c r="C5649" s="13" t="n">
        <x:v>12</x:v>
      </x:c>
    </x:row>
    <x:row r="5650" ht="20" customHeight="1">
      <x:c r="A5650" s="1" t="str">
        <x:v>22961</x:v>
      </x:c>
      <x:c r="B5650" s="9" t="d">
        <x:v>2011-05-19T00:00:00.000Z</x:v>
      </x:c>
      <x:c r="C5650" s="13" t="n">
        <x:v>101</x:v>
      </x:c>
    </x:row>
    <x:row r="5651" ht="20" customHeight="1">
      <x:c r="A5651" s="1" t="str">
        <x:v>22961</x:v>
      </x:c>
      <x:c r="B5651" s="9" t="d">
        <x:v>2011-05-20T00:00:00.000Z</x:v>
      </x:c>
      <x:c r="C5651" s="13" t="n">
        <x:v>120</x:v>
      </x:c>
    </x:row>
    <x:row r="5652" ht="20" customHeight="1">
      <x:c r="A5652" s="1" t="str">
        <x:v>22961</x:v>
      </x:c>
      <x:c r="B5652" s="9" t="d">
        <x:v>2011-05-21T00:00:00.000Z</x:v>
      </x:c>
      <x:c r="C5652" s="13" t="n">
        <x:v>0</x:v>
      </x:c>
    </x:row>
    <x:row r="5653" ht="20" customHeight="1">
      <x:c r="A5653" s="1" t="str">
        <x:v>22961</x:v>
      </x:c>
      <x:c r="B5653" s="9" t="d">
        <x:v>2011-05-22T00:00:00.000Z</x:v>
      </x:c>
      <x:c r="C5653" s="13" t="n">
        <x:v>36</x:v>
      </x:c>
    </x:row>
    <x:row r="5654" ht="20" customHeight="1">
      <x:c r="A5654" s="1" t="str">
        <x:v>22961</x:v>
      </x:c>
      <x:c r="B5654" s="9" t="d">
        <x:v>2011-05-23T00:00:00.000Z</x:v>
      </x:c>
      <x:c r="C5654" s="13" t="n">
        <x:v>12</x:v>
      </x:c>
    </x:row>
    <x:row r="5655" ht="20" customHeight="1">
      <x:c r="A5655" s="1" t="str">
        <x:v>22961</x:v>
      </x:c>
      <x:c r="B5655" s="9" t="d">
        <x:v>2011-05-24T00:00:00.000Z</x:v>
      </x:c>
      <x:c r="C5655" s="13" t="n">
        <x:v>24</x:v>
      </x:c>
    </x:row>
    <x:row r="5656" ht="20" customHeight="1">
      <x:c r="A5656" s="1" t="str">
        <x:v>22961</x:v>
      </x:c>
      <x:c r="B5656" s="9" t="d">
        <x:v>2011-05-25T00:00:00.000Z</x:v>
      </x:c>
      <x:c r="C5656" s="13" t="n">
        <x:v>85</x:v>
      </x:c>
    </x:row>
    <x:row r="5657" ht="20" customHeight="1">
      <x:c r="A5657" s="1" t="str">
        <x:v>22961</x:v>
      </x:c>
      <x:c r="B5657" s="9" t="d">
        <x:v>2011-05-26T00:00:00.000Z</x:v>
      </x:c>
      <x:c r="C5657" s="13" t="n">
        <x:v>32</x:v>
      </x:c>
    </x:row>
    <x:row r="5658" ht="20" customHeight="1">
      <x:c r="A5658" s="1" t="str">
        <x:v>22961</x:v>
      </x:c>
      <x:c r="B5658" s="9" t="d">
        <x:v>2011-05-27T00:00:00.000Z</x:v>
      </x:c>
      <x:c r="C5658" s="13" t="n">
        <x:v>48</x:v>
      </x:c>
    </x:row>
    <x:row r="5659" ht="20" customHeight="1">
      <x:c r="A5659" s="1" t="str">
        <x:v>22961</x:v>
      </x:c>
      <x:c r="B5659" s="9" t="d">
        <x:v>2011-05-28T00:00:00.000Z</x:v>
      </x:c>
      <x:c r="C5659" s="13" t="n">
        <x:v>0</x:v>
      </x:c>
    </x:row>
    <x:row r="5660" ht="20" customHeight="1">
      <x:c r="A5660" s="1" t="str">
        <x:v>22961</x:v>
      </x:c>
      <x:c r="B5660" s="9" t="d">
        <x:v>2011-05-29T00:00:00.000Z</x:v>
      </x:c>
      <x:c r="C5660" s="13" t="n">
        <x:v>2</x:v>
      </x:c>
    </x:row>
    <x:row r="5661" ht="20" customHeight="1">
      <x:c r="A5661" s="1" t="str">
        <x:v>22961</x:v>
      </x:c>
      <x:c r="B5661" s="9" t="d">
        <x:v>2011-05-30T00:00:00.000Z</x:v>
      </x:c>
      <x:c r="C5661" s="13" t="n">
        <x:v>0</x:v>
      </x:c>
    </x:row>
    <x:row r="5662" ht="20" customHeight="1">
      <x:c r="A5662" s="1" t="str">
        <x:v>22961</x:v>
      </x:c>
      <x:c r="B5662" s="9" t="d">
        <x:v>2011-05-31T00:00:00.000Z</x:v>
      </x:c>
      <x:c r="C5662" s="13" t="n">
        <x:v>1</x:v>
      </x:c>
    </x:row>
    <x:row r="5663" ht="20" customHeight="1">
      <x:c r="A5663" s="1" t="str">
        <x:v>22961</x:v>
      </x:c>
      <x:c r="B5663" s="9" t="d">
        <x:v>2011-06-01T00:00:00.000Z</x:v>
      </x:c>
      <x:c r="C5663" s="13" t="n">
        <x:v>36</x:v>
      </x:c>
    </x:row>
    <x:row r="5664" ht="20" customHeight="1">
      <x:c r="A5664" s="1" t="str">
        <x:v>22961</x:v>
      </x:c>
      <x:c r="B5664" s="9" t="d">
        <x:v>2011-06-02T00:00:00.000Z</x:v>
      </x:c>
      <x:c r="C5664" s="13" t="n">
        <x:v>64</x:v>
      </x:c>
    </x:row>
    <x:row r="5665" ht="20" customHeight="1">
      <x:c r="A5665" s="1" t="str">
        <x:v>22961</x:v>
      </x:c>
      <x:c r="B5665" s="9" t="d">
        <x:v>2011-06-03T00:00:00.000Z</x:v>
      </x:c>
      <x:c r="C5665" s="13" t="n">
        <x:v>2</x:v>
      </x:c>
    </x:row>
    <x:row r="5666" ht="20" customHeight="1">
      <x:c r="A5666" s="1" t="str">
        <x:v>22961</x:v>
      </x:c>
      <x:c r="B5666" s="9" t="d">
        <x:v>2011-06-04T00:00:00.000Z</x:v>
      </x:c>
      <x:c r="C5666" s="13" t="n">
        <x:v>0</x:v>
      </x:c>
    </x:row>
    <x:row r="5667" ht="20" customHeight="1">
      <x:c r="A5667" s="1" t="str">
        <x:v>22961</x:v>
      </x:c>
      <x:c r="B5667" s="9" t="d">
        <x:v>2011-06-05T00:00:00.000Z</x:v>
      </x:c>
      <x:c r="C5667" s="13" t="n">
        <x:v>38</x:v>
      </x:c>
    </x:row>
    <x:row r="5668" ht="20" customHeight="1">
      <x:c r="A5668" s="1" t="str">
        <x:v>22961</x:v>
      </x:c>
      <x:c r="B5668" s="9" t="d">
        <x:v>2011-06-06T00:00:00.000Z</x:v>
      </x:c>
      <x:c r="C5668" s="13" t="n">
        <x:v>48</x:v>
      </x:c>
    </x:row>
    <x:row r="5669" ht="20" customHeight="1">
      <x:c r="A5669" s="1" t="str">
        <x:v>22961</x:v>
      </x:c>
      <x:c r="B5669" s="9" t="d">
        <x:v>2011-06-07T00:00:00.000Z</x:v>
      </x:c>
      <x:c r="C5669" s="13" t="n">
        <x:v>44</x:v>
      </x:c>
    </x:row>
    <x:row r="5670" ht="20" customHeight="1">
      <x:c r="A5670" s="1" t="str">
        <x:v>22961</x:v>
      </x:c>
      <x:c r="B5670" s="9" t="d">
        <x:v>2011-06-08T00:00:00.000Z</x:v>
      </x:c>
      <x:c r="C5670" s="13" t="n">
        <x:v>16</x:v>
      </x:c>
    </x:row>
    <x:row r="5671" ht="20" customHeight="1">
      <x:c r="A5671" s="1" t="str">
        <x:v>22961</x:v>
      </x:c>
      <x:c r="B5671" s="9" t="d">
        <x:v>2011-06-09T00:00:00.000Z</x:v>
      </x:c>
      <x:c r="C5671" s="13" t="n">
        <x:v>82</x:v>
      </x:c>
    </x:row>
    <x:row r="5672" ht="20" customHeight="1">
      <x:c r="A5672" s="1" t="str">
        <x:v>22961</x:v>
      </x:c>
      <x:c r="B5672" s="9" t="d">
        <x:v>2011-06-10T00:00:00.000Z</x:v>
      </x:c>
      <x:c r="C5672" s="13" t="n">
        <x:v>13</x:v>
      </x:c>
    </x:row>
    <x:row r="5673" ht="20" customHeight="1">
      <x:c r="A5673" s="1" t="str">
        <x:v>22961</x:v>
      </x:c>
      <x:c r="B5673" s="9" t="d">
        <x:v>2011-06-11T00:00:00.000Z</x:v>
      </x:c>
      <x:c r="C5673" s="13" t="n">
        <x:v>0</x:v>
      </x:c>
    </x:row>
    <x:row r="5674" ht="20" customHeight="1">
      <x:c r="A5674" s="1" t="str">
        <x:v>22961</x:v>
      </x:c>
      <x:c r="B5674" s="9" t="d">
        <x:v>2011-06-12T00:00:00.000Z</x:v>
      </x:c>
      <x:c r="C5674" s="13" t="n">
        <x:v>9</x:v>
      </x:c>
    </x:row>
    <x:row r="5675" ht="20" customHeight="1">
      <x:c r="A5675" s="1" t="str">
        <x:v>22961</x:v>
      </x:c>
      <x:c r="B5675" s="9" t="d">
        <x:v>2011-06-13T00:00:00.000Z</x:v>
      </x:c>
      <x:c r="C5675" s="13" t="n">
        <x:v>66</x:v>
      </x:c>
    </x:row>
    <x:row r="5676" ht="20" customHeight="1">
      <x:c r="A5676" s="1" t="str">
        <x:v>22961</x:v>
      </x:c>
      <x:c r="B5676" s="9" t="d">
        <x:v>2011-06-14T00:00:00.000Z</x:v>
      </x:c>
      <x:c r="C5676" s="13" t="n">
        <x:v>24</x:v>
      </x:c>
    </x:row>
    <x:row r="5677" ht="20" customHeight="1">
      <x:c r="A5677" s="1" t="str">
        <x:v>22961</x:v>
      </x:c>
      <x:c r="B5677" s="9" t="d">
        <x:v>2011-06-15T00:00:00.000Z</x:v>
      </x:c>
      <x:c r="C5677" s="13" t="n">
        <x:v>13</x:v>
      </x:c>
    </x:row>
    <x:row r="5678" ht="20" customHeight="1">
      <x:c r="A5678" s="1" t="str">
        <x:v>22961</x:v>
      </x:c>
      <x:c r="B5678" s="9" t="d">
        <x:v>2011-06-16T00:00:00.000Z</x:v>
      </x:c>
      <x:c r="C5678" s="13" t="n">
        <x:v>13</x:v>
      </x:c>
    </x:row>
    <x:row r="5679" ht="20" customHeight="1">
      <x:c r="A5679" s="1" t="str">
        <x:v>22961</x:v>
      </x:c>
      <x:c r="B5679" s="9" t="d">
        <x:v>2011-06-17T00:00:00.000Z</x:v>
      </x:c>
      <x:c r="C5679" s="13" t="n">
        <x:v>24</x:v>
      </x:c>
    </x:row>
    <x:row r="5680" ht="20" customHeight="1">
      <x:c r="A5680" s="1" t="str">
        <x:v>22961</x:v>
      </x:c>
      <x:c r="B5680" s="9" t="d">
        <x:v>2011-06-18T00:00:00.000Z</x:v>
      </x:c>
      <x:c r="C5680" s="13" t="n">
        <x:v>0</x:v>
      </x:c>
    </x:row>
    <x:row r="5681" ht="20" customHeight="1">
      <x:c r="A5681" s="1" t="str">
        <x:v>22961</x:v>
      </x:c>
      <x:c r="B5681" s="9" t="d">
        <x:v>2011-06-19T00:00:00.000Z</x:v>
      </x:c>
      <x:c r="C5681" s="13" t="n">
        <x:v>42</x:v>
      </x:c>
    </x:row>
    <x:row r="5682" ht="20" customHeight="1">
      <x:c r="A5682" s="1" t="str">
        <x:v>22961</x:v>
      </x:c>
      <x:c r="B5682" s="9" t="d">
        <x:v>2011-06-20T00:00:00.000Z</x:v>
      </x:c>
      <x:c r="C5682" s="13" t="n">
        <x:v>19</x:v>
      </x:c>
    </x:row>
    <x:row r="5683" ht="20" customHeight="1">
      <x:c r="A5683" s="1" t="str">
        <x:v>22961</x:v>
      </x:c>
      <x:c r="B5683" s="9" t="d">
        <x:v>2011-06-21T00:00:00.000Z</x:v>
      </x:c>
      <x:c r="C5683" s="13" t="n">
        <x:v>4</x:v>
      </x:c>
    </x:row>
    <x:row r="5684" ht="20" customHeight="1">
      <x:c r="A5684" s="1" t="str">
        <x:v>22961</x:v>
      </x:c>
      <x:c r="B5684" s="9" t="d">
        <x:v>2011-06-22T00:00:00.000Z</x:v>
      </x:c>
      <x:c r="C5684" s="13" t="n">
        <x:v>0</x:v>
      </x:c>
    </x:row>
    <x:row r="5685" ht="20" customHeight="1">
      <x:c r="A5685" s="1" t="str">
        <x:v>22961</x:v>
      </x:c>
      <x:c r="B5685" s="9" t="d">
        <x:v>2011-06-23T00:00:00.000Z</x:v>
      </x:c>
      <x:c r="C5685" s="13" t="n">
        <x:v>87</x:v>
      </x:c>
    </x:row>
    <x:row r="5686" ht="20" customHeight="1">
      <x:c r="A5686" s="1" t="str">
        <x:v>22961</x:v>
      </x:c>
      <x:c r="B5686" s="9" t="d">
        <x:v>2011-06-24T00:00:00.000Z</x:v>
      </x:c>
      <x:c r="C5686" s="13" t="n">
        <x:v>50</x:v>
      </x:c>
    </x:row>
    <x:row r="5687" ht="20" customHeight="1">
      <x:c r="A5687" s="1" t="str">
        <x:v>22961</x:v>
      </x:c>
      <x:c r="B5687" s="9" t="d">
        <x:v>2011-06-25T00:00:00.000Z</x:v>
      </x:c>
      <x:c r="C5687" s="13" t="n">
        <x:v>0</x:v>
      </x:c>
    </x:row>
    <x:row r="5688" ht="20" customHeight="1">
      <x:c r="A5688" s="1" t="str">
        <x:v>22961</x:v>
      </x:c>
      <x:c r="B5688" s="9" t="d">
        <x:v>2011-06-26T00:00:00.000Z</x:v>
      </x:c>
      <x:c r="C5688" s="13" t="n">
        <x:v>4</x:v>
      </x:c>
    </x:row>
    <x:row r="5689" ht="20" customHeight="1">
      <x:c r="A5689" s="1" t="str">
        <x:v>22961</x:v>
      </x:c>
      <x:c r="B5689" s="9" t="d">
        <x:v>2011-06-27T00:00:00.000Z</x:v>
      </x:c>
      <x:c r="C5689" s="13" t="n">
        <x:v>25</x:v>
      </x:c>
    </x:row>
    <x:row r="5690" ht="20" customHeight="1">
      <x:c r="A5690" s="1" t="str">
        <x:v>22961</x:v>
      </x:c>
      <x:c r="B5690" s="9" t="d">
        <x:v>2011-06-28T00:00:00.000Z</x:v>
      </x:c>
      <x:c r="C5690" s="13" t="n">
        <x:v>14</x:v>
      </x:c>
    </x:row>
    <x:row r="5691" ht="20" customHeight="1">
      <x:c r="A5691" s="1" t="str">
        <x:v>22961</x:v>
      </x:c>
      <x:c r="B5691" s="9" t="d">
        <x:v>2011-06-29T00:00:00.000Z</x:v>
      </x:c>
      <x:c r="C5691" s="13" t="n">
        <x:v>2</x:v>
      </x:c>
    </x:row>
    <x:row r="5692" ht="20" customHeight="1">
      <x:c r="A5692" s="1" t="str">
        <x:v>22961</x:v>
      </x:c>
      <x:c r="B5692" s="9" t="d">
        <x:v>2011-06-30T00:00:00.000Z</x:v>
      </x:c>
      <x:c r="C5692" s="13" t="n">
        <x:v>57</x:v>
      </x:c>
    </x:row>
    <x:row r="5693" ht="20" customHeight="1">
      <x:c r="A5693" s="1" t="str">
        <x:v>22961</x:v>
      </x:c>
      <x:c r="B5693" s="9" t="d">
        <x:v>2011-07-01T00:00:00.000Z</x:v>
      </x:c>
      <x:c r="C5693" s="13" t="n">
        <x:v>125</x:v>
      </x:c>
    </x:row>
    <x:row r="5694" ht="20" customHeight="1">
      <x:c r="A5694" s="1" t="str">
        <x:v>22961</x:v>
      </x:c>
      <x:c r="B5694" s="9" t="d">
        <x:v>2011-07-02T00:00:00.000Z</x:v>
      </x:c>
      <x:c r="C5694" s="13" t="n">
        <x:v>0</x:v>
      </x:c>
    </x:row>
    <x:row r="5695" ht="20" customHeight="1">
      <x:c r="A5695" s="1" t="str">
        <x:v>22961</x:v>
      </x:c>
      <x:c r="B5695" s="9" t="d">
        <x:v>2011-07-03T00:00:00.000Z</x:v>
      </x:c>
      <x:c r="C5695" s="13" t="n">
        <x:v>3</x:v>
      </x:c>
    </x:row>
    <x:row r="5696" ht="20" customHeight="1">
      <x:c r="A5696" s="1" t="str">
        <x:v>22961</x:v>
      </x:c>
      <x:c r="B5696" s="9" t="d">
        <x:v>2011-07-04T00:00:00.000Z</x:v>
      </x:c>
      <x:c r="C5696" s="13" t="n">
        <x:v>57</x:v>
      </x:c>
    </x:row>
    <x:row r="5697" ht="20" customHeight="1">
      <x:c r="A5697" s="1" t="str">
        <x:v>22961</x:v>
      </x:c>
      <x:c r="B5697" s="9" t="d">
        <x:v>2011-07-05T00:00:00.000Z</x:v>
      </x:c>
      <x:c r="C5697" s="13" t="n">
        <x:v>19</x:v>
      </x:c>
    </x:row>
    <x:row r="5698" ht="20" customHeight="1">
      <x:c r="A5698" s="1" t="str">
        <x:v>22961</x:v>
      </x:c>
      <x:c r="B5698" s="9" t="d">
        <x:v>2011-07-06T00:00:00.000Z</x:v>
      </x:c>
      <x:c r="C5698" s="13" t="n">
        <x:v>112</x:v>
      </x:c>
    </x:row>
    <x:row r="5699" ht="20" customHeight="1">
      <x:c r="A5699" s="1" t="str">
        <x:v>22961</x:v>
      </x:c>
      <x:c r="B5699" s="9" t="d">
        <x:v>2011-07-07T00:00:00.000Z</x:v>
      </x:c>
      <x:c r="C5699" s="13" t="n">
        <x:v>50</x:v>
      </x:c>
    </x:row>
    <x:row r="5700" ht="20" customHeight="1">
      <x:c r="A5700" s="1" t="str">
        <x:v>22961</x:v>
      </x:c>
      <x:c r="B5700" s="9" t="d">
        <x:v>2011-07-08T00:00:00.000Z</x:v>
      </x:c>
      <x:c r="C5700" s="13" t="n">
        <x:v>3</x:v>
      </x:c>
    </x:row>
    <x:row r="5701" ht="20" customHeight="1">
      <x:c r="A5701" s="1" t="str">
        <x:v>22961</x:v>
      </x:c>
      <x:c r="B5701" s="9" t="d">
        <x:v>2011-07-09T00:00:00.000Z</x:v>
      </x:c>
      <x:c r="C5701" s="13" t="n">
        <x:v>0</x:v>
      </x:c>
    </x:row>
    <x:row r="5702" ht="20" customHeight="1">
      <x:c r="A5702" s="1" t="str">
        <x:v>22961</x:v>
      </x:c>
      <x:c r="B5702" s="9" t="d">
        <x:v>2011-07-10T00:00:00.000Z</x:v>
      </x:c>
      <x:c r="C5702" s="13" t="n">
        <x:v>2</x:v>
      </x:c>
    </x:row>
    <x:row r="5703" ht="20" customHeight="1">
      <x:c r="A5703" s="1" t="str">
        <x:v>22961</x:v>
      </x:c>
      <x:c r="B5703" s="9" t="d">
        <x:v>2011-07-11T00:00:00.000Z</x:v>
      </x:c>
      <x:c r="C5703" s="13" t="n">
        <x:v>14</x:v>
      </x:c>
    </x:row>
    <x:row r="5704" ht="20" customHeight="1">
      <x:c r="A5704" s="1" t="str">
        <x:v>22961</x:v>
      </x:c>
      <x:c r="B5704" s="9" t="d">
        <x:v>2011-07-12T00:00:00.000Z</x:v>
      </x:c>
      <x:c r="C5704" s="13" t="n">
        <x:v>69</x:v>
      </x:c>
    </x:row>
    <x:row r="5705" ht="20" customHeight="1">
      <x:c r="A5705" s="1" t="str">
        <x:v>22961</x:v>
      </x:c>
      <x:c r="B5705" s="9" t="d">
        <x:v>2011-07-13T00:00:00.000Z</x:v>
      </x:c>
      <x:c r="C5705" s="13" t="n">
        <x:v>37</x:v>
      </x:c>
    </x:row>
    <x:row r="5706" ht="20" customHeight="1">
      <x:c r="A5706" s="1" t="str">
        <x:v>22961</x:v>
      </x:c>
      <x:c r="B5706" s="9" t="d">
        <x:v>2011-07-14T00:00:00.000Z</x:v>
      </x:c>
      <x:c r="C5706" s="13" t="n">
        <x:v>5</x:v>
      </x:c>
    </x:row>
    <x:row r="5707" ht="20" customHeight="1">
      <x:c r="A5707" s="1" t="str">
        <x:v>22961</x:v>
      </x:c>
      <x:c r="B5707" s="9" t="d">
        <x:v>2011-07-15T00:00:00.000Z</x:v>
      </x:c>
      <x:c r="C5707" s="13" t="n">
        <x:v>13</x:v>
      </x:c>
    </x:row>
    <x:row r="5708" ht="20" customHeight="1">
      <x:c r="A5708" s="1" t="str">
        <x:v>22961</x:v>
      </x:c>
      <x:c r="B5708" s="9" t="d">
        <x:v>2011-07-16T00:00:00.000Z</x:v>
      </x:c>
      <x:c r="C5708" s="13" t="n">
        <x:v>0</x:v>
      </x:c>
    </x:row>
    <x:row r="5709" ht="20" customHeight="1">
      <x:c r="A5709" s="1" t="str">
        <x:v>22961</x:v>
      </x:c>
      <x:c r="B5709" s="9" t="d">
        <x:v>2011-07-17T00:00:00.000Z</x:v>
      </x:c>
      <x:c r="C5709" s="13" t="n">
        <x:v>31</x:v>
      </x:c>
    </x:row>
    <x:row r="5710" ht="20" customHeight="1">
      <x:c r="A5710" s="1" t="str">
        <x:v>22961</x:v>
      </x:c>
      <x:c r="B5710" s="9" t="d">
        <x:v>2011-07-18T00:00:00.000Z</x:v>
      </x:c>
      <x:c r="C5710" s="13" t="n">
        <x:v>43</x:v>
      </x:c>
    </x:row>
    <x:row r="5711" ht="20" customHeight="1">
      <x:c r="A5711" s="1" t="str">
        <x:v>22961</x:v>
      </x:c>
      <x:c r="B5711" s="9" t="d">
        <x:v>2011-07-19T00:00:00.000Z</x:v>
      </x:c>
      <x:c r="C5711" s="13" t="n">
        <x:v>46</x:v>
      </x:c>
    </x:row>
    <x:row r="5712" ht="20" customHeight="1">
      <x:c r="A5712" s="1" t="str">
        <x:v>22961</x:v>
      </x:c>
      <x:c r="B5712" s="9" t="d">
        <x:v>2011-07-20T00:00:00.000Z</x:v>
      </x:c>
      <x:c r="C5712" s="13" t="n">
        <x:v>18</x:v>
      </x:c>
    </x:row>
    <x:row r="5713" ht="20" customHeight="1">
      <x:c r="A5713" s="1" t="str">
        <x:v>22961</x:v>
      </x:c>
      <x:c r="B5713" s="9" t="d">
        <x:v>2011-07-21T00:00:00.000Z</x:v>
      </x:c>
      <x:c r="C5713" s="13" t="n">
        <x:v>36</x:v>
      </x:c>
    </x:row>
    <x:row r="5714" ht="20" customHeight="1">
      <x:c r="A5714" s="1" t="str">
        <x:v>22961</x:v>
      </x:c>
      <x:c r="B5714" s="9" t="d">
        <x:v>2011-07-22T00:00:00.000Z</x:v>
      </x:c>
      <x:c r="C5714" s="13" t="n">
        <x:v>26</x:v>
      </x:c>
    </x:row>
    <x:row r="5715" ht="20" customHeight="1">
      <x:c r="A5715" s="1" t="str">
        <x:v>22961</x:v>
      </x:c>
      <x:c r="B5715" s="9" t="d">
        <x:v>2011-07-23T00:00:00.000Z</x:v>
      </x:c>
      <x:c r="C5715" s="13" t="n">
        <x:v>0</x:v>
      </x:c>
    </x:row>
    <x:row r="5716" ht="20" customHeight="1">
      <x:c r="A5716" s="1" t="str">
        <x:v>22961</x:v>
      </x:c>
      <x:c r="B5716" s="9" t="d">
        <x:v>2011-07-24T00:00:00.000Z</x:v>
      </x:c>
      <x:c r="C5716" s="13" t="n">
        <x:v>24</x:v>
      </x:c>
    </x:row>
    <x:row r="5717" ht="20" customHeight="1">
      <x:c r="A5717" s="1" t="str">
        <x:v>22961</x:v>
      </x:c>
      <x:c r="B5717" s="9" t="d">
        <x:v>2011-07-25T00:00:00.000Z</x:v>
      </x:c>
      <x:c r="C5717" s="13" t="n">
        <x:v>28</x:v>
      </x:c>
    </x:row>
    <x:row r="5718" ht="20" customHeight="1">
      <x:c r="A5718" s="1" t="str">
        <x:v>22961</x:v>
      </x:c>
      <x:c r="B5718" s="9" t="d">
        <x:v>2011-07-26T00:00:00.000Z</x:v>
      </x:c>
      <x:c r="C5718" s="13" t="n">
        <x:v>4</x:v>
      </x:c>
    </x:row>
    <x:row r="5719" ht="20" customHeight="1">
      <x:c r="A5719" s="1" t="str">
        <x:v>22961</x:v>
      </x:c>
      <x:c r="B5719" s="9" t="d">
        <x:v>2011-07-27T00:00:00.000Z</x:v>
      </x:c>
      <x:c r="C5719" s="13" t="n">
        <x:v>86</x:v>
      </x:c>
    </x:row>
    <x:row r="5720" ht="20" customHeight="1">
      <x:c r="A5720" s="1" t="str">
        <x:v>22961</x:v>
      </x:c>
      <x:c r="B5720" s="9" t="d">
        <x:v>2011-07-28T00:00:00.000Z</x:v>
      </x:c>
      <x:c r="C5720" s="13" t="n">
        <x:v>69</x:v>
      </x:c>
    </x:row>
    <x:row r="5721" ht="20" customHeight="1">
      <x:c r="A5721" s="1" t="str">
        <x:v>22961</x:v>
      </x:c>
      <x:c r="B5721" s="9" t="d">
        <x:v>2011-07-29T00:00:00.000Z</x:v>
      </x:c>
      <x:c r="C5721" s="13" t="n">
        <x:v>13</x:v>
      </x:c>
    </x:row>
    <x:row r="5722" ht="20" customHeight="1">
      <x:c r="A5722" s="1" t="str">
        <x:v>22961</x:v>
      </x:c>
      <x:c r="B5722" s="9" t="d">
        <x:v>2011-07-30T00:00:00.000Z</x:v>
      </x:c>
      <x:c r="C5722" s="13" t="n">
        <x:v>0</x:v>
      </x:c>
    </x:row>
    <x:row r="5723" ht="20" customHeight="1">
      <x:c r="A5723" s="1" t="str">
        <x:v>22961</x:v>
      </x:c>
      <x:c r="B5723" s="9" t="d">
        <x:v>2011-07-31T00:00:00.000Z</x:v>
      </x:c>
      <x:c r="C5723" s="13" t="n">
        <x:v>292</x:v>
      </x:c>
    </x:row>
    <x:row r="5724" ht="20" customHeight="1">
      <x:c r="A5724" s="1" t="str">
        <x:v>22961</x:v>
      </x:c>
      <x:c r="B5724" s="9" t="d">
        <x:v>2011-08-01T00:00:00.000Z</x:v>
      </x:c>
      <x:c r="C5724" s="13" t="n">
        <x:v>12</x:v>
      </x:c>
    </x:row>
    <x:row r="5725" ht="20" customHeight="1">
      <x:c r="A5725" s="1" t="str">
        <x:v>22961</x:v>
      </x:c>
      <x:c r="B5725" s="9" t="d">
        <x:v>2011-08-02T00:00:00.000Z</x:v>
      </x:c>
      <x:c r="C5725" s="13" t="n">
        <x:v>85</x:v>
      </x:c>
    </x:row>
    <x:row r="5726" ht="20" customHeight="1">
      <x:c r="A5726" s="1" t="str">
        <x:v>22961</x:v>
      </x:c>
      <x:c r="B5726" s="9" t="d">
        <x:v>2011-08-03T00:00:00.000Z</x:v>
      </x:c>
      <x:c r="C5726" s="13" t="n">
        <x:v>27</x:v>
      </x:c>
    </x:row>
    <x:row r="5727" ht="20" customHeight="1">
      <x:c r="A5727" s="1" t="str">
        <x:v>22961</x:v>
      </x:c>
      <x:c r="B5727" s="9" t="d">
        <x:v>2011-08-04T00:00:00.000Z</x:v>
      </x:c>
      <x:c r="C5727" s="13" t="n">
        <x:v>18</x:v>
      </x:c>
    </x:row>
    <x:row r="5728" ht="20" customHeight="1">
      <x:c r="A5728" s="1" t="str">
        <x:v>22961</x:v>
      </x:c>
      <x:c r="B5728" s="9" t="d">
        <x:v>2011-08-05T00:00:00.000Z</x:v>
      </x:c>
      <x:c r="C5728" s="13" t="n">
        <x:v>493</x:v>
      </x:c>
    </x:row>
    <x:row r="5729" ht="20" customHeight="1">
      <x:c r="A5729" s="1" t="str">
        <x:v>22961</x:v>
      </x:c>
      <x:c r="B5729" s="9" t="d">
        <x:v>2011-08-06T00:00:00.000Z</x:v>
      </x:c>
      <x:c r="C5729" s="13" t="n">
        <x:v>0</x:v>
      </x:c>
    </x:row>
    <x:row r="5730" ht="20" customHeight="1">
      <x:c r="A5730" s="1" t="str">
        <x:v>22961</x:v>
      </x:c>
      <x:c r="B5730" s="9" t="d">
        <x:v>2011-08-07T00:00:00.000Z</x:v>
      </x:c>
      <x:c r="C5730" s="13" t="n">
        <x:v>0</x:v>
      </x:c>
    </x:row>
    <x:row r="5731" ht="20" customHeight="1">
      <x:c r="A5731" s="1" t="str">
        <x:v>22961</x:v>
      </x:c>
      <x:c r="B5731" s="9" t="d">
        <x:v>2011-08-08T00:00:00.000Z</x:v>
      </x:c>
      <x:c r="C5731" s="13" t="n">
        <x:v>37</x:v>
      </x:c>
    </x:row>
    <x:row r="5732" ht="20" customHeight="1">
      <x:c r="A5732" s="1" t="str">
        <x:v>22961</x:v>
      </x:c>
      <x:c r="B5732" s="9" t="d">
        <x:v>2011-08-09T00:00:00.000Z</x:v>
      </x:c>
      <x:c r="C5732" s="13" t="n">
        <x:v>121</x:v>
      </x:c>
    </x:row>
    <x:row r="5733" ht="20" customHeight="1">
      <x:c r="A5733" s="1" t="str">
        <x:v>22961</x:v>
      </x:c>
      <x:c r="B5733" s="9" t="d">
        <x:v>2011-08-10T00:00:00.000Z</x:v>
      </x:c>
      <x:c r="C5733" s="13" t="n">
        <x:v>13</x:v>
      </x:c>
    </x:row>
    <x:row r="5734" ht="20" customHeight="1">
      <x:c r="A5734" s="1" t="str">
        <x:v>22961</x:v>
      </x:c>
      <x:c r="B5734" s="9" t="d">
        <x:v>2011-08-11T00:00:00.000Z</x:v>
      </x:c>
      <x:c r="C5734" s="13" t="n">
        <x:v>63</x:v>
      </x:c>
    </x:row>
    <x:row r="5735" ht="20" customHeight="1">
      <x:c r="A5735" s="1" t="str">
        <x:v>22961</x:v>
      </x:c>
      <x:c r="B5735" s="9" t="d">
        <x:v>2011-08-12T00:00:00.000Z</x:v>
      </x:c>
      <x:c r="C5735" s="13" t="n">
        <x:v>44</x:v>
      </x:c>
    </x:row>
    <x:row r="5736" ht="20" customHeight="1">
      <x:c r="A5736" s="1" t="str">
        <x:v>22961</x:v>
      </x:c>
      <x:c r="B5736" s="9" t="d">
        <x:v>2011-08-13T00:00:00.000Z</x:v>
      </x:c>
      <x:c r="C5736" s="13" t="n">
        <x:v>0</x:v>
      </x:c>
    </x:row>
    <x:row r="5737" ht="20" customHeight="1">
      <x:c r="A5737" s="1" t="str">
        <x:v>22961</x:v>
      </x:c>
      <x:c r="B5737" s="9" t="d">
        <x:v>2011-08-14T00:00:00.000Z</x:v>
      </x:c>
      <x:c r="C5737" s="13" t="n">
        <x:v>13</x:v>
      </x:c>
    </x:row>
    <x:row r="5738" ht="20" customHeight="1">
      <x:c r="A5738" s="1" t="str">
        <x:v>22961</x:v>
      </x:c>
      <x:c r="B5738" s="9" t="d">
        <x:v>2011-08-15T00:00:00.000Z</x:v>
      </x:c>
      <x:c r="C5738" s="13" t="n">
        <x:v>28</x:v>
      </x:c>
    </x:row>
    <x:row r="5739" ht="20" customHeight="1">
      <x:c r="A5739" s="1" t="str">
        <x:v>22961</x:v>
      </x:c>
      <x:c r="B5739" s="9" t="d">
        <x:v>2011-08-16T00:00:00.000Z</x:v>
      </x:c>
      <x:c r="C5739" s="13" t="n">
        <x:v>12</x:v>
      </x:c>
    </x:row>
    <x:row r="5740" ht="20" customHeight="1">
      <x:c r="A5740" s="1" t="str">
        <x:v>22961</x:v>
      </x:c>
      <x:c r="B5740" s="9" t="d">
        <x:v>2011-08-17T00:00:00.000Z</x:v>
      </x:c>
      <x:c r="C5740" s="13" t="n">
        <x:v>26</x:v>
      </x:c>
    </x:row>
    <x:row r="5741" ht="20" customHeight="1">
      <x:c r="A5741" s="1" t="str">
        <x:v>22961</x:v>
      </x:c>
      <x:c r="B5741" s="9" t="d">
        <x:v>2011-08-18T00:00:00.000Z</x:v>
      </x:c>
      <x:c r="C5741" s="13" t="n">
        <x:v>24</x:v>
      </x:c>
    </x:row>
    <x:row r="5742" ht="20" customHeight="1">
      <x:c r="A5742" s="1" t="str">
        <x:v>22961</x:v>
      </x:c>
      <x:c r="B5742" s="9" t="d">
        <x:v>2011-08-19T00:00:00.000Z</x:v>
      </x:c>
      <x:c r="C5742" s="13" t="n">
        <x:v>12</x:v>
      </x:c>
    </x:row>
    <x:row r="5743" ht="20" customHeight="1">
      <x:c r="A5743" s="1" t="str">
        <x:v>22961</x:v>
      </x:c>
      <x:c r="B5743" s="9" t="d">
        <x:v>2011-08-20T00:00:00.000Z</x:v>
      </x:c>
      <x:c r="C5743" s="13" t="n">
        <x:v>0</x:v>
      </x:c>
    </x:row>
    <x:row r="5744" ht="20" customHeight="1">
      <x:c r="A5744" s="1" t="str">
        <x:v>22961</x:v>
      </x:c>
      <x:c r="B5744" s="9" t="d">
        <x:v>2011-08-21T00:00:00.000Z</x:v>
      </x:c>
      <x:c r="C5744" s="13" t="n">
        <x:v>16</x:v>
      </x:c>
    </x:row>
    <x:row r="5745" ht="20" customHeight="1">
      <x:c r="A5745" s="1" t="str">
        <x:v>22961</x:v>
      </x:c>
      <x:c r="B5745" s="9" t="d">
        <x:v>2011-08-22T00:00:00.000Z</x:v>
      </x:c>
      <x:c r="C5745" s="13" t="n">
        <x:v>85</x:v>
      </x:c>
    </x:row>
    <x:row r="5746" ht="20" customHeight="1">
      <x:c r="A5746" s="1" t="str">
        <x:v>22961</x:v>
      </x:c>
      <x:c r="B5746" s="9" t="d">
        <x:v>2011-08-23T00:00:00.000Z</x:v>
      </x:c>
      <x:c r="C5746" s="13" t="n">
        <x:v>25</x:v>
      </x:c>
    </x:row>
    <x:row r="5747" ht="20" customHeight="1">
      <x:c r="A5747" s="1" t="str">
        <x:v>22961</x:v>
      </x:c>
      <x:c r="B5747" s="9" t="d">
        <x:v>2011-08-24T00:00:00.000Z</x:v>
      </x:c>
      <x:c r="C5747" s="13" t="n">
        <x:v>201</x:v>
      </x:c>
    </x:row>
    <x:row r="5748" ht="20" customHeight="1">
      <x:c r="A5748" s="1" t="str">
        <x:v>22961</x:v>
      </x:c>
      <x:c r="B5748" s="9" t="d">
        <x:v>2011-08-25T00:00:00.000Z</x:v>
      </x:c>
      <x:c r="C5748" s="13" t="n">
        <x:v>2</x:v>
      </x:c>
    </x:row>
    <x:row r="5749" ht="20" customHeight="1">
      <x:c r="A5749" s="1" t="str">
        <x:v>22961</x:v>
      </x:c>
      <x:c r="B5749" s="9" t="d">
        <x:v>2011-08-26T00:00:00.000Z</x:v>
      </x:c>
      <x:c r="C5749" s="13" t="n">
        <x:v>12</x:v>
      </x:c>
    </x:row>
    <x:row r="5750" ht="20" customHeight="1">
      <x:c r="A5750" s="1" t="str">
        <x:v>22961</x:v>
      </x:c>
      <x:c r="B5750" s="9" t="d">
        <x:v>2011-08-27T00:00:00.000Z</x:v>
      </x:c>
      <x:c r="C5750" s="13" t="n">
        <x:v>0</x:v>
      </x:c>
    </x:row>
    <x:row r="5751" ht="20" customHeight="1">
      <x:c r="A5751" s="1" t="str">
        <x:v>22961</x:v>
      </x:c>
      <x:c r="B5751" s="9" t="d">
        <x:v>2011-08-28T00:00:00.000Z</x:v>
      </x:c>
      <x:c r="C5751" s="13" t="n">
        <x:v>25</x:v>
      </x:c>
    </x:row>
    <x:row r="5752" ht="20" customHeight="1">
      <x:c r="A5752" s="1" t="str">
        <x:v>22961</x:v>
      </x:c>
      <x:c r="B5752" s="9" t="d">
        <x:v>2011-08-29T00:00:00.000Z</x:v>
      </x:c>
      <x:c r="C5752" s="13" t="n">
        <x:v>0</x:v>
      </x:c>
    </x:row>
    <x:row r="5753" ht="20" customHeight="1">
      <x:c r="A5753" s="1" t="str">
        <x:v>22961</x:v>
      </x:c>
      <x:c r="B5753" s="9" t="d">
        <x:v>2011-08-30T00:00:00.000Z</x:v>
      </x:c>
      <x:c r="C5753" s="13" t="n">
        <x:v>13</x:v>
      </x:c>
    </x:row>
    <x:row r="5754" ht="20" customHeight="1">
      <x:c r="A5754" s="1" t="str">
        <x:v>22961</x:v>
      </x:c>
      <x:c r="B5754" s="9" t="d">
        <x:v>2011-08-31T00:00:00.000Z</x:v>
      </x:c>
      <x:c r="C5754" s="13" t="n">
        <x:v>25</x:v>
      </x:c>
    </x:row>
    <x:row r="5755" ht="20" customHeight="1">
      <x:c r="A5755" s="1" t="str">
        <x:v>22961</x:v>
      </x:c>
      <x:c r="B5755" s="9" t="d">
        <x:v>2011-09-01T00:00:00.000Z</x:v>
      </x:c>
      <x:c r="C5755" s="13" t="n">
        <x:v>14</x:v>
      </x:c>
    </x:row>
    <x:row r="5756" ht="20" customHeight="1">
      <x:c r="A5756" s="1" t="str">
        <x:v>22961</x:v>
      </x:c>
      <x:c r="B5756" s="9" t="d">
        <x:v>2011-09-02T00:00:00.000Z</x:v>
      </x:c>
      <x:c r="C5756" s="13" t="n">
        <x:v>51</x:v>
      </x:c>
    </x:row>
    <x:row r="5757" ht="20" customHeight="1">
      <x:c r="A5757" s="1" t="str">
        <x:v>22961</x:v>
      </x:c>
      <x:c r="B5757" s="9" t="d">
        <x:v>2011-09-03T00:00:00.000Z</x:v>
      </x:c>
      <x:c r="C5757" s="13" t="n">
        <x:v>0</x:v>
      </x:c>
    </x:row>
    <x:row r="5758" ht="20" customHeight="1">
      <x:c r="A5758" s="1" t="str">
        <x:v>22961</x:v>
      </x:c>
      <x:c r="B5758" s="9" t="d">
        <x:v>2011-09-04T00:00:00.000Z</x:v>
      </x:c>
      <x:c r="C5758" s="13" t="n">
        <x:v>63</x:v>
      </x:c>
    </x:row>
    <x:row r="5759" ht="20" customHeight="1">
      <x:c r="A5759" s="1" t="str">
        <x:v>22961</x:v>
      </x:c>
      <x:c r="B5759" s="9" t="d">
        <x:v>2011-09-05T00:00:00.000Z</x:v>
      </x:c>
      <x:c r="C5759" s="13" t="n">
        <x:v>12</x:v>
      </x:c>
    </x:row>
    <x:row r="5760" ht="20" customHeight="1">
      <x:c r="A5760" s="1" t="str">
        <x:v>22961</x:v>
      </x:c>
      <x:c r="B5760" s="9" t="d">
        <x:v>2011-09-06T00:00:00.000Z</x:v>
      </x:c>
      <x:c r="C5760" s="13" t="n">
        <x:v>12</x:v>
      </x:c>
    </x:row>
    <x:row r="5761" ht="20" customHeight="1">
      <x:c r="A5761" s="1" t="str">
        <x:v>22961</x:v>
      </x:c>
      <x:c r="B5761" s="9" t="d">
        <x:v>2011-09-07T00:00:00.000Z</x:v>
      </x:c>
      <x:c r="C5761" s="13" t="n">
        <x:v>31</x:v>
      </x:c>
    </x:row>
    <x:row r="5762" ht="20" customHeight="1">
      <x:c r="A5762" s="1" t="str">
        <x:v>22961</x:v>
      </x:c>
      <x:c r="B5762" s="9" t="d">
        <x:v>2011-09-08T00:00:00.000Z</x:v>
      </x:c>
      <x:c r="C5762" s="13" t="n">
        <x:v>38</x:v>
      </x:c>
    </x:row>
    <x:row r="5763" ht="20" customHeight="1">
      <x:c r="A5763" s="1" t="str">
        <x:v>22961</x:v>
      </x:c>
      <x:c r="B5763" s="9" t="d">
        <x:v>2011-09-09T00:00:00.000Z</x:v>
      </x:c>
      <x:c r="C5763" s="13" t="n">
        <x:v>58</x:v>
      </x:c>
    </x:row>
    <x:row r="5764" ht="20" customHeight="1">
      <x:c r="A5764" s="1" t="str">
        <x:v>22961</x:v>
      </x:c>
      <x:c r="B5764" s="9" t="d">
        <x:v>2011-09-10T00:00:00.000Z</x:v>
      </x:c>
      <x:c r="C5764" s="13" t="n">
        <x:v>0</x:v>
      </x:c>
    </x:row>
    <x:row r="5765" ht="20" customHeight="1">
      <x:c r="A5765" s="1" t="str">
        <x:v>22961</x:v>
      </x:c>
      <x:c r="B5765" s="9" t="d">
        <x:v>2011-09-11T00:00:00.000Z</x:v>
      </x:c>
      <x:c r="C5765" s="13" t="n">
        <x:v>312</x:v>
      </x:c>
    </x:row>
    <x:row r="5766" ht="20" customHeight="1">
      <x:c r="A5766" s="1" t="str">
        <x:v>22961</x:v>
      </x:c>
      <x:c r="B5766" s="9" t="d">
        <x:v>2011-09-12T00:00:00.000Z</x:v>
      </x:c>
      <x:c r="C5766" s="13" t="n">
        <x:v>31</x:v>
      </x:c>
    </x:row>
    <x:row r="5767" ht="20" customHeight="1">
      <x:c r="A5767" s="1" t="str">
        <x:v>22961</x:v>
      </x:c>
      <x:c r="B5767" s="9" t="d">
        <x:v>2011-09-13T00:00:00.000Z</x:v>
      </x:c>
      <x:c r="C5767" s="13" t="n">
        <x:v>244</x:v>
      </x:c>
    </x:row>
    <x:row r="5768" ht="20" customHeight="1">
      <x:c r="A5768" s="1" t="str">
        <x:v>22961</x:v>
      </x:c>
      <x:c r="B5768" s="9" t="d">
        <x:v>2011-09-14T00:00:00.000Z</x:v>
      </x:c>
      <x:c r="C5768" s="13" t="n">
        <x:v>63</x:v>
      </x:c>
    </x:row>
    <x:row r="5769" ht="20" customHeight="1">
      <x:c r="A5769" s="1" t="str">
        <x:v>22961</x:v>
      </x:c>
      <x:c r="B5769" s="9" t="d">
        <x:v>2011-09-15T00:00:00.000Z</x:v>
      </x:c>
      <x:c r="C5769" s="13" t="n">
        <x:v>38</x:v>
      </x:c>
    </x:row>
    <x:row r="5770" ht="20" customHeight="1">
      <x:c r="A5770" s="1" t="str">
        <x:v>22961</x:v>
      </x:c>
      <x:c r="B5770" s="9" t="d">
        <x:v>2011-09-16T00:00:00.000Z</x:v>
      </x:c>
      <x:c r="C5770" s="13" t="n">
        <x:v>49</x:v>
      </x:c>
    </x:row>
    <x:row r="5771" ht="20" customHeight="1">
      <x:c r="A5771" s="1" t="str">
        <x:v>22961</x:v>
      </x:c>
      <x:c r="B5771" s="9" t="d">
        <x:v>2011-09-17T00:00:00.000Z</x:v>
      </x:c>
      <x:c r="C5771" s="13" t="n">
        <x:v>0</x:v>
      </x:c>
    </x:row>
    <x:row r="5772" ht="20" customHeight="1">
      <x:c r="A5772" s="1" t="str">
        <x:v>22961</x:v>
      </x:c>
      <x:c r="B5772" s="9" t="d">
        <x:v>2011-09-18T00:00:00.000Z</x:v>
      </x:c>
      <x:c r="C5772" s="13" t="n">
        <x:v>2</x:v>
      </x:c>
    </x:row>
    <x:row r="5773" ht="20" customHeight="1">
      <x:c r="A5773" s="1" t="str">
        <x:v>22961</x:v>
      </x:c>
      <x:c r="B5773" s="9" t="d">
        <x:v>2011-09-19T00:00:00.000Z</x:v>
      </x:c>
      <x:c r="C5773" s="13" t="n">
        <x:v>49</x:v>
      </x:c>
    </x:row>
    <x:row r="5774" ht="20" customHeight="1">
      <x:c r="A5774" s="1" t="str">
        <x:v>22961</x:v>
      </x:c>
      <x:c r="B5774" s="9" t="d">
        <x:v>2011-09-20T00:00:00.000Z</x:v>
      </x:c>
      <x:c r="C5774" s="13" t="n">
        <x:v>125</x:v>
      </x:c>
    </x:row>
    <x:row r="5775" ht="20" customHeight="1">
      <x:c r="A5775" s="1" t="str">
        <x:v>22961</x:v>
      </x:c>
      <x:c r="B5775" s="9" t="d">
        <x:v>2011-09-21T00:00:00.000Z</x:v>
      </x:c>
      <x:c r="C5775" s="13" t="n">
        <x:v>128</x:v>
      </x:c>
    </x:row>
    <x:row r="5776" ht="20" customHeight="1">
      <x:c r="A5776" s="1" t="str">
        <x:v>22961</x:v>
      </x:c>
      <x:c r="B5776" s="9" t="d">
        <x:v>2011-09-22T00:00:00.000Z</x:v>
      </x:c>
      <x:c r="C5776" s="13" t="n">
        <x:v>64</x:v>
      </x:c>
    </x:row>
    <x:row r="5777" ht="20" customHeight="1">
      <x:c r="A5777" s="1" t="str">
        <x:v>22961</x:v>
      </x:c>
      <x:c r="B5777" s="9" t="d">
        <x:v>2011-09-23T00:00:00.000Z</x:v>
      </x:c>
      <x:c r="C5777" s="13" t="n">
        <x:v>71</x:v>
      </x:c>
    </x:row>
    <x:row r="5778" ht="20" customHeight="1">
      <x:c r="A5778" s="1" t="str">
        <x:v>22961</x:v>
      </x:c>
      <x:c r="B5778" s="9" t="d">
        <x:v>2011-09-24T00:00:00.000Z</x:v>
      </x:c>
      <x:c r="C5778" s="13" t="n">
        <x:v>0</x:v>
      </x:c>
    </x:row>
    <x:row r="5779" ht="20" customHeight="1">
      <x:c r="A5779" s="1" t="str">
        <x:v>22961</x:v>
      </x:c>
      <x:c r="B5779" s="9" t="d">
        <x:v>2011-09-25T00:00:00.000Z</x:v>
      </x:c>
      <x:c r="C5779" s="13" t="n">
        <x:v>16</x:v>
      </x:c>
    </x:row>
    <x:row r="5780" ht="20" customHeight="1">
      <x:c r="A5780" s="1" t="str">
        <x:v>22961</x:v>
      </x:c>
      <x:c r="B5780" s="9" t="d">
        <x:v>2011-09-26T00:00:00.000Z</x:v>
      </x:c>
      <x:c r="C5780" s="13" t="n">
        <x:v>2</x:v>
      </x:c>
    </x:row>
    <x:row r="5781" ht="20" customHeight="1">
      <x:c r="A5781" s="1" t="str">
        <x:v>22961</x:v>
      </x:c>
      <x:c r="B5781" s="9" t="d">
        <x:v>2011-09-27T00:00:00.000Z</x:v>
      </x:c>
      <x:c r="C5781" s="13" t="n">
        <x:v>54</x:v>
      </x:c>
    </x:row>
    <x:row r="5782" ht="20" customHeight="1">
      <x:c r="A5782" s="1" t="str">
        <x:v>22961</x:v>
      </x:c>
      <x:c r="B5782" s="9" t="d">
        <x:v>2011-09-28T00:00:00.000Z</x:v>
      </x:c>
      <x:c r="C5782" s="13" t="n">
        <x:v>43</x:v>
      </x:c>
    </x:row>
    <x:row r="5783" ht="20" customHeight="1">
      <x:c r="A5783" s="1" t="str">
        <x:v>22961</x:v>
      </x:c>
      <x:c r="B5783" s="9" t="d">
        <x:v>2011-09-29T00:00:00.000Z</x:v>
      </x:c>
      <x:c r="C5783" s="13" t="n">
        <x:v>67</x:v>
      </x:c>
    </x:row>
    <x:row r="5784" ht="20" customHeight="1">
      <x:c r="A5784" s="1" t="str">
        <x:v>22961</x:v>
      </x:c>
      <x:c r="B5784" s="9" t="d">
        <x:v>2011-09-30T00:00:00.000Z</x:v>
      </x:c>
      <x:c r="C5784" s="13" t="n">
        <x:v>16</x:v>
      </x:c>
    </x:row>
    <x:row r="5785" ht="20" customHeight="1">
      <x:c r="A5785" s="1" t="str">
        <x:v>22961</x:v>
      </x:c>
      <x:c r="B5785" s="9" t="d">
        <x:v>2011-10-01T00:00:00.000Z</x:v>
      </x:c>
      <x:c r="C5785" s="13" t="n">
        <x:v>0</x:v>
      </x:c>
    </x:row>
    <x:row r="5786" ht="20" customHeight="1">
      <x:c r="A5786" s="1" t="str">
        <x:v>22961</x:v>
      </x:c>
      <x:c r="B5786" s="9" t="d">
        <x:v>2011-10-02T00:00:00.000Z</x:v>
      </x:c>
      <x:c r="C5786" s="13" t="n">
        <x:v>24</x:v>
      </x:c>
    </x:row>
    <x:row r="5787" ht="20" customHeight="1">
      <x:c r="A5787" s="1" t="str">
        <x:v>22961</x:v>
      </x:c>
      <x:c r="B5787" s="9" t="d">
        <x:v>2011-10-03T00:00:00.000Z</x:v>
      </x:c>
      <x:c r="C5787" s="13" t="n">
        <x:v>17</x:v>
      </x:c>
    </x:row>
    <x:row r="5788" ht="20" customHeight="1">
      <x:c r="A5788" s="1" t="str">
        <x:v>22961</x:v>
      </x:c>
      <x:c r="B5788" s="9" t="d">
        <x:v>2011-10-04T00:00:00.000Z</x:v>
      </x:c>
      <x:c r="C5788" s="13" t="n">
        <x:v>16</x:v>
      </x:c>
    </x:row>
    <x:row r="5789" ht="20" customHeight="1">
      <x:c r="A5789" s="1" t="str">
        <x:v>22961</x:v>
      </x:c>
      <x:c r="B5789" s="9" t="d">
        <x:v>2011-10-05T00:00:00.000Z</x:v>
      </x:c>
      <x:c r="C5789" s="13" t="n">
        <x:v>61</x:v>
      </x:c>
    </x:row>
    <x:row r="5790" ht="20" customHeight="1">
      <x:c r="A5790" s="1" t="str">
        <x:v>22961</x:v>
      </x:c>
      <x:c r="B5790" s="9" t="d">
        <x:v>2011-10-06T00:00:00.000Z</x:v>
      </x:c>
      <x:c r="C5790" s="13" t="n">
        <x:v>196</x:v>
      </x:c>
    </x:row>
    <x:row r="5791" ht="20" customHeight="1">
      <x:c r="A5791" s="1" t="str">
        <x:v>22961</x:v>
      </x:c>
      <x:c r="B5791" s="9" t="d">
        <x:v>2011-10-07T00:00:00.000Z</x:v>
      </x:c>
      <x:c r="C5791" s="13" t="n">
        <x:v>217</x:v>
      </x:c>
    </x:row>
    <x:row r="5792" ht="20" customHeight="1">
      <x:c r="A5792" s="1" t="str">
        <x:v>22961</x:v>
      </x:c>
      <x:c r="B5792" s="9" t="d">
        <x:v>2011-10-08T00:00:00.000Z</x:v>
      </x:c>
      <x:c r="C5792" s="13" t="n">
        <x:v>0</x:v>
      </x:c>
    </x:row>
    <x:row r="5793" ht="20" customHeight="1">
      <x:c r="A5793" s="1" t="str">
        <x:v>22961</x:v>
      </x:c>
      <x:c r="B5793" s="9" t="d">
        <x:v>2011-10-09T00:00:00.000Z</x:v>
      </x:c>
      <x:c r="C5793" s="13" t="n">
        <x:v>6</x:v>
      </x:c>
    </x:row>
    <x:row r="5794" ht="20" customHeight="1">
      <x:c r="A5794" s="1" t="str">
        <x:v>22961</x:v>
      </x:c>
      <x:c r="B5794" s="9" t="d">
        <x:v>2011-10-10T00:00:00.000Z</x:v>
      </x:c>
      <x:c r="C5794" s="13" t="n">
        <x:v>34</x:v>
      </x:c>
    </x:row>
    <x:row r="5795" ht="20" customHeight="1">
      <x:c r="A5795" s="1" t="str">
        <x:v>22961</x:v>
      </x:c>
      <x:c r="B5795" s="9" t="d">
        <x:v>2011-10-11T00:00:00.000Z</x:v>
      </x:c>
      <x:c r="C5795" s="13" t="n">
        <x:v>234</x:v>
      </x:c>
    </x:row>
    <x:row r="5796" ht="20" customHeight="1">
      <x:c r="A5796" s="1" t="str">
        <x:v>22961</x:v>
      </x:c>
      <x:c r="B5796" s="9" t="d">
        <x:v>2011-10-12T00:00:00.000Z</x:v>
      </x:c>
      <x:c r="C5796" s="13" t="n">
        <x:v>37</x:v>
      </x:c>
    </x:row>
    <x:row r="5797" ht="20" customHeight="1">
      <x:c r="A5797" s="1" t="str">
        <x:v>22961</x:v>
      </x:c>
      <x:c r="B5797" s="9" t="d">
        <x:v>2011-10-13T00:00:00.000Z</x:v>
      </x:c>
      <x:c r="C5797" s="13" t="n">
        <x:v>43</x:v>
      </x:c>
    </x:row>
    <x:row r="5798" ht="20" customHeight="1">
      <x:c r="A5798" s="1" t="str">
        <x:v>22961</x:v>
      </x:c>
      <x:c r="B5798" s="9" t="d">
        <x:v>2011-10-14T00:00:00.000Z</x:v>
      </x:c>
      <x:c r="C5798" s="13" t="n">
        <x:v>77</x:v>
      </x:c>
    </x:row>
    <x:row r="5799" ht="20" customHeight="1">
      <x:c r="A5799" s="1" t="str">
        <x:v>22961</x:v>
      </x:c>
      <x:c r="B5799" s="9" t="d">
        <x:v>2011-10-15T00:00:00.000Z</x:v>
      </x:c>
      <x:c r="C5799" s="13" t="n">
        <x:v>0</x:v>
      </x:c>
    </x:row>
    <x:row r="5800" ht="20" customHeight="1">
      <x:c r="A5800" s="1" t="str">
        <x:v>22961</x:v>
      </x:c>
      <x:c r="B5800" s="9" t="d">
        <x:v>2011-10-16T00:00:00.000Z</x:v>
      </x:c>
      <x:c r="C5800" s="13" t="n">
        <x:v>52</x:v>
      </x:c>
    </x:row>
    <x:row r="5801" ht="20" customHeight="1">
      <x:c r="A5801" s="1" t="str">
        <x:v>22961</x:v>
      </x:c>
      <x:c r="B5801" s="9" t="d">
        <x:v>2011-10-17T00:00:00.000Z</x:v>
      </x:c>
      <x:c r="C5801" s="13" t="n">
        <x:v>162</x:v>
      </x:c>
    </x:row>
    <x:row r="5802" ht="20" customHeight="1">
      <x:c r="A5802" s="1" t="str">
        <x:v>22961</x:v>
      </x:c>
      <x:c r="B5802" s="9" t="d">
        <x:v>2011-10-18T00:00:00.000Z</x:v>
      </x:c>
      <x:c r="C5802" s="13" t="n">
        <x:v>20</x:v>
      </x:c>
    </x:row>
    <x:row r="5803" ht="20" customHeight="1">
      <x:c r="A5803" s="1" t="str">
        <x:v>22961</x:v>
      </x:c>
      <x:c r="B5803" s="9" t="d">
        <x:v>2011-10-19T00:00:00.000Z</x:v>
      </x:c>
      <x:c r="C5803" s="13" t="n">
        <x:v>36</x:v>
      </x:c>
    </x:row>
    <x:row r="5804" ht="20" customHeight="1">
      <x:c r="A5804" s="1" t="str">
        <x:v>22961</x:v>
      </x:c>
      <x:c r="B5804" s="9" t="d">
        <x:v>2011-10-20T00:00:00.000Z</x:v>
      </x:c>
      <x:c r="C5804" s="13" t="n">
        <x:v>24</x:v>
      </x:c>
    </x:row>
    <x:row r="5805" ht="20" customHeight="1">
      <x:c r="A5805" s="1" t="str">
        <x:v>22961</x:v>
      </x:c>
      <x:c r="B5805" s="9" t="d">
        <x:v>2011-10-21T00:00:00.000Z</x:v>
      </x:c>
      <x:c r="C5805" s="13" t="n">
        <x:v>12</x:v>
      </x:c>
    </x:row>
    <x:row r="5806" ht="20" customHeight="1">
      <x:c r="A5806" s="1" t="str">
        <x:v>22961</x:v>
      </x:c>
      <x:c r="B5806" s="9" t="d">
        <x:v>2011-10-22T00:00:00.000Z</x:v>
      </x:c>
      <x:c r="C5806" s="13" t="n">
        <x:v>0</x:v>
      </x:c>
    </x:row>
    <x:row r="5807" ht="20" customHeight="1">
      <x:c r="A5807" s="1" t="str">
        <x:v>22961</x:v>
      </x:c>
      <x:c r="B5807" s="9" t="d">
        <x:v>2011-10-23T00:00:00.000Z</x:v>
      </x:c>
      <x:c r="C5807" s="13" t="n">
        <x:v>36</x:v>
      </x:c>
    </x:row>
    <x:row r="5808" ht="20" customHeight="1">
      <x:c r="A5808" s="1" t="str">
        <x:v>22961</x:v>
      </x:c>
      <x:c r="B5808" s="9" t="d">
        <x:v>2011-10-24T00:00:00.000Z</x:v>
      </x:c>
      <x:c r="C5808" s="13" t="n">
        <x:v>16</x:v>
      </x:c>
    </x:row>
    <x:row r="5809" ht="20" customHeight="1">
      <x:c r="A5809" s="1" t="str">
        <x:v>22961</x:v>
      </x:c>
      <x:c r="B5809" s="9" t="d">
        <x:v>2011-10-25T00:00:00.000Z</x:v>
      </x:c>
      <x:c r="C5809" s="13" t="n">
        <x:v>51</x:v>
      </x:c>
    </x:row>
    <x:row r="5810" ht="20" customHeight="1">
      <x:c r="A5810" s="1" t="str">
        <x:v>22961</x:v>
      </x:c>
      <x:c r="B5810" s="9" t="d">
        <x:v>2011-10-26T00:00:00.000Z</x:v>
      </x:c>
      <x:c r="C5810" s="13" t="n">
        <x:v>4</x:v>
      </x:c>
    </x:row>
    <x:row r="5811" ht="20" customHeight="1">
      <x:c r="A5811" s="1" t="str">
        <x:v>22961</x:v>
      </x:c>
      <x:c r="B5811" s="9" t="d">
        <x:v>2011-10-27T00:00:00.000Z</x:v>
      </x:c>
      <x:c r="C5811" s="13" t="n">
        <x:v>50</x:v>
      </x:c>
    </x:row>
    <x:row r="5812" ht="20" customHeight="1">
      <x:c r="A5812" s="1" t="str">
        <x:v>22961</x:v>
      </x:c>
      <x:c r="B5812" s="9" t="d">
        <x:v>2011-10-28T00:00:00.000Z</x:v>
      </x:c>
      <x:c r="C5812" s="13" t="n">
        <x:v>36</x:v>
      </x:c>
    </x:row>
    <x:row r="5813" ht="20" customHeight="1">
      <x:c r="A5813" s="1" t="str">
        <x:v>22961</x:v>
      </x:c>
      <x:c r="B5813" s="9" t="d">
        <x:v>2011-10-29T00:00:00.000Z</x:v>
      </x:c>
      <x:c r="C5813" s="13" t="n">
        <x:v>0</x:v>
      </x:c>
    </x:row>
    <x:row r="5814" ht="20" customHeight="1">
      <x:c r="A5814" s="1" t="str">
        <x:v>22961</x:v>
      </x:c>
      <x:c r="B5814" s="9" t="d">
        <x:v>2011-10-30T00:00:00.000Z</x:v>
      </x:c>
      <x:c r="C5814" s="13" t="n">
        <x:v>5</x:v>
      </x:c>
    </x:row>
    <x:row r="5815" ht="20" customHeight="1">
      <x:c r="A5815" s="1" t="str">
        <x:v>22961</x:v>
      </x:c>
      <x:c r="B5815" s="9" t="d">
        <x:v>2011-10-31T00:00:00.000Z</x:v>
      </x:c>
      <x:c r="C5815" s="13" t="n">
        <x:v>129</x:v>
      </x:c>
    </x:row>
    <x:row r="5816" ht="20" customHeight="1">
      <x:c r="A5816" s="1" t="str">
        <x:v>22961</x:v>
      </x:c>
      <x:c r="B5816" s="9" t="d">
        <x:v>2011-11-01T00:00:00.000Z</x:v>
      </x:c>
      <x:c r="C5816" s="13" t="n">
        <x:v>108</x:v>
      </x:c>
    </x:row>
    <x:row r="5817" ht="20" customHeight="1">
      <x:c r="A5817" s="1" t="str">
        <x:v>22961</x:v>
      </x:c>
      <x:c r="B5817" s="9" t="d">
        <x:v>2011-11-02T00:00:00.000Z</x:v>
      </x:c>
      <x:c r="C5817" s="13" t="n">
        <x:v>29</x:v>
      </x:c>
    </x:row>
    <x:row r="5818" ht="20" customHeight="1">
      <x:c r="A5818" s="1" t="str">
        <x:v>22961</x:v>
      </x:c>
      <x:c r="B5818" s="9" t="d">
        <x:v>2011-11-03T00:00:00.000Z</x:v>
      </x:c>
      <x:c r="C5818" s="13" t="n">
        <x:v>30</x:v>
      </x:c>
    </x:row>
    <x:row r="5819" ht="20" customHeight="1">
      <x:c r="A5819" s="1" t="str">
        <x:v>22961</x:v>
      </x:c>
      <x:c r="B5819" s="9" t="d">
        <x:v>2011-11-04T00:00:00.000Z</x:v>
      </x:c>
      <x:c r="C5819" s="13" t="n">
        <x:v>26</x:v>
      </x:c>
    </x:row>
    <x:row r="5820" ht="20" customHeight="1">
      <x:c r="A5820" s="1" t="str">
        <x:v>22961</x:v>
      </x:c>
      <x:c r="B5820" s="9" t="d">
        <x:v>2011-11-05T00:00:00.000Z</x:v>
      </x:c>
      <x:c r="C5820" s="13" t="n">
        <x:v>0</x:v>
      </x:c>
    </x:row>
    <x:row r="5821" ht="20" customHeight="1">
      <x:c r="A5821" s="1" t="str">
        <x:v>22961</x:v>
      </x:c>
      <x:c r="B5821" s="9" t="d">
        <x:v>2011-11-06T00:00:00.000Z</x:v>
      </x:c>
      <x:c r="C5821" s="13" t="n">
        <x:v>38</x:v>
      </x:c>
    </x:row>
    <x:row r="5822" ht="20" customHeight="1">
      <x:c r="A5822" s="1" t="str">
        <x:v>22961</x:v>
      </x:c>
      <x:c r="B5822" s="9" t="d">
        <x:v>2011-11-07T00:00:00.000Z</x:v>
      </x:c>
      <x:c r="C5822" s="13" t="n">
        <x:v>97</x:v>
      </x:c>
    </x:row>
    <x:row r="5823" ht="20" customHeight="1">
      <x:c r="A5823" s="1" t="str">
        <x:v>22961</x:v>
      </x:c>
      <x:c r="B5823" s="9" t="d">
        <x:v>2011-11-08T00:00:00.000Z</x:v>
      </x:c>
      <x:c r="C5823" s="13" t="n">
        <x:v>40</x:v>
      </x:c>
    </x:row>
    <x:row r="5824" ht="20" customHeight="1">
      <x:c r="A5824" s="1" t="str">
        <x:v>22961</x:v>
      </x:c>
      <x:c r="B5824" s="9" t="d">
        <x:v>2011-11-09T00:00:00.000Z</x:v>
      </x:c>
      <x:c r="C5824" s="13" t="n">
        <x:v>26</x:v>
      </x:c>
    </x:row>
    <x:row r="5825" ht="20" customHeight="1">
      <x:c r="A5825" s="1" t="str">
        <x:v>22961</x:v>
      </x:c>
      <x:c r="B5825" s="9" t="d">
        <x:v>2011-11-10T00:00:00.000Z</x:v>
      </x:c>
      <x:c r="C5825" s="13" t="n">
        <x:v>79</x:v>
      </x:c>
    </x:row>
    <x:row r="5826" ht="20" customHeight="1">
      <x:c r="A5826" s="1" t="str">
        <x:v>22961</x:v>
      </x:c>
      <x:c r="B5826" s="9" t="d">
        <x:v>2011-11-11T00:00:00.000Z</x:v>
      </x:c>
      <x:c r="C5826" s="13" t="n">
        <x:v>8</x:v>
      </x:c>
    </x:row>
    <x:row r="5827" ht="20" customHeight="1">
      <x:c r="A5827" s="1" t="str">
        <x:v>22961</x:v>
      </x:c>
      <x:c r="B5827" s="9" t="d">
        <x:v>2011-11-12T00:00:00.000Z</x:v>
      </x:c>
      <x:c r="C5827" s="13" t="n">
        <x:v>0</x:v>
      </x:c>
    </x:row>
    <x:row r="5828" ht="20" customHeight="1">
      <x:c r="A5828" s="1" t="str">
        <x:v>22961</x:v>
      </x:c>
      <x:c r="B5828" s="9" t="d">
        <x:v>2011-11-13T00:00:00.000Z</x:v>
      </x:c>
      <x:c r="C5828" s="13" t="n">
        <x:v>39</x:v>
      </x:c>
    </x:row>
    <x:row r="5829" ht="20" customHeight="1">
      <x:c r="A5829" s="1" t="str">
        <x:v>22961</x:v>
      </x:c>
      <x:c r="B5829" s="9" t="d">
        <x:v>2011-11-14T00:00:00.000Z</x:v>
      </x:c>
      <x:c r="C5829" s="13" t="n">
        <x:v>149</x:v>
      </x:c>
    </x:row>
    <x:row r="5830" ht="20" customHeight="1">
      <x:c r="A5830" s="1" t="str">
        <x:v>22961</x:v>
      </x:c>
      <x:c r="B5830" s="9" t="d">
        <x:v>2011-11-15T00:00:00.000Z</x:v>
      </x:c>
      <x:c r="C5830" s="13" t="n">
        <x:v>23</x:v>
      </x:c>
    </x:row>
    <x:row r="5831" ht="20" customHeight="1">
      <x:c r="A5831" s="1" t="str">
        <x:v>22961</x:v>
      </x:c>
      <x:c r="B5831" s="9" t="d">
        <x:v>2011-11-16T00:00:00.000Z</x:v>
      </x:c>
      <x:c r="C5831" s="13" t="n">
        <x:v>38</x:v>
      </x:c>
    </x:row>
    <x:row r="5832" ht="20" customHeight="1">
      <x:c r="A5832" s="1" t="str">
        <x:v>22961</x:v>
      </x:c>
      <x:c r="B5832" s="9" t="d">
        <x:v>2011-11-17T00:00:00.000Z</x:v>
      </x:c>
      <x:c r="C5832" s="13" t="n">
        <x:v>103</x:v>
      </x:c>
    </x:row>
    <x:row r="5833" ht="20" customHeight="1">
      <x:c r="A5833" s="1" t="str">
        <x:v>22961</x:v>
      </x:c>
      <x:c r="B5833" s="9" t="d">
        <x:v>2011-11-18T00:00:00.000Z</x:v>
      </x:c>
      <x:c r="C5833" s="13" t="n">
        <x:v>38</x:v>
      </x:c>
    </x:row>
    <x:row r="5834" ht="20" customHeight="1">
      <x:c r="A5834" s="1" t="str">
        <x:v>22961</x:v>
      </x:c>
      <x:c r="B5834" s="9" t="d">
        <x:v>2011-11-19T00:00:00.000Z</x:v>
      </x:c>
      <x:c r="C5834" s="13" t="n">
        <x:v>0</x:v>
      </x:c>
    </x:row>
    <x:row r="5835" ht="20" customHeight="1">
      <x:c r="A5835" s="1" t="str">
        <x:v>22961</x:v>
      </x:c>
      <x:c r="B5835" s="9" t="d">
        <x:v>2011-11-20T00:00:00.000Z</x:v>
      </x:c>
      <x:c r="C5835" s="13" t="n">
        <x:v>4</x:v>
      </x:c>
    </x:row>
    <x:row r="5836" ht="20" customHeight="1">
      <x:c r="A5836" s="1" t="str">
        <x:v>22961</x:v>
      </x:c>
      <x:c r="B5836" s="9" t="d">
        <x:v>2011-11-21T00:00:00.000Z</x:v>
      </x:c>
      <x:c r="C5836" s="13" t="n">
        <x:v>200</x:v>
      </x:c>
    </x:row>
    <x:row r="5837" ht="20" customHeight="1">
      <x:c r="A5837" s="1" t="str">
        <x:v>22961</x:v>
      </x:c>
      <x:c r="B5837" s="9" t="d">
        <x:v>2011-11-22T00:00:00.000Z</x:v>
      </x:c>
      <x:c r="C5837" s="13" t="n">
        <x:v>17</x:v>
      </x:c>
    </x:row>
    <x:row r="5838" ht="20" customHeight="1">
      <x:c r="A5838" s="1" t="str">
        <x:v>22961</x:v>
      </x:c>
      <x:c r="B5838" s="9" t="d">
        <x:v>2011-11-23T00:00:00.000Z</x:v>
      </x:c>
      <x:c r="C5838" s="13" t="n">
        <x:v>163</x:v>
      </x:c>
    </x:row>
    <x:row r="5839" ht="20" customHeight="1">
      <x:c r="A5839" s="1" t="str">
        <x:v>22961</x:v>
      </x:c>
      <x:c r="B5839" s="9" t="d">
        <x:v>2011-11-24T00:00:00.000Z</x:v>
      </x:c>
      <x:c r="C5839" s="13" t="n">
        <x:v>91</x:v>
      </x:c>
    </x:row>
    <x:row r="5840" ht="20" customHeight="1">
      <x:c r="A5840" s="1" t="str">
        <x:v>22961</x:v>
      </x:c>
      <x:c r="B5840" s="9" t="d">
        <x:v>2011-11-25T00:00:00.000Z</x:v>
      </x:c>
      <x:c r="C5840" s="13" t="n">
        <x:v>35</x:v>
      </x:c>
    </x:row>
    <x:row r="5841" ht="20" customHeight="1">
      <x:c r="A5841" s="1" t="str">
        <x:v>22961</x:v>
      </x:c>
      <x:c r="B5841" s="9" t="d">
        <x:v>2011-11-26T00:00:00.000Z</x:v>
      </x:c>
      <x:c r="C5841" s="13" t="n">
        <x:v>0</x:v>
      </x:c>
    </x:row>
    <x:row r="5842" ht="20" customHeight="1">
      <x:c r="A5842" s="1" t="str">
        <x:v>22961</x:v>
      </x:c>
      <x:c r="B5842" s="9" t="d">
        <x:v>2011-11-27T00:00:00.000Z</x:v>
      </x:c>
      <x:c r="C5842" s="13" t="n">
        <x:v>9</x:v>
      </x:c>
    </x:row>
    <x:row r="5843" ht="20" customHeight="1">
      <x:c r="A5843" s="1" t="str">
        <x:v>22961</x:v>
      </x:c>
      <x:c r="B5843" s="9" t="d">
        <x:v>2011-11-28T00:00:00.000Z</x:v>
      </x:c>
      <x:c r="C5843" s="13" t="n">
        <x:v>52</x:v>
      </x:c>
    </x:row>
    <x:row r="5844" ht="20" customHeight="1">
      <x:c r="A5844" s="1" t="str">
        <x:v>22961</x:v>
      </x:c>
      <x:c r="B5844" s="9" t="d">
        <x:v>2011-11-29T00:00:00.000Z</x:v>
      </x:c>
      <x:c r="C5844" s="13" t="n">
        <x:v>60</x:v>
      </x:c>
    </x:row>
    <x:row r="5845" ht="20" customHeight="1">
      <x:c r="A5845" s="1" t="str">
        <x:v>22961</x:v>
      </x:c>
      <x:c r="B5845" s="9" t="d">
        <x:v>2011-11-30T00:00:00.000Z</x:v>
      </x:c>
      <x:c r="C5845" s="13" t="n">
        <x:v>72</x:v>
      </x:c>
    </x:row>
    <x:row r="5846" ht="20" customHeight="1">
      <x:c r="A5846" s="1" t="str">
        <x:v>84378</x:v>
      </x:c>
      <x:c r="B5846" s="9" t="d">
        <x:v>2010-12-01T00:00:00.000Z</x:v>
      </x:c>
      <x:c r="C5846" s="13" t="n">
        <x:v>15</x:v>
      </x:c>
    </x:row>
    <x:row r="5847" ht="20" customHeight="1">
      <x:c r="A5847" s="1" t="str">
        <x:v>84378</x:v>
      </x:c>
      <x:c r="B5847" s="9" t="d">
        <x:v>2010-12-02T00:00:00.000Z</x:v>
      </x:c>
      <x:c r="C5847" s="13" t="n">
        <x:v>12</x:v>
      </x:c>
    </x:row>
    <x:row r="5848" ht="20" customHeight="1">
      <x:c r="A5848" s="1" t="str">
        <x:v>84378</x:v>
      </x:c>
      <x:c r="B5848" s="9" t="d">
        <x:v>2010-12-03T00:00:00.000Z</x:v>
      </x:c>
      <x:c r="C5848" s="13" t="n">
        <x:v>2</x:v>
      </x:c>
    </x:row>
    <x:row r="5849" ht="20" customHeight="1">
      <x:c r="A5849" s="1" t="str">
        <x:v>84378</x:v>
      </x:c>
      <x:c r="B5849" s="9" t="d">
        <x:v>2010-12-04T00:00:00.000Z</x:v>
      </x:c>
      <x:c r="C5849" s="13" t="n">
        <x:v>0</x:v>
      </x:c>
    </x:row>
    <x:row r="5850" ht="20" customHeight="1">
      <x:c r="A5850" s="1" t="str">
        <x:v>84378</x:v>
      </x:c>
      <x:c r="B5850" s="9" t="d">
        <x:v>2010-12-05T00:00:00.000Z</x:v>
      </x:c>
      <x:c r="C5850" s="13" t="n">
        <x:v>6</x:v>
      </x:c>
    </x:row>
    <x:row r="5851" ht="20" customHeight="1">
      <x:c r="A5851" s="1" t="str">
        <x:v>84378</x:v>
      </x:c>
      <x:c r="B5851" s="9" t="d">
        <x:v>2010-12-06T00:00:00.000Z</x:v>
      </x:c>
      <x:c r="C5851" s="13" t="n">
        <x:v>7</x:v>
      </x:c>
    </x:row>
    <x:row r="5852" ht="20" customHeight="1">
      <x:c r="A5852" s="1" t="str">
        <x:v>84378</x:v>
      </x:c>
      <x:c r="B5852" s="9" t="d">
        <x:v>2010-12-07T00:00:00.000Z</x:v>
      </x:c>
      <x:c r="C5852" s="13" t="n">
        <x:v>12</x:v>
      </x:c>
    </x:row>
    <x:row r="5853" ht="20" customHeight="1">
      <x:c r="A5853" s="1" t="str">
        <x:v>84378</x:v>
      </x:c>
      <x:c r="B5853" s="9" t="d">
        <x:v>2010-12-08T00:00:00.000Z</x:v>
      </x:c>
      <x:c r="C5853" s="13" t="n">
        <x:v>41</x:v>
      </x:c>
    </x:row>
    <x:row r="5854" ht="20" customHeight="1">
      <x:c r="A5854" s="1" t="str">
        <x:v>84378</x:v>
      </x:c>
      <x:c r="B5854" s="9" t="d">
        <x:v>2010-12-09T00:00:00.000Z</x:v>
      </x:c>
      <x:c r="C5854" s="13" t="n">
        <x:v>29</x:v>
      </x:c>
    </x:row>
    <x:row r="5855" ht="20" customHeight="1">
      <x:c r="A5855" s="1" t="str">
        <x:v>84378</x:v>
      </x:c>
      <x:c r="B5855" s="9" t="d">
        <x:v>2010-12-10T00:00:00.000Z</x:v>
      </x:c>
      <x:c r="C5855" s="13" t="n">
        <x:v>7</x:v>
      </x:c>
    </x:row>
    <x:row r="5856" ht="20" customHeight="1">
      <x:c r="A5856" s="1" t="str">
        <x:v>84378</x:v>
      </x:c>
      <x:c r="B5856" s="9" t="d">
        <x:v>2010-12-11T00:00:00.000Z</x:v>
      </x:c>
      <x:c r="C5856" s="13" t="n">
        <x:v>0</x:v>
      </x:c>
    </x:row>
    <x:row r="5857" ht="20" customHeight="1">
      <x:c r="A5857" s="1" t="str">
        <x:v>84378</x:v>
      </x:c>
      <x:c r="B5857" s="9" t="d">
        <x:v>2010-12-12T00:00:00.000Z</x:v>
      </x:c>
      <x:c r="C5857" s="13" t="n">
        <x:v>0</x:v>
      </x:c>
    </x:row>
    <x:row r="5858" ht="20" customHeight="1">
      <x:c r="A5858" s="1" t="str">
        <x:v>84378</x:v>
      </x:c>
      <x:c r="B5858" s="9" t="d">
        <x:v>2010-12-13T00:00:00.000Z</x:v>
      </x:c>
      <x:c r="C5858" s="13" t="n">
        <x:v>15</x:v>
      </x:c>
    </x:row>
    <x:row r="5859" ht="20" customHeight="1">
      <x:c r="A5859" s="1" t="str">
        <x:v>84378</x:v>
      </x:c>
      <x:c r="B5859" s="9" t="d">
        <x:v>2010-12-14T00:00:00.000Z</x:v>
      </x:c>
      <x:c r="C5859" s="13" t="n">
        <x:v>38</x:v>
      </x:c>
    </x:row>
    <x:row r="5860" ht="20" customHeight="1">
      <x:c r="A5860" s="1" t="str">
        <x:v>84378</x:v>
      </x:c>
      <x:c r="B5860" s="9" t="d">
        <x:v>2010-12-15T00:00:00.000Z</x:v>
      </x:c>
      <x:c r="C5860" s="13" t="n">
        <x:v>25</x:v>
      </x:c>
    </x:row>
    <x:row r="5861" ht="20" customHeight="1">
      <x:c r="A5861" s="1" t="str">
        <x:v>84378</x:v>
      </x:c>
      <x:c r="B5861" s="9" t="d">
        <x:v>2010-12-16T00:00:00.000Z</x:v>
      </x:c>
      <x:c r="C5861" s="13" t="n">
        <x:v>12</x:v>
      </x:c>
    </x:row>
    <x:row r="5862" ht="20" customHeight="1">
      <x:c r="A5862" s="1" t="str">
        <x:v>84378</x:v>
      </x:c>
      <x:c r="B5862" s="9" t="d">
        <x:v>2010-12-17T00:00:00.000Z</x:v>
      </x:c>
      <x:c r="C5862" s="13" t="n">
        <x:v>3</x:v>
      </x:c>
    </x:row>
    <x:row r="5863" ht="20" customHeight="1">
      <x:c r="A5863" s="1" t="str">
        <x:v>84378</x:v>
      </x:c>
      <x:c r="B5863" s="9" t="d">
        <x:v>2010-12-18T00:00:00.000Z</x:v>
      </x:c>
      <x:c r="C5863" s="13" t="n">
        <x:v>0</x:v>
      </x:c>
    </x:row>
    <x:row r="5864" ht="20" customHeight="1">
      <x:c r="A5864" s="1" t="str">
        <x:v>84378</x:v>
      </x:c>
      <x:c r="B5864" s="9" t="d">
        <x:v>2010-12-19T00:00:00.000Z</x:v>
      </x:c>
      <x:c r="C5864" s="13" t="n">
        <x:v>12</x:v>
      </x:c>
    </x:row>
    <x:row r="5865" ht="20" customHeight="1">
      <x:c r="A5865" s="1" t="str">
        <x:v>84378</x:v>
      </x:c>
      <x:c r="B5865" s="9" t="d">
        <x:v>2010-12-20T00:00:00.000Z</x:v>
      </x:c>
      <x:c r="C5865" s="13" t="n">
        <x:v>2</x:v>
      </x:c>
    </x:row>
    <x:row r="5866" ht="20" customHeight="1">
      <x:c r="A5866" s="1" t="str">
        <x:v>84378</x:v>
      </x:c>
      <x:c r="B5866" s="9" t="d">
        <x:v>2010-12-21T00:00:00.000Z</x:v>
      </x:c>
      <x:c r="C5866" s="13" t="n">
        <x:v>0</x:v>
      </x:c>
    </x:row>
    <x:row r="5867" ht="20" customHeight="1">
      <x:c r="A5867" s="1" t="str">
        <x:v>84378</x:v>
      </x:c>
      <x:c r="B5867" s="9" t="d">
        <x:v>2010-12-22T00:00:00.000Z</x:v>
      </x:c>
      <x:c r="C5867" s="13" t="n">
        <x:v>0</x:v>
      </x:c>
    </x:row>
    <x:row r="5868" ht="20" customHeight="1">
      <x:c r="A5868" s="1" t="str">
        <x:v>84378</x:v>
      </x:c>
      <x:c r="B5868" s="9" t="d">
        <x:v>2010-12-23T00:00:00.000Z</x:v>
      </x:c>
      <x:c r="C5868" s="13" t="n">
        <x:v>2</x:v>
      </x:c>
    </x:row>
    <x:row r="5869" ht="20" customHeight="1">
      <x:c r="A5869" s="1" t="str">
        <x:v>84378</x:v>
      </x:c>
      <x:c r="B5869" s="9" t="d">
        <x:v>2010-12-24T00:00:00.000Z</x:v>
      </x:c>
      <x:c r="C5869" s="13" t="n">
        <x:v>0</x:v>
      </x:c>
    </x:row>
    <x:row r="5870" ht="20" customHeight="1">
      <x:c r="A5870" s="1" t="str">
        <x:v>84378</x:v>
      </x:c>
      <x:c r="B5870" s="9" t="d">
        <x:v>2010-12-25T00:00:00.000Z</x:v>
      </x:c>
      <x:c r="C5870" s="13" t="n">
        <x:v>0</x:v>
      </x:c>
    </x:row>
    <x:row r="5871" ht="20" customHeight="1">
      <x:c r="A5871" s="1" t="str">
        <x:v>84378</x:v>
      </x:c>
      <x:c r="B5871" s="9" t="d">
        <x:v>2010-12-26T00:00:00.000Z</x:v>
      </x:c>
      <x:c r="C5871" s="13" t="n">
        <x:v>0</x:v>
      </x:c>
    </x:row>
    <x:row r="5872" ht="20" customHeight="1">
      <x:c r="A5872" s="1" t="str">
        <x:v>84378</x:v>
      </x:c>
      <x:c r="B5872" s="9" t="d">
        <x:v>2010-12-27T00:00:00.000Z</x:v>
      </x:c>
      <x:c r="C5872" s="13" t="n">
        <x:v>0</x:v>
      </x:c>
    </x:row>
    <x:row r="5873" ht="20" customHeight="1">
      <x:c r="A5873" s="1" t="str">
        <x:v>84378</x:v>
      </x:c>
      <x:c r="B5873" s="9" t="d">
        <x:v>2010-12-28T00:00:00.000Z</x:v>
      </x:c>
      <x:c r="C5873" s="13" t="n">
        <x:v>0</x:v>
      </x:c>
    </x:row>
    <x:row r="5874" ht="20" customHeight="1">
      <x:c r="A5874" s="1" t="str">
        <x:v>84378</x:v>
      </x:c>
      <x:c r="B5874" s="9" t="d">
        <x:v>2010-12-29T00:00:00.000Z</x:v>
      </x:c>
      <x:c r="C5874" s="13" t="n">
        <x:v>0</x:v>
      </x:c>
    </x:row>
    <x:row r="5875" ht="20" customHeight="1">
      <x:c r="A5875" s="1" t="str">
        <x:v>84378</x:v>
      </x:c>
      <x:c r="B5875" s="9" t="d">
        <x:v>2010-12-30T00:00:00.000Z</x:v>
      </x:c>
      <x:c r="C5875" s="13" t="n">
        <x:v>0</x:v>
      </x:c>
    </x:row>
    <x:row r="5876" ht="20" customHeight="1">
      <x:c r="A5876" s="1" t="str">
        <x:v>84378</x:v>
      </x:c>
      <x:c r="B5876" s="9" t="d">
        <x:v>2010-12-31T00:00:00.000Z</x:v>
      </x:c>
      <x:c r="C5876" s="13" t="n">
        <x:v>0</x:v>
      </x:c>
    </x:row>
    <x:row r="5877" ht="20" customHeight="1">
      <x:c r="A5877" s="1" t="str">
        <x:v>84378</x:v>
      </x:c>
      <x:c r="B5877" s="9" t="d">
        <x:v>2011-01-01T00:00:00.000Z</x:v>
      </x:c>
      <x:c r="C5877" s="13" t="n">
        <x:v>0</x:v>
      </x:c>
    </x:row>
    <x:row r="5878" ht="20" customHeight="1">
      <x:c r="A5878" s="1" t="str">
        <x:v>84378</x:v>
      </x:c>
      <x:c r="B5878" s="9" t="d">
        <x:v>2011-01-02T00:00:00.000Z</x:v>
      </x:c>
      <x:c r="C5878" s="13" t="n">
        <x:v>0</x:v>
      </x:c>
    </x:row>
    <x:row r="5879" ht="20" customHeight="1">
      <x:c r="A5879" s="1" t="str">
        <x:v>84378</x:v>
      </x:c>
      <x:c r="B5879" s="9" t="d">
        <x:v>2011-01-03T00:00:00.000Z</x:v>
      </x:c>
      <x:c r="C5879" s="13" t="n">
        <x:v>0</x:v>
      </x:c>
    </x:row>
    <x:row r="5880" ht="20" customHeight="1">
      <x:c r="A5880" s="1" t="str">
        <x:v>84378</x:v>
      </x:c>
      <x:c r="B5880" s="9" t="d">
        <x:v>2011-01-04T00:00:00.000Z</x:v>
      </x:c>
      <x:c r="C5880" s="13" t="n">
        <x:v>14</x:v>
      </x:c>
    </x:row>
    <x:row r="5881" ht="20" customHeight="1">
      <x:c r="A5881" s="1" t="str">
        <x:v>84378</x:v>
      </x:c>
      <x:c r="B5881" s="9" t="d">
        <x:v>2011-01-05T00:00:00.000Z</x:v>
      </x:c>
      <x:c r="C5881" s="13" t="n">
        <x:v>33</x:v>
      </x:c>
    </x:row>
    <x:row r="5882" ht="20" customHeight="1">
      <x:c r="A5882" s="1" t="str">
        <x:v>84378</x:v>
      </x:c>
      <x:c r="B5882" s="9" t="d">
        <x:v>2011-01-06T00:00:00.000Z</x:v>
      </x:c>
      <x:c r="C5882" s="13" t="n">
        <x:v>68</x:v>
      </x:c>
    </x:row>
    <x:row r="5883" ht="20" customHeight="1">
      <x:c r="A5883" s="1" t="str">
        <x:v>84378</x:v>
      </x:c>
      <x:c r="B5883" s="9" t="d">
        <x:v>2011-01-07T00:00:00.000Z</x:v>
      </x:c>
      <x:c r="C5883" s="13" t="n">
        <x:v>28</x:v>
      </x:c>
    </x:row>
    <x:row r="5884" ht="20" customHeight="1">
      <x:c r="A5884" s="1" t="str">
        <x:v>84378</x:v>
      </x:c>
      <x:c r="B5884" s="9" t="d">
        <x:v>2011-01-08T00:00:00.000Z</x:v>
      </x:c>
      <x:c r="C5884" s="13" t="n">
        <x:v>0</x:v>
      </x:c>
    </x:row>
    <x:row r="5885" ht="20" customHeight="1">
      <x:c r="A5885" s="1" t="str">
        <x:v>84378</x:v>
      </x:c>
      <x:c r="B5885" s="9" t="d">
        <x:v>2011-01-09T00:00:00.000Z</x:v>
      </x:c>
      <x:c r="C5885" s="13" t="n">
        <x:v>40</x:v>
      </x:c>
    </x:row>
    <x:row r="5886" ht="20" customHeight="1">
      <x:c r="A5886" s="1" t="str">
        <x:v>84378</x:v>
      </x:c>
      <x:c r="B5886" s="9" t="d">
        <x:v>2011-01-10T00:00:00.000Z</x:v>
      </x:c>
      <x:c r="C5886" s="13" t="n">
        <x:v>14</x:v>
      </x:c>
    </x:row>
    <x:row r="5887" ht="20" customHeight="1">
      <x:c r="A5887" s="1" t="str">
        <x:v>84378</x:v>
      </x:c>
      <x:c r="B5887" s="9" t="d">
        <x:v>2011-01-11T00:00:00.000Z</x:v>
      </x:c>
      <x:c r="C5887" s="13" t="n">
        <x:v>29</x:v>
      </x:c>
    </x:row>
    <x:row r="5888" ht="20" customHeight="1">
      <x:c r="A5888" s="1" t="str">
        <x:v>84378</x:v>
      </x:c>
      <x:c r="B5888" s="9" t="d">
        <x:v>2011-01-12T00:00:00.000Z</x:v>
      </x:c>
      <x:c r="C5888" s="13" t="n">
        <x:v>69</x:v>
      </x:c>
    </x:row>
    <x:row r="5889" ht="20" customHeight="1">
      <x:c r="A5889" s="1" t="str">
        <x:v>84378</x:v>
      </x:c>
      <x:c r="B5889" s="9" t="d">
        <x:v>2011-01-13T00:00:00.000Z</x:v>
      </x:c>
      <x:c r="C5889" s="13" t="n">
        <x:v>55</x:v>
      </x:c>
    </x:row>
    <x:row r="5890" ht="20" customHeight="1">
      <x:c r="A5890" s="1" t="str">
        <x:v>84378</x:v>
      </x:c>
      <x:c r="B5890" s="9" t="d">
        <x:v>2011-01-14T00:00:00.000Z</x:v>
      </x:c>
      <x:c r="C5890" s="13" t="n">
        <x:v>62</x:v>
      </x:c>
    </x:row>
    <x:row r="5891" ht="20" customHeight="1">
      <x:c r="A5891" s="1" t="str">
        <x:v>84378</x:v>
      </x:c>
      <x:c r="B5891" s="9" t="d">
        <x:v>2011-01-15T00:00:00.000Z</x:v>
      </x:c>
      <x:c r="C5891" s="13" t="n">
        <x:v>0</x:v>
      </x:c>
    </x:row>
    <x:row r="5892" ht="20" customHeight="1">
      <x:c r="A5892" s="1" t="str">
        <x:v>84378</x:v>
      </x:c>
      <x:c r="B5892" s="9" t="d">
        <x:v>2011-01-16T00:00:00.000Z</x:v>
      </x:c>
      <x:c r="C5892" s="13" t="n">
        <x:v>4</x:v>
      </x:c>
    </x:row>
    <x:row r="5893" ht="20" customHeight="1">
      <x:c r="A5893" s="1" t="str">
        <x:v>84378</x:v>
      </x:c>
      <x:c r="B5893" s="9" t="d">
        <x:v>2011-01-17T00:00:00.000Z</x:v>
      </x:c>
      <x:c r="C5893" s="13" t="n">
        <x:v>62</x:v>
      </x:c>
    </x:row>
    <x:row r="5894" ht="20" customHeight="1">
      <x:c r="A5894" s="1" t="str">
        <x:v>84378</x:v>
      </x:c>
      <x:c r="B5894" s="9" t="d">
        <x:v>2011-01-18T00:00:00.000Z</x:v>
      </x:c>
      <x:c r="C5894" s="13" t="n">
        <x:v>56</x:v>
      </x:c>
    </x:row>
    <x:row r="5895" ht="20" customHeight="1">
      <x:c r="A5895" s="1" t="str">
        <x:v>84378</x:v>
      </x:c>
      <x:c r="B5895" s="9" t="d">
        <x:v>2011-01-19T00:00:00.000Z</x:v>
      </x:c>
      <x:c r="C5895" s="13" t="n">
        <x:v>20</x:v>
      </x:c>
    </x:row>
    <x:row r="5896" ht="20" customHeight="1">
      <x:c r="A5896" s="1" t="str">
        <x:v>84378</x:v>
      </x:c>
      <x:c r="B5896" s="9" t="d">
        <x:v>2011-01-20T00:00:00.000Z</x:v>
      </x:c>
      <x:c r="C5896" s="13" t="n">
        <x:v>36</x:v>
      </x:c>
    </x:row>
    <x:row r="5897" ht="20" customHeight="1">
      <x:c r="A5897" s="1" t="str">
        <x:v>84378</x:v>
      </x:c>
      <x:c r="B5897" s="9" t="d">
        <x:v>2011-01-21T00:00:00.000Z</x:v>
      </x:c>
      <x:c r="C5897" s="13" t="n">
        <x:v>96</x:v>
      </x:c>
    </x:row>
    <x:row r="5898" ht="20" customHeight="1">
      <x:c r="A5898" s="1" t="str">
        <x:v>84378</x:v>
      </x:c>
      <x:c r="B5898" s="9" t="d">
        <x:v>2011-01-22T00:00:00.000Z</x:v>
      </x:c>
      <x:c r="C5898" s="13" t="n">
        <x:v>0</x:v>
      </x:c>
    </x:row>
    <x:row r="5899" ht="20" customHeight="1">
      <x:c r="A5899" s="1" t="str">
        <x:v>84378</x:v>
      </x:c>
      <x:c r="B5899" s="9" t="d">
        <x:v>2011-01-23T00:00:00.000Z</x:v>
      </x:c>
      <x:c r="C5899" s="13" t="n">
        <x:v>145</x:v>
      </x:c>
    </x:row>
    <x:row r="5900" ht="20" customHeight="1">
      <x:c r="A5900" s="1" t="str">
        <x:v>84378</x:v>
      </x:c>
      <x:c r="B5900" s="9" t="d">
        <x:v>2011-01-24T00:00:00.000Z</x:v>
      </x:c>
      <x:c r="C5900" s="13" t="n">
        <x:v>32</x:v>
      </x:c>
    </x:row>
    <x:row r="5901" ht="20" customHeight="1">
      <x:c r="A5901" s="1" t="str">
        <x:v>84378</x:v>
      </x:c>
      <x:c r="B5901" s="9" t="d">
        <x:v>2011-01-25T00:00:00.000Z</x:v>
      </x:c>
      <x:c r="C5901" s="13" t="n">
        <x:v>46</x:v>
      </x:c>
    </x:row>
    <x:row r="5902" ht="20" customHeight="1">
      <x:c r="A5902" s="1" t="str">
        <x:v>84378</x:v>
      </x:c>
      <x:c r="B5902" s="9" t="d">
        <x:v>2011-01-26T00:00:00.000Z</x:v>
      </x:c>
      <x:c r="C5902" s="13" t="n">
        <x:v>47</x:v>
      </x:c>
    </x:row>
    <x:row r="5903" ht="20" customHeight="1">
      <x:c r="A5903" s="1" t="str">
        <x:v>84378</x:v>
      </x:c>
      <x:c r="B5903" s="9" t="d">
        <x:v>2011-01-27T00:00:00.000Z</x:v>
      </x:c>
      <x:c r="C5903" s="13" t="n">
        <x:v>41</x:v>
      </x:c>
    </x:row>
    <x:row r="5904" ht="20" customHeight="1">
      <x:c r="A5904" s="1" t="str">
        <x:v>84378</x:v>
      </x:c>
      <x:c r="B5904" s="9" t="d">
        <x:v>2011-01-28T00:00:00.000Z</x:v>
      </x:c>
      <x:c r="C5904" s="13" t="n">
        <x:v>52</x:v>
      </x:c>
    </x:row>
    <x:row r="5905" ht="20" customHeight="1">
      <x:c r="A5905" s="1" t="str">
        <x:v>84378</x:v>
      </x:c>
      <x:c r="B5905" s="9" t="d">
        <x:v>2011-01-29T00:00:00.000Z</x:v>
      </x:c>
      <x:c r="C5905" s="13" t="n">
        <x:v>0</x:v>
      </x:c>
    </x:row>
    <x:row r="5906" ht="20" customHeight="1">
      <x:c r="A5906" s="1" t="str">
        <x:v>84378</x:v>
      </x:c>
      <x:c r="B5906" s="9" t="d">
        <x:v>2011-01-30T00:00:00.000Z</x:v>
      </x:c>
      <x:c r="C5906" s="13" t="n">
        <x:v>18</x:v>
      </x:c>
    </x:row>
    <x:row r="5907" ht="20" customHeight="1">
      <x:c r="A5907" s="1" t="str">
        <x:v>84378</x:v>
      </x:c>
      <x:c r="B5907" s="9" t="d">
        <x:v>2011-01-31T00:00:00.000Z</x:v>
      </x:c>
      <x:c r="C5907" s="13" t="n">
        <x:v>24</x:v>
      </x:c>
    </x:row>
    <x:row r="5908" ht="20" customHeight="1">
      <x:c r="A5908" s="1" t="str">
        <x:v>84378</x:v>
      </x:c>
      <x:c r="B5908" s="9" t="d">
        <x:v>2011-02-01T00:00:00.000Z</x:v>
      </x:c>
      <x:c r="C5908" s="13" t="n">
        <x:v>36</x:v>
      </x:c>
    </x:row>
    <x:row r="5909" ht="20" customHeight="1">
      <x:c r="A5909" s="1" t="str">
        <x:v>84378</x:v>
      </x:c>
      <x:c r="B5909" s="9" t="d">
        <x:v>2011-02-02T00:00:00.000Z</x:v>
      </x:c>
      <x:c r="C5909" s="13" t="n">
        <x:v>7</x:v>
      </x:c>
    </x:row>
    <x:row r="5910" ht="20" customHeight="1">
      <x:c r="A5910" s="1" t="str">
        <x:v>84378</x:v>
      </x:c>
      <x:c r="B5910" s="9" t="d">
        <x:v>2011-02-03T00:00:00.000Z</x:v>
      </x:c>
      <x:c r="C5910" s="13" t="n">
        <x:v>31</x:v>
      </x:c>
    </x:row>
    <x:row r="5911" ht="20" customHeight="1">
      <x:c r="A5911" s="1" t="str">
        <x:v>84378</x:v>
      </x:c>
      <x:c r="B5911" s="9" t="d">
        <x:v>2011-02-04T00:00:00.000Z</x:v>
      </x:c>
      <x:c r="C5911" s="13" t="n">
        <x:v>14</x:v>
      </x:c>
    </x:row>
    <x:row r="5912" ht="20" customHeight="1">
      <x:c r="A5912" s="1" t="str">
        <x:v>84378</x:v>
      </x:c>
      <x:c r="B5912" s="9" t="d">
        <x:v>2011-02-05T00:00:00.000Z</x:v>
      </x:c>
      <x:c r="C5912" s="13" t="n">
        <x:v>0</x:v>
      </x:c>
    </x:row>
    <x:row r="5913" ht="20" customHeight="1">
      <x:c r="A5913" s="1" t="str">
        <x:v>84378</x:v>
      </x:c>
      <x:c r="B5913" s="9" t="d">
        <x:v>2011-02-06T00:00:00.000Z</x:v>
      </x:c>
      <x:c r="C5913" s="13" t="n">
        <x:v>11</x:v>
      </x:c>
    </x:row>
    <x:row r="5914" ht="20" customHeight="1">
      <x:c r="A5914" s="1" t="str">
        <x:v>84378</x:v>
      </x:c>
      <x:c r="B5914" s="9" t="d">
        <x:v>2011-02-07T00:00:00.000Z</x:v>
      </x:c>
      <x:c r="C5914" s="13" t="n">
        <x:v>43</x:v>
      </x:c>
    </x:row>
    <x:row r="5915" ht="20" customHeight="1">
      <x:c r="A5915" s="1" t="str">
        <x:v>84378</x:v>
      </x:c>
      <x:c r="B5915" s="9" t="d">
        <x:v>2011-02-08T00:00:00.000Z</x:v>
      </x:c>
      <x:c r="C5915" s="13" t="n">
        <x:v>37</x:v>
      </x:c>
    </x:row>
    <x:row r="5916" ht="20" customHeight="1">
      <x:c r="A5916" s="1" t="str">
        <x:v>84378</x:v>
      </x:c>
      <x:c r="B5916" s="9" t="d">
        <x:v>2011-02-09T00:00:00.000Z</x:v>
      </x:c>
      <x:c r="C5916" s="13" t="n">
        <x:v>16</x:v>
      </x:c>
    </x:row>
    <x:row r="5917" ht="20" customHeight="1">
      <x:c r="A5917" s="1" t="str">
        <x:v>84378</x:v>
      </x:c>
      <x:c r="B5917" s="9" t="d">
        <x:v>2011-02-10T00:00:00.000Z</x:v>
      </x:c>
      <x:c r="C5917" s="13" t="n">
        <x:v>29</x:v>
      </x:c>
    </x:row>
    <x:row r="5918" ht="20" customHeight="1">
      <x:c r="A5918" s="1" t="str">
        <x:v>84378</x:v>
      </x:c>
      <x:c r="B5918" s="9" t="d">
        <x:v>2011-02-11T00:00:00.000Z</x:v>
      </x:c>
      <x:c r="C5918" s="13" t="n">
        <x:v>3</x:v>
      </x:c>
    </x:row>
    <x:row r="5919" ht="20" customHeight="1">
      <x:c r="A5919" s="1" t="str">
        <x:v>84378</x:v>
      </x:c>
      <x:c r="B5919" s="9" t="d">
        <x:v>2011-02-12T00:00:00.000Z</x:v>
      </x:c>
      <x:c r="C5919" s="13" t="n">
        <x:v>0</x:v>
      </x:c>
    </x:row>
    <x:row r="5920" ht="20" customHeight="1">
      <x:c r="A5920" s="1" t="str">
        <x:v>84378</x:v>
      </x:c>
      <x:c r="B5920" s="9" t="d">
        <x:v>2011-02-13T00:00:00.000Z</x:v>
      </x:c>
      <x:c r="C5920" s="13" t="n">
        <x:v>4</x:v>
      </x:c>
    </x:row>
    <x:row r="5921" ht="20" customHeight="1">
      <x:c r="A5921" s="1" t="str">
        <x:v>84378</x:v>
      </x:c>
      <x:c r="B5921" s="9" t="d">
        <x:v>2011-02-14T00:00:00.000Z</x:v>
      </x:c>
      <x:c r="C5921" s="13" t="n">
        <x:v>26</x:v>
      </x:c>
    </x:row>
    <x:row r="5922" ht="20" customHeight="1">
      <x:c r="A5922" s="1" t="str">
        <x:v>84378</x:v>
      </x:c>
      <x:c r="B5922" s="9" t="d">
        <x:v>2011-02-15T00:00:00.000Z</x:v>
      </x:c>
      <x:c r="C5922" s="13" t="n">
        <x:v>27</x:v>
      </x:c>
    </x:row>
    <x:row r="5923" ht="20" customHeight="1">
      <x:c r="A5923" s="1" t="str">
        <x:v>84378</x:v>
      </x:c>
      <x:c r="B5923" s="9" t="d">
        <x:v>2011-02-16T00:00:00.000Z</x:v>
      </x:c>
      <x:c r="C5923" s="13" t="n">
        <x:v>3</x:v>
      </x:c>
    </x:row>
    <x:row r="5924" ht="20" customHeight="1">
      <x:c r="A5924" s="1" t="str">
        <x:v>84378</x:v>
      </x:c>
      <x:c r="B5924" s="9" t="d">
        <x:v>2011-02-17T00:00:00.000Z</x:v>
      </x:c>
      <x:c r="C5924" s="13" t="n">
        <x:v>10</x:v>
      </x:c>
    </x:row>
    <x:row r="5925" ht="20" customHeight="1">
      <x:c r="A5925" s="1" t="str">
        <x:v>84378</x:v>
      </x:c>
      <x:c r="B5925" s="9" t="d">
        <x:v>2011-02-18T00:00:00.000Z</x:v>
      </x:c>
      <x:c r="C5925" s="13" t="n">
        <x:v>17</x:v>
      </x:c>
    </x:row>
    <x:row r="5926" ht="20" customHeight="1">
      <x:c r="A5926" s="1" t="str">
        <x:v>84378</x:v>
      </x:c>
      <x:c r="B5926" s="9" t="d">
        <x:v>2011-02-19T00:00:00.000Z</x:v>
      </x:c>
      <x:c r="C5926" s="13" t="n">
        <x:v>0</x:v>
      </x:c>
    </x:row>
    <x:row r="5927" ht="20" customHeight="1">
      <x:c r="A5927" s="1" t="str">
        <x:v>84378</x:v>
      </x:c>
      <x:c r="B5927" s="9" t="d">
        <x:v>2011-02-20T00:00:00.000Z</x:v>
      </x:c>
      <x:c r="C5927" s="13" t="n">
        <x:v>0</x:v>
      </x:c>
    </x:row>
    <x:row r="5928" ht="20" customHeight="1">
      <x:c r="A5928" s="1" t="str">
        <x:v>84378</x:v>
      </x:c>
      <x:c r="B5928" s="9" t="d">
        <x:v>2011-02-21T00:00:00.000Z</x:v>
      </x:c>
      <x:c r="C5928" s="13" t="n">
        <x:v>14</x:v>
      </x:c>
    </x:row>
    <x:row r="5929" ht="20" customHeight="1">
      <x:c r="A5929" s="1" t="str">
        <x:v>84378</x:v>
      </x:c>
      <x:c r="B5929" s="9" t="d">
        <x:v>2011-02-22T00:00:00.000Z</x:v>
      </x:c>
      <x:c r="C5929" s="13" t="n">
        <x:v>38</x:v>
      </x:c>
    </x:row>
    <x:row r="5930" ht="20" customHeight="1">
      <x:c r="A5930" s="1" t="str">
        <x:v>84378</x:v>
      </x:c>
      <x:c r="B5930" s="9" t="d">
        <x:v>2011-02-23T00:00:00.000Z</x:v>
      </x:c>
      <x:c r="C5930" s="13" t="n">
        <x:v>7</x:v>
      </x:c>
    </x:row>
    <x:row r="5931" ht="20" customHeight="1">
      <x:c r="A5931" s="1" t="str">
        <x:v>84378</x:v>
      </x:c>
      <x:c r="B5931" s="9" t="d">
        <x:v>2011-02-24T00:00:00.000Z</x:v>
      </x:c>
      <x:c r="C5931" s="13" t="n">
        <x:v>14</x:v>
      </x:c>
    </x:row>
    <x:row r="5932" ht="20" customHeight="1">
      <x:c r="A5932" s="1" t="str">
        <x:v>84378</x:v>
      </x:c>
      <x:c r="B5932" s="9" t="d">
        <x:v>2011-02-25T00:00:00.000Z</x:v>
      </x:c>
      <x:c r="C5932" s="13" t="n">
        <x:v>14</x:v>
      </x:c>
    </x:row>
    <x:row r="5933" ht="20" customHeight="1">
      <x:c r="A5933" s="1" t="str">
        <x:v>84378</x:v>
      </x:c>
      <x:c r="B5933" s="9" t="d">
        <x:v>2011-02-26T00:00:00.000Z</x:v>
      </x:c>
      <x:c r="C5933" s="13" t="n">
        <x:v>0</x:v>
      </x:c>
    </x:row>
    <x:row r="5934" ht="20" customHeight="1">
      <x:c r="A5934" s="1" t="str">
        <x:v>84378</x:v>
      </x:c>
      <x:c r="B5934" s="9" t="d">
        <x:v>2011-02-27T00:00:00.000Z</x:v>
      </x:c>
      <x:c r="C5934" s="13" t="n">
        <x:v>8</x:v>
      </x:c>
    </x:row>
    <x:row r="5935" ht="20" customHeight="1">
      <x:c r="A5935" s="1" t="str">
        <x:v>84378</x:v>
      </x:c>
      <x:c r="B5935" s="9" t="d">
        <x:v>2011-02-28T00:00:00.000Z</x:v>
      </x:c>
      <x:c r="C5935" s="13" t="n">
        <x:v>4</x:v>
      </x:c>
    </x:row>
    <x:row r="5936" ht="20" customHeight="1">
      <x:c r="A5936" s="1" t="str">
        <x:v>84378</x:v>
      </x:c>
      <x:c r="B5936" s="9" t="d">
        <x:v>2011-03-01T00:00:00.000Z</x:v>
      </x:c>
      <x:c r="C5936" s="13" t="n">
        <x:v>12</x:v>
      </x:c>
    </x:row>
    <x:row r="5937" ht="20" customHeight="1">
      <x:c r="A5937" s="1" t="str">
        <x:v>84378</x:v>
      </x:c>
      <x:c r="B5937" s="9" t="d">
        <x:v>2011-03-02T00:00:00.000Z</x:v>
      </x:c>
      <x:c r="C5937" s="13" t="n">
        <x:v>21</x:v>
      </x:c>
    </x:row>
    <x:row r="5938" ht="20" customHeight="1">
      <x:c r="A5938" s="1" t="str">
        <x:v>84378</x:v>
      </x:c>
      <x:c r="B5938" s="9" t="d">
        <x:v>2011-03-03T00:00:00.000Z</x:v>
      </x:c>
      <x:c r="C5938" s="13" t="n">
        <x:v>13</x:v>
      </x:c>
    </x:row>
    <x:row r="5939" ht="20" customHeight="1">
      <x:c r="A5939" s="1" t="str">
        <x:v>84378</x:v>
      </x:c>
      <x:c r="B5939" s="9" t="d">
        <x:v>2011-03-04T00:00:00.000Z</x:v>
      </x:c>
      <x:c r="C5939" s="13" t="n">
        <x:v>24</x:v>
      </x:c>
    </x:row>
    <x:row r="5940" ht="20" customHeight="1">
      <x:c r="A5940" s="1" t="str">
        <x:v>84378</x:v>
      </x:c>
      <x:c r="B5940" s="9" t="d">
        <x:v>2011-03-05T00:00:00.000Z</x:v>
      </x:c>
      <x:c r="C5940" s="13" t="n">
        <x:v>0</x:v>
      </x:c>
    </x:row>
    <x:row r="5941" ht="20" customHeight="1">
      <x:c r="A5941" s="1" t="str">
        <x:v>84378</x:v>
      </x:c>
      <x:c r="B5941" s="9" t="d">
        <x:v>2011-03-06T00:00:00.000Z</x:v>
      </x:c>
      <x:c r="C5941" s="13" t="n">
        <x:v>8</x:v>
      </x:c>
    </x:row>
    <x:row r="5942" ht="20" customHeight="1">
      <x:c r="A5942" s="1" t="str">
        <x:v>84378</x:v>
      </x:c>
      <x:c r="B5942" s="9" t="d">
        <x:v>2011-03-07T00:00:00.000Z</x:v>
      </x:c>
      <x:c r="C5942" s="13" t="n">
        <x:v>20</x:v>
      </x:c>
    </x:row>
    <x:row r="5943" ht="20" customHeight="1">
      <x:c r="A5943" s="1" t="str">
        <x:v>84378</x:v>
      </x:c>
      <x:c r="B5943" s="9" t="d">
        <x:v>2011-03-08T00:00:00.000Z</x:v>
      </x:c>
      <x:c r="C5943" s="13" t="n">
        <x:v>19</x:v>
      </x:c>
    </x:row>
    <x:row r="5944" ht="20" customHeight="1">
      <x:c r="A5944" s="1" t="str">
        <x:v>84378</x:v>
      </x:c>
      <x:c r="B5944" s="9" t="d">
        <x:v>2011-03-09T00:00:00.000Z</x:v>
      </x:c>
      <x:c r="C5944" s="13" t="n">
        <x:v>12</x:v>
      </x:c>
    </x:row>
    <x:row r="5945" ht="20" customHeight="1">
      <x:c r="A5945" s="1" t="str">
        <x:v>84378</x:v>
      </x:c>
      <x:c r="B5945" s="9" t="d">
        <x:v>2011-03-10T00:00:00.000Z</x:v>
      </x:c>
      <x:c r="C5945" s="13" t="n">
        <x:v>12</x:v>
      </x:c>
    </x:row>
    <x:row r="5946" ht="20" customHeight="1">
      <x:c r="A5946" s="1" t="str">
        <x:v>84378</x:v>
      </x:c>
      <x:c r="B5946" s="9" t="d">
        <x:v>2011-03-11T00:00:00.000Z</x:v>
      </x:c>
      <x:c r="C5946" s="13" t="n">
        <x:v>49</x:v>
      </x:c>
    </x:row>
    <x:row r="5947" ht="20" customHeight="1">
      <x:c r="A5947" s="1" t="str">
        <x:v>84378</x:v>
      </x:c>
      <x:c r="B5947" s="9" t="d">
        <x:v>2011-03-12T00:00:00.000Z</x:v>
      </x:c>
      <x:c r="C5947" s="13" t="n">
        <x:v>0</x:v>
      </x:c>
    </x:row>
    <x:row r="5948" ht="20" customHeight="1">
      <x:c r="A5948" s="1" t="str">
        <x:v>84378</x:v>
      </x:c>
      <x:c r="B5948" s="9" t="d">
        <x:v>2011-03-13T00:00:00.000Z</x:v>
      </x:c>
      <x:c r="C5948" s="13" t="n">
        <x:v>0</x:v>
      </x:c>
    </x:row>
    <x:row r="5949" ht="20" customHeight="1">
      <x:c r="A5949" s="1" t="str">
        <x:v>84378</x:v>
      </x:c>
      <x:c r="B5949" s="9" t="d">
        <x:v>2011-03-14T00:00:00.000Z</x:v>
      </x:c>
      <x:c r="C5949" s="13" t="n">
        <x:v>48</x:v>
      </x:c>
    </x:row>
    <x:row r="5950" ht="20" customHeight="1">
      <x:c r="A5950" s="1" t="str">
        <x:v>84378</x:v>
      </x:c>
      <x:c r="B5950" s="9" t="d">
        <x:v>2011-03-15T00:00:00.000Z</x:v>
      </x:c>
      <x:c r="C5950" s="13" t="n">
        <x:v>21</x:v>
      </x:c>
    </x:row>
    <x:row r="5951" ht="20" customHeight="1">
      <x:c r="A5951" s="1" t="str">
        <x:v>84378</x:v>
      </x:c>
      <x:c r="B5951" s="9" t="d">
        <x:v>2011-03-16T00:00:00.000Z</x:v>
      </x:c>
      <x:c r="C5951" s="13" t="n">
        <x:v>0</x:v>
      </x:c>
    </x:row>
    <x:row r="5952" ht="20" customHeight="1">
      <x:c r="A5952" s="1" t="str">
        <x:v>84378</x:v>
      </x:c>
      <x:c r="B5952" s="9" t="d">
        <x:v>2011-03-17T00:00:00.000Z</x:v>
      </x:c>
      <x:c r="C5952" s="13" t="n">
        <x:v>14</x:v>
      </x:c>
    </x:row>
    <x:row r="5953" ht="20" customHeight="1">
      <x:c r="A5953" s="1" t="str">
        <x:v>84378</x:v>
      </x:c>
      <x:c r="B5953" s="9" t="d">
        <x:v>2011-03-18T00:00:00.000Z</x:v>
      </x:c>
      <x:c r="C5953" s="13" t="n">
        <x:v>13</x:v>
      </x:c>
    </x:row>
    <x:row r="5954" ht="20" customHeight="1">
      <x:c r="A5954" s="1" t="str">
        <x:v>84378</x:v>
      </x:c>
      <x:c r="B5954" s="9" t="d">
        <x:v>2011-03-19T00:00:00.000Z</x:v>
      </x:c>
      <x:c r="C5954" s="13" t="n">
        <x:v>0</x:v>
      </x:c>
    </x:row>
    <x:row r="5955" ht="20" customHeight="1">
      <x:c r="A5955" s="1" t="str">
        <x:v>84378</x:v>
      </x:c>
      <x:c r="B5955" s="9" t="d">
        <x:v>2011-03-20T00:00:00.000Z</x:v>
      </x:c>
      <x:c r="C5955" s="13" t="n">
        <x:v>14</x:v>
      </x:c>
    </x:row>
    <x:row r="5956" ht="20" customHeight="1">
      <x:c r="A5956" s="1" t="str">
        <x:v>84378</x:v>
      </x:c>
      <x:c r="B5956" s="9" t="d">
        <x:v>2011-03-21T00:00:00.000Z</x:v>
      </x:c>
      <x:c r="C5956" s="13" t="n">
        <x:v>5</x:v>
      </x:c>
    </x:row>
    <x:row r="5957" ht="20" customHeight="1">
      <x:c r="A5957" s="1" t="str">
        <x:v>84378</x:v>
      </x:c>
      <x:c r="B5957" s="9" t="d">
        <x:v>2011-03-22T00:00:00.000Z</x:v>
      </x:c>
      <x:c r="C5957" s="13" t="n">
        <x:v>4</x:v>
      </x:c>
    </x:row>
    <x:row r="5958" ht="20" customHeight="1">
      <x:c r="A5958" s="1" t="str">
        <x:v>84378</x:v>
      </x:c>
      <x:c r="B5958" s="9" t="d">
        <x:v>2011-03-23T00:00:00.000Z</x:v>
      </x:c>
      <x:c r="C5958" s="13" t="n">
        <x:v>2</x:v>
      </x:c>
    </x:row>
    <x:row r="5959" ht="20" customHeight="1">
      <x:c r="A5959" s="1" t="str">
        <x:v>84378</x:v>
      </x:c>
      <x:c r="B5959" s="9" t="d">
        <x:v>2011-03-24T00:00:00.000Z</x:v>
      </x:c>
      <x:c r="C5959" s="13" t="n">
        <x:v>72</x:v>
      </x:c>
    </x:row>
    <x:row r="5960" ht="20" customHeight="1">
      <x:c r="A5960" s="1" t="str">
        <x:v>84378</x:v>
      </x:c>
      <x:c r="B5960" s="9" t="d">
        <x:v>2011-03-25T00:00:00.000Z</x:v>
      </x:c>
      <x:c r="C5960" s="13" t="n">
        <x:v>0</x:v>
      </x:c>
    </x:row>
    <x:row r="5961" ht="20" customHeight="1">
      <x:c r="A5961" s="1" t="str">
        <x:v>84378</x:v>
      </x:c>
      <x:c r="B5961" s="9" t="d">
        <x:v>2011-03-26T00:00:00.000Z</x:v>
      </x:c>
      <x:c r="C5961" s="13" t="n">
        <x:v>0</x:v>
      </x:c>
    </x:row>
    <x:row r="5962" ht="20" customHeight="1">
      <x:c r="A5962" s="1" t="str">
        <x:v>84378</x:v>
      </x:c>
      <x:c r="B5962" s="9" t="d">
        <x:v>2011-03-27T00:00:00.000Z</x:v>
      </x:c>
      <x:c r="C5962" s="13" t="n">
        <x:v>4</x:v>
      </x:c>
    </x:row>
    <x:row r="5963" ht="20" customHeight="1">
      <x:c r="A5963" s="1" t="str">
        <x:v>84378</x:v>
      </x:c>
      <x:c r="B5963" s="9" t="d">
        <x:v>2011-03-28T00:00:00.000Z</x:v>
      </x:c>
      <x:c r="C5963" s="13" t="n">
        <x:v>26</x:v>
      </x:c>
    </x:row>
    <x:row r="5964" ht="20" customHeight="1">
      <x:c r="A5964" s="1" t="str">
        <x:v>84378</x:v>
      </x:c>
      <x:c r="B5964" s="9" t="d">
        <x:v>2011-03-29T00:00:00.000Z</x:v>
      </x:c>
      <x:c r="C5964" s="13" t="n">
        <x:v>145</x:v>
      </x:c>
    </x:row>
    <x:row r="5965" ht="20" customHeight="1">
      <x:c r="A5965" s="1" t="str">
        <x:v>84378</x:v>
      </x:c>
      <x:c r="B5965" s="9" t="d">
        <x:v>2011-03-30T00:00:00.000Z</x:v>
      </x:c>
      <x:c r="C5965" s="13" t="n">
        <x:v>25</x:v>
      </x:c>
    </x:row>
    <x:row r="5966" ht="20" customHeight="1">
      <x:c r="A5966" s="1" t="str">
        <x:v>84378</x:v>
      </x:c>
      <x:c r="B5966" s="9" t="d">
        <x:v>2011-03-31T00:00:00.000Z</x:v>
      </x:c>
      <x:c r="C5966" s="13" t="n">
        <x:v>42</x:v>
      </x:c>
    </x:row>
    <x:row r="5967" ht="20" customHeight="1">
      <x:c r="A5967" s="1" t="str">
        <x:v>84378</x:v>
      </x:c>
      <x:c r="B5967" s="9" t="d">
        <x:v>2011-04-01T00:00:00.000Z</x:v>
      </x:c>
      <x:c r="C5967" s="13" t="n">
        <x:v>0</x:v>
      </x:c>
    </x:row>
    <x:row r="5968" ht="20" customHeight="1">
      <x:c r="A5968" s="1" t="str">
        <x:v>84378</x:v>
      </x:c>
      <x:c r="B5968" s="9" t="d">
        <x:v>2011-04-02T00:00:00.000Z</x:v>
      </x:c>
      <x:c r="C5968" s="13" t="n">
        <x:v>0</x:v>
      </x:c>
    </x:row>
    <x:row r="5969" ht="20" customHeight="1">
      <x:c r="A5969" s="1" t="str">
        <x:v>84378</x:v>
      </x:c>
      <x:c r="B5969" s="9" t="d">
        <x:v>2011-04-03T00:00:00.000Z</x:v>
      </x:c>
      <x:c r="C5969" s="13" t="n">
        <x:v>16</x:v>
      </x:c>
    </x:row>
    <x:row r="5970" ht="20" customHeight="1">
      <x:c r="A5970" s="1" t="str">
        <x:v>84378</x:v>
      </x:c>
      <x:c r="B5970" s="9" t="d">
        <x:v>2011-04-04T00:00:00.000Z</x:v>
      </x:c>
      <x:c r="C5970" s="13" t="n">
        <x:v>2</x:v>
      </x:c>
    </x:row>
    <x:row r="5971" ht="20" customHeight="1">
      <x:c r="A5971" s="1" t="str">
        <x:v>84378</x:v>
      </x:c>
      <x:c r="B5971" s="9" t="d">
        <x:v>2011-04-05T00:00:00.000Z</x:v>
      </x:c>
      <x:c r="C5971" s="13" t="n">
        <x:v>38</x:v>
      </x:c>
    </x:row>
    <x:row r="5972" ht="20" customHeight="1">
      <x:c r="A5972" s="1" t="str">
        <x:v>84378</x:v>
      </x:c>
      <x:c r="B5972" s="9" t="d">
        <x:v>2011-04-06T00:00:00.000Z</x:v>
      </x:c>
      <x:c r="C5972" s="13" t="n">
        <x:v>13</x:v>
      </x:c>
    </x:row>
    <x:row r="5973" ht="20" customHeight="1">
      <x:c r="A5973" s="1" t="str">
        <x:v>84378</x:v>
      </x:c>
      <x:c r="B5973" s="9" t="d">
        <x:v>2011-04-07T00:00:00.000Z</x:v>
      </x:c>
      <x:c r="C5973" s="13" t="n">
        <x:v>19</x:v>
      </x:c>
    </x:row>
    <x:row r="5974" ht="20" customHeight="1">
      <x:c r="A5974" s="1" t="str">
        <x:v>84378</x:v>
      </x:c>
      <x:c r="B5974" s="9" t="d">
        <x:v>2011-04-08T00:00:00.000Z</x:v>
      </x:c>
      <x:c r="C5974" s="13" t="n">
        <x:v>5</x:v>
      </x:c>
    </x:row>
    <x:row r="5975" ht="20" customHeight="1">
      <x:c r="A5975" s="1" t="str">
        <x:v>84378</x:v>
      </x:c>
      <x:c r="B5975" s="9" t="d">
        <x:v>2011-04-09T00:00:00.000Z</x:v>
      </x:c>
      <x:c r="C5975" s="13" t="n">
        <x:v>0</x:v>
      </x:c>
    </x:row>
    <x:row r="5976" ht="20" customHeight="1">
      <x:c r="A5976" s="1" t="str">
        <x:v>84378</x:v>
      </x:c>
      <x:c r="B5976" s="9" t="d">
        <x:v>2011-04-10T00:00:00.000Z</x:v>
      </x:c>
      <x:c r="C5976" s="13" t="n">
        <x:v>12</x:v>
      </x:c>
    </x:row>
    <x:row r="5977" ht="20" customHeight="1">
      <x:c r="A5977" s="1" t="str">
        <x:v>84378</x:v>
      </x:c>
      <x:c r="B5977" s="9" t="d">
        <x:v>2011-04-11T00:00:00.000Z</x:v>
      </x:c>
      <x:c r="C5977" s="13" t="n">
        <x:v>14</x:v>
      </x:c>
    </x:row>
    <x:row r="5978" ht="20" customHeight="1">
      <x:c r="A5978" s="1" t="str">
        <x:v>84378</x:v>
      </x:c>
      <x:c r="B5978" s="9" t="d">
        <x:v>2011-04-12T00:00:00.000Z</x:v>
      </x:c>
      <x:c r="C5978" s="13" t="n">
        <x:v>12</x:v>
      </x:c>
    </x:row>
    <x:row r="5979" ht="20" customHeight="1">
      <x:c r="A5979" s="1" t="str">
        <x:v>84378</x:v>
      </x:c>
      <x:c r="B5979" s="9" t="d">
        <x:v>2011-04-13T00:00:00.000Z</x:v>
      </x:c>
      <x:c r="C5979" s="13" t="n">
        <x:v>0</x:v>
      </x:c>
    </x:row>
    <x:row r="5980" ht="20" customHeight="1">
      <x:c r="A5980" s="1" t="str">
        <x:v>84378</x:v>
      </x:c>
      <x:c r="B5980" s="9" t="d">
        <x:v>2011-04-14T00:00:00.000Z</x:v>
      </x:c>
      <x:c r="C5980" s="13" t="n">
        <x:v>0</x:v>
      </x:c>
    </x:row>
    <x:row r="5981" ht="20" customHeight="1">
      <x:c r="A5981" s="1" t="str">
        <x:v>84378</x:v>
      </x:c>
      <x:c r="B5981" s="9" t="d">
        <x:v>2011-04-15T00:00:00.000Z</x:v>
      </x:c>
      <x:c r="C5981" s="13" t="n">
        <x:v>7</x:v>
      </x:c>
    </x:row>
    <x:row r="5982" ht="20" customHeight="1">
      <x:c r="A5982" s="1" t="str">
        <x:v>84378</x:v>
      </x:c>
      <x:c r="B5982" s="9" t="d">
        <x:v>2011-04-16T00:00:00.000Z</x:v>
      </x:c>
      <x:c r="C5982" s="13" t="n">
        <x:v>0</x:v>
      </x:c>
    </x:row>
    <x:row r="5983" ht="20" customHeight="1">
      <x:c r="A5983" s="1" t="str">
        <x:v>84378</x:v>
      </x:c>
      <x:c r="B5983" s="9" t="d">
        <x:v>2011-04-17T00:00:00.000Z</x:v>
      </x:c>
      <x:c r="C5983" s="13" t="n">
        <x:v>0</x:v>
      </x:c>
    </x:row>
    <x:row r="5984" ht="20" customHeight="1">
      <x:c r="A5984" s="1" t="str">
        <x:v>84378</x:v>
      </x:c>
      <x:c r="B5984" s="9" t="d">
        <x:v>2011-04-18T00:00:00.000Z</x:v>
      </x:c>
      <x:c r="C5984" s="13" t="n">
        <x:v>23</x:v>
      </x:c>
    </x:row>
    <x:row r="5985" ht="20" customHeight="1">
      <x:c r="A5985" s="1" t="str">
        <x:v>84378</x:v>
      </x:c>
      <x:c r="B5985" s="9" t="d">
        <x:v>2011-04-19T00:00:00.000Z</x:v>
      </x:c>
      <x:c r="C5985" s="13" t="n">
        <x:v>12</x:v>
      </x:c>
    </x:row>
    <x:row r="5986" ht="20" customHeight="1">
      <x:c r="A5986" s="1" t="str">
        <x:v>84378</x:v>
      </x:c>
      <x:c r="B5986" s="9" t="d">
        <x:v>2011-04-20T00:00:00.000Z</x:v>
      </x:c>
      <x:c r="C5986" s="13" t="n">
        <x:v>1</x:v>
      </x:c>
    </x:row>
    <x:row r="5987" ht="20" customHeight="1">
      <x:c r="A5987" s="1" t="str">
        <x:v>84378</x:v>
      </x:c>
      <x:c r="B5987" s="9" t="d">
        <x:v>2011-04-21T00:00:00.000Z</x:v>
      </x:c>
      <x:c r="C5987" s="13" t="n">
        <x:v>3</x:v>
      </x:c>
    </x:row>
    <x:row r="5988" ht="20" customHeight="1">
      <x:c r="A5988" s="1" t="str">
        <x:v>84378</x:v>
      </x:c>
      <x:c r="B5988" s="9" t="d">
        <x:v>2011-04-22T00:00:00.000Z</x:v>
      </x:c>
      <x:c r="C5988" s="13" t="n">
        <x:v>0</x:v>
      </x:c>
    </x:row>
    <x:row r="5989" ht="20" customHeight="1">
      <x:c r="A5989" s="1" t="str">
        <x:v>84378</x:v>
      </x:c>
      <x:c r="B5989" s="9" t="d">
        <x:v>2011-04-23T00:00:00.000Z</x:v>
      </x:c>
      <x:c r="C5989" s="13" t="n">
        <x:v>0</x:v>
      </x:c>
    </x:row>
    <x:row r="5990" ht="20" customHeight="1">
      <x:c r="A5990" s="1" t="str">
        <x:v>84378</x:v>
      </x:c>
      <x:c r="B5990" s="9" t="d">
        <x:v>2011-04-24T00:00:00.000Z</x:v>
      </x:c>
      <x:c r="C5990" s="13" t="n">
        <x:v>0</x:v>
      </x:c>
    </x:row>
    <x:row r="5991" ht="20" customHeight="1">
      <x:c r="A5991" s="1" t="str">
        <x:v>84378</x:v>
      </x:c>
      <x:c r="B5991" s="9" t="d">
        <x:v>2011-04-25T00:00:00.000Z</x:v>
      </x:c>
      <x:c r="C5991" s="13" t="n">
        <x:v>0</x:v>
      </x:c>
    </x:row>
    <x:row r="5992" ht="20" customHeight="1">
      <x:c r="A5992" s="1" t="str">
        <x:v>84378</x:v>
      </x:c>
      <x:c r="B5992" s="9" t="d">
        <x:v>2011-04-26T00:00:00.000Z</x:v>
      </x:c>
      <x:c r="C5992" s="13" t="n">
        <x:v>25</x:v>
      </x:c>
    </x:row>
    <x:row r="5993" ht="20" customHeight="1">
      <x:c r="A5993" s="1" t="str">
        <x:v>84378</x:v>
      </x:c>
      <x:c r="B5993" s="9" t="d">
        <x:v>2011-04-27T00:00:00.000Z</x:v>
      </x:c>
      <x:c r="C5993" s="13" t="n">
        <x:v>25</x:v>
      </x:c>
    </x:row>
    <x:row r="5994" ht="20" customHeight="1">
      <x:c r="A5994" s="1" t="str">
        <x:v>84378</x:v>
      </x:c>
      <x:c r="B5994" s="9" t="d">
        <x:v>2011-04-28T00:00:00.000Z</x:v>
      </x:c>
      <x:c r="C5994" s="13" t="n">
        <x:v>24</x:v>
      </x:c>
    </x:row>
    <x:row r="5995" ht="20" customHeight="1">
      <x:c r="A5995" s="1" t="str">
        <x:v>84378</x:v>
      </x:c>
      <x:c r="B5995" s="9" t="d">
        <x:v>2011-04-29T00:00:00.000Z</x:v>
      </x:c>
      <x:c r="C5995" s="13" t="n">
        <x:v>0</x:v>
      </x:c>
    </x:row>
    <x:row r="5996" ht="20" customHeight="1">
      <x:c r="A5996" s="1" t="str">
        <x:v>84378</x:v>
      </x:c>
      <x:c r="B5996" s="9" t="d">
        <x:v>2011-04-30T00:00:00.000Z</x:v>
      </x:c>
      <x:c r="C5996" s="13" t="n">
        <x:v>0</x:v>
      </x:c>
    </x:row>
    <x:row r="5997" ht="20" customHeight="1">
      <x:c r="A5997" s="1" t="str">
        <x:v>84378</x:v>
      </x:c>
      <x:c r="B5997" s="9" t="d">
        <x:v>2011-05-01T00:00:00.000Z</x:v>
      </x:c>
      <x:c r="C5997" s="13" t="n">
        <x:v>3</x:v>
      </x:c>
    </x:row>
    <x:row r="5998" ht="20" customHeight="1">
      <x:c r="A5998" s="1" t="str">
        <x:v>84378</x:v>
      </x:c>
      <x:c r="B5998" s="9" t="d">
        <x:v>2011-05-02T00:00:00.000Z</x:v>
      </x:c>
      <x:c r="C5998" s="13" t="n">
        <x:v>0</x:v>
      </x:c>
    </x:row>
    <x:row r="5999" ht="20" customHeight="1">
      <x:c r="A5999" s="1" t="str">
        <x:v>84378</x:v>
      </x:c>
      <x:c r="B5999" s="9" t="d">
        <x:v>2011-05-03T00:00:00.000Z</x:v>
      </x:c>
      <x:c r="C5999" s="13" t="n">
        <x:v>4</x:v>
      </x:c>
    </x:row>
    <x:row r="6000" ht="20" customHeight="1">
      <x:c r="A6000" s="1" t="str">
        <x:v>84378</x:v>
      </x:c>
      <x:c r="B6000" s="9" t="d">
        <x:v>2011-05-04T00:00:00.000Z</x:v>
      </x:c>
      <x:c r="C6000" s="13" t="n">
        <x:v>12</x:v>
      </x:c>
    </x:row>
    <x:row r="6001" ht="20" customHeight="1">
      <x:c r="A6001" s="1" t="str">
        <x:v>84378</x:v>
      </x:c>
      <x:c r="B6001" s="9" t="d">
        <x:v>2011-05-05T00:00:00.000Z</x:v>
      </x:c>
      <x:c r="C6001" s="13" t="n">
        <x:v>13</x:v>
      </x:c>
    </x:row>
    <x:row r="6002" ht="20" customHeight="1">
      <x:c r="A6002" s="1" t="str">
        <x:v>84378</x:v>
      </x:c>
      <x:c r="B6002" s="9" t="d">
        <x:v>2011-05-06T00:00:00.000Z</x:v>
      </x:c>
      <x:c r="C6002" s="13" t="n">
        <x:v>12</x:v>
      </x:c>
    </x:row>
    <x:row r="6003" ht="20" customHeight="1">
      <x:c r="A6003" s="1" t="str">
        <x:v>84378</x:v>
      </x:c>
      <x:c r="B6003" s="9" t="d">
        <x:v>2011-05-07T00:00:00.000Z</x:v>
      </x:c>
      <x:c r="C6003" s="13" t="n">
        <x:v>0</x:v>
      </x:c>
    </x:row>
    <x:row r="6004" ht="20" customHeight="1">
      <x:c r="A6004" s="1" t="str">
        <x:v>84378</x:v>
      </x:c>
      <x:c r="B6004" s="9" t="d">
        <x:v>2011-05-08T00:00:00.000Z</x:v>
      </x:c>
      <x:c r="C6004" s="13" t="n">
        <x:v>15</x:v>
      </x:c>
    </x:row>
    <x:row r="6005" ht="20" customHeight="1">
      <x:c r="A6005" s="1" t="str">
        <x:v>84378</x:v>
      </x:c>
      <x:c r="B6005" s="9" t="d">
        <x:v>2011-05-09T00:00:00.000Z</x:v>
      </x:c>
      <x:c r="C6005" s="13" t="n">
        <x:v>1</x:v>
      </x:c>
    </x:row>
    <x:row r="6006" ht="20" customHeight="1">
      <x:c r="A6006" s="1" t="str">
        <x:v>84378</x:v>
      </x:c>
      <x:c r="B6006" s="9" t="d">
        <x:v>2011-05-10T00:00:00.000Z</x:v>
      </x:c>
      <x:c r="C6006" s="13" t="n">
        <x:v>14</x:v>
      </x:c>
    </x:row>
    <x:row r="6007" ht="20" customHeight="1">
      <x:c r="A6007" s="1" t="str">
        <x:v>84378</x:v>
      </x:c>
      <x:c r="B6007" s="9" t="d">
        <x:v>2011-05-11T00:00:00.000Z</x:v>
      </x:c>
      <x:c r="C6007" s="13" t="n">
        <x:v>5</x:v>
      </x:c>
    </x:row>
    <x:row r="6008" ht="20" customHeight="1">
      <x:c r="A6008" s="1" t="str">
        <x:v>84378</x:v>
      </x:c>
      <x:c r="B6008" s="9" t="d">
        <x:v>2011-05-12T00:00:00.000Z</x:v>
      </x:c>
      <x:c r="C6008" s="13" t="n">
        <x:v>60</x:v>
      </x:c>
    </x:row>
    <x:row r="6009" ht="20" customHeight="1">
      <x:c r="A6009" s="1" t="str">
        <x:v>84378</x:v>
      </x:c>
      <x:c r="B6009" s="9" t="d">
        <x:v>2011-05-13T00:00:00.000Z</x:v>
      </x:c>
      <x:c r="C6009" s="13" t="n">
        <x:v>12</x:v>
      </x:c>
    </x:row>
    <x:row r="6010" ht="20" customHeight="1">
      <x:c r="A6010" s="1" t="str">
        <x:v>84378</x:v>
      </x:c>
      <x:c r="B6010" s="9" t="d">
        <x:v>2011-05-14T00:00:00.000Z</x:v>
      </x:c>
      <x:c r="C6010" s="13" t="n">
        <x:v>0</x:v>
      </x:c>
    </x:row>
    <x:row r="6011" ht="20" customHeight="1">
      <x:c r="A6011" s="1" t="str">
        <x:v>84378</x:v>
      </x:c>
      <x:c r="B6011" s="9" t="d">
        <x:v>2011-05-15T00:00:00.000Z</x:v>
      </x:c>
      <x:c r="C6011" s="13" t="n">
        <x:v>4</x:v>
      </x:c>
    </x:row>
    <x:row r="6012" ht="20" customHeight="1">
      <x:c r="A6012" s="1" t="str">
        <x:v>84378</x:v>
      </x:c>
      <x:c r="B6012" s="9" t="d">
        <x:v>2011-05-16T00:00:00.000Z</x:v>
      </x:c>
      <x:c r="C6012" s="13" t="n">
        <x:v>13</x:v>
      </x:c>
    </x:row>
    <x:row r="6013" ht="20" customHeight="1">
      <x:c r="A6013" s="1" t="str">
        <x:v>84378</x:v>
      </x:c>
      <x:c r="B6013" s="9" t="d">
        <x:v>2011-05-17T00:00:00.000Z</x:v>
      </x:c>
      <x:c r="C6013" s="13" t="n">
        <x:v>13</x:v>
      </x:c>
    </x:row>
    <x:row r="6014" ht="20" customHeight="1">
      <x:c r="A6014" s="1" t="str">
        <x:v>84378</x:v>
      </x:c>
      <x:c r="B6014" s="9" t="d">
        <x:v>2011-05-18T00:00:00.000Z</x:v>
      </x:c>
      <x:c r="C6014" s="13" t="n">
        <x:v>13</x:v>
      </x:c>
    </x:row>
    <x:row r="6015" ht="20" customHeight="1">
      <x:c r="A6015" s="1" t="str">
        <x:v>84378</x:v>
      </x:c>
      <x:c r="B6015" s="9" t="d">
        <x:v>2011-05-19T00:00:00.000Z</x:v>
      </x:c>
      <x:c r="C6015" s="13" t="n">
        <x:v>15</x:v>
      </x:c>
    </x:row>
    <x:row r="6016" ht="20" customHeight="1">
      <x:c r="A6016" s="1" t="str">
        <x:v>84378</x:v>
      </x:c>
      <x:c r="B6016" s="9" t="d">
        <x:v>2011-05-20T00:00:00.000Z</x:v>
      </x:c>
      <x:c r="C6016" s="13" t="n">
        <x:v>0</x:v>
      </x:c>
    </x:row>
    <x:row r="6017" ht="20" customHeight="1">
      <x:c r="A6017" s="1" t="str">
        <x:v>84378</x:v>
      </x:c>
      <x:c r="B6017" s="9" t="d">
        <x:v>2011-05-21T00:00:00.000Z</x:v>
      </x:c>
      <x:c r="C6017" s="13" t="n">
        <x:v>0</x:v>
      </x:c>
    </x:row>
    <x:row r="6018" ht="20" customHeight="1">
      <x:c r="A6018" s="1" t="str">
        <x:v>84378</x:v>
      </x:c>
      <x:c r="B6018" s="9" t="d">
        <x:v>2011-05-22T00:00:00.000Z</x:v>
      </x:c>
      <x:c r="C6018" s="13" t="n">
        <x:v>7</x:v>
      </x:c>
    </x:row>
    <x:row r="6019" ht="20" customHeight="1">
      <x:c r="A6019" s="1" t="str">
        <x:v>84378</x:v>
      </x:c>
      <x:c r="B6019" s="9" t="d">
        <x:v>2011-05-23T00:00:00.000Z</x:v>
      </x:c>
      <x:c r="C6019" s="13" t="n">
        <x:v>0</x:v>
      </x:c>
    </x:row>
    <x:row r="6020" ht="20" customHeight="1">
      <x:c r="A6020" s="1" t="str">
        <x:v>84378</x:v>
      </x:c>
      <x:c r="B6020" s="9" t="d">
        <x:v>2011-05-24T00:00:00.000Z</x:v>
      </x:c>
      <x:c r="C6020" s="13" t="n">
        <x:v>26</x:v>
      </x:c>
    </x:row>
    <x:row r="6021" ht="20" customHeight="1">
      <x:c r="A6021" s="1" t="str">
        <x:v>84378</x:v>
      </x:c>
      <x:c r="B6021" s="9" t="d">
        <x:v>2011-05-25T00:00:00.000Z</x:v>
      </x:c>
      <x:c r="C6021" s="13" t="n">
        <x:v>0</x:v>
      </x:c>
    </x:row>
    <x:row r="6022" ht="20" customHeight="1">
      <x:c r="A6022" s="1" t="str">
        <x:v>84378</x:v>
      </x:c>
      <x:c r="B6022" s="9" t="d">
        <x:v>2011-05-26T00:00:00.000Z</x:v>
      </x:c>
      <x:c r="C6022" s="13" t="n">
        <x:v>1</x:v>
      </x:c>
    </x:row>
    <x:row r="6023" ht="20" customHeight="1">
      <x:c r="A6023" s="1" t="str">
        <x:v>84378</x:v>
      </x:c>
      <x:c r="B6023" s="9" t="d">
        <x:v>2011-05-27T00:00:00.000Z</x:v>
      </x:c>
      <x:c r="C6023" s="13" t="n">
        <x:v>12</x:v>
      </x:c>
    </x:row>
    <x:row r="6024" ht="20" customHeight="1">
      <x:c r="A6024" s="1" t="str">
        <x:v>84378</x:v>
      </x:c>
      <x:c r="B6024" s="9" t="d">
        <x:v>2011-05-28T00:00:00.000Z</x:v>
      </x:c>
      <x:c r="C6024" s="13" t="n">
        <x:v>0</x:v>
      </x:c>
    </x:row>
    <x:row r="6025" ht="20" customHeight="1">
      <x:c r="A6025" s="1" t="str">
        <x:v>84378</x:v>
      </x:c>
      <x:c r="B6025" s="9" t="d">
        <x:v>2011-05-29T00:00:00.000Z</x:v>
      </x:c>
      <x:c r="C6025" s="13" t="n">
        <x:v>3</x:v>
      </x:c>
    </x:row>
    <x:row r="6026" ht="20" customHeight="1">
      <x:c r="A6026" s="1" t="str">
        <x:v>84378</x:v>
      </x:c>
      <x:c r="B6026" s="9" t="d">
        <x:v>2011-05-30T00:00:00.000Z</x:v>
      </x:c>
      <x:c r="C6026" s="13" t="n">
        <x:v>0</x:v>
      </x:c>
    </x:row>
    <x:row r="6027" ht="20" customHeight="1">
      <x:c r="A6027" s="1" t="str">
        <x:v>84378</x:v>
      </x:c>
      <x:c r="B6027" s="9" t="d">
        <x:v>2011-05-31T00:00:00.000Z</x:v>
      </x:c>
      <x:c r="C6027" s="13" t="n">
        <x:v>0</x:v>
      </x:c>
    </x:row>
    <x:row r="6028" ht="20" customHeight="1">
      <x:c r="A6028" s="1" t="str">
        <x:v>84378</x:v>
      </x:c>
      <x:c r="B6028" s="9" t="d">
        <x:v>2011-06-01T00:00:00.000Z</x:v>
      </x:c>
      <x:c r="C6028" s="13" t="n">
        <x:v>1</x:v>
      </x:c>
    </x:row>
    <x:row r="6029" ht="20" customHeight="1">
      <x:c r="A6029" s="1" t="str">
        <x:v>84378</x:v>
      </x:c>
      <x:c r="B6029" s="9" t="d">
        <x:v>2011-06-02T00:00:00.000Z</x:v>
      </x:c>
      <x:c r="C6029" s="13" t="n">
        <x:v>0</x:v>
      </x:c>
    </x:row>
    <x:row r="6030" ht="20" customHeight="1">
      <x:c r="A6030" s="1" t="str">
        <x:v>84378</x:v>
      </x:c>
      <x:c r="B6030" s="9" t="d">
        <x:v>2011-06-03T00:00:00.000Z</x:v>
      </x:c>
      <x:c r="C6030" s="13" t="n">
        <x:v>0</x:v>
      </x:c>
    </x:row>
    <x:row r="6031" ht="20" customHeight="1">
      <x:c r="A6031" s="1" t="str">
        <x:v>84378</x:v>
      </x:c>
      <x:c r="B6031" s="9" t="d">
        <x:v>2011-06-04T00:00:00.000Z</x:v>
      </x:c>
      <x:c r="C6031" s="13" t="n">
        <x:v>0</x:v>
      </x:c>
    </x:row>
    <x:row r="6032" ht="20" customHeight="1">
      <x:c r="A6032" s="1" t="str">
        <x:v>84378</x:v>
      </x:c>
      <x:c r="B6032" s="9" t="d">
        <x:v>2011-06-05T00:00:00.000Z</x:v>
      </x:c>
      <x:c r="C6032" s="13" t="n">
        <x:v>24</x:v>
      </x:c>
    </x:row>
    <x:row r="6033" ht="20" customHeight="1">
      <x:c r="A6033" s="1" t="str">
        <x:v>84378</x:v>
      </x:c>
      <x:c r="B6033" s="9" t="d">
        <x:v>2011-06-06T00:00:00.000Z</x:v>
      </x:c>
      <x:c r="C6033" s="13" t="n">
        <x:v>25</x:v>
      </x:c>
    </x:row>
    <x:row r="6034" ht="20" customHeight="1">
      <x:c r="A6034" s="1" t="str">
        <x:v>84378</x:v>
      </x:c>
      <x:c r="B6034" s="9" t="d">
        <x:v>2011-06-07T00:00:00.000Z</x:v>
      </x:c>
      <x:c r="C6034" s="13" t="n">
        <x:v>4</x:v>
      </x:c>
    </x:row>
    <x:row r="6035" ht="20" customHeight="1">
      <x:c r="A6035" s="1" t="str">
        <x:v>84378</x:v>
      </x:c>
      <x:c r="B6035" s="9" t="d">
        <x:v>2011-06-08T00:00:00.000Z</x:v>
      </x:c>
      <x:c r="C6035" s="13" t="n">
        <x:v>2</x:v>
      </x:c>
    </x:row>
    <x:row r="6036" ht="20" customHeight="1">
      <x:c r="A6036" s="1" t="str">
        <x:v>84378</x:v>
      </x:c>
      <x:c r="B6036" s="9" t="d">
        <x:v>2011-06-09T00:00:00.000Z</x:v>
      </x:c>
      <x:c r="C6036" s="13" t="n">
        <x:v>0</x:v>
      </x:c>
    </x:row>
    <x:row r="6037" ht="20" customHeight="1">
      <x:c r="A6037" s="1" t="str">
        <x:v>84378</x:v>
      </x:c>
      <x:c r="B6037" s="9" t="d">
        <x:v>2011-06-10T00:00:00.000Z</x:v>
      </x:c>
      <x:c r="C6037" s="13" t="n">
        <x:v>2</x:v>
      </x:c>
    </x:row>
    <x:row r="6038" ht="20" customHeight="1">
      <x:c r="A6038" s="1" t="str">
        <x:v>84378</x:v>
      </x:c>
      <x:c r="B6038" s="9" t="d">
        <x:v>2011-06-11T00:00:00.000Z</x:v>
      </x:c>
      <x:c r="C6038" s="13" t="n">
        <x:v>0</x:v>
      </x:c>
    </x:row>
    <x:row r="6039" ht="20" customHeight="1">
      <x:c r="A6039" s="1" t="str">
        <x:v>84378</x:v>
      </x:c>
      <x:c r="B6039" s="9" t="d">
        <x:v>2011-06-12T00:00:00.000Z</x:v>
      </x:c>
      <x:c r="C6039" s="13" t="n">
        <x:v>0</x:v>
      </x:c>
    </x:row>
    <x:row r="6040" ht="20" customHeight="1">
      <x:c r="A6040" s="1" t="str">
        <x:v>84378</x:v>
      </x:c>
      <x:c r="B6040" s="9" t="d">
        <x:v>2011-06-13T00:00:00.000Z</x:v>
      </x:c>
      <x:c r="C6040" s="13" t="n">
        <x:v>1</x:v>
      </x:c>
    </x:row>
    <x:row r="6041" ht="20" customHeight="1">
      <x:c r="A6041" s="1" t="str">
        <x:v>84378</x:v>
      </x:c>
      <x:c r="B6041" s="9" t="d">
        <x:v>2011-06-14T00:00:00.000Z</x:v>
      </x:c>
      <x:c r="C6041" s="13" t="n">
        <x:v>1</x:v>
      </x:c>
    </x:row>
    <x:row r="6042" ht="20" customHeight="1">
      <x:c r="A6042" s="1" t="str">
        <x:v>84378</x:v>
      </x:c>
      <x:c r="B6042" s="9" t="d">
        <x:v>2011-06-15T00:00:00.000Z</x:v>
      </x:c>
      <x:c r="C6042" s="13" t="n">
        <x:v>2</x:v>
      </x:c>
    </x:row>
    <x:row r="6043" ht="20" customHeight="1">
      <x:c r="A6043" s="1" t="str">
        <x:v>84378</x:v>
      </x:c>
      <x:c r="B6043" s="9" t="d">
        <x:v>2011-06-16T00:00:00.000Z</x:v>
      </x:c>
      <x:c r="C6043" s="13" t="n">
        <x:v>12</x:v>
      </x:c>
    </x:row>
    <x:row r="6044" ht="20" customHeight="1">
      <x:c r="A6044" s="1" t="str">
        <x:v>84378</x:v>
      </x:c>
      <x:c r="B6044" s="9" t="d">
        <x:v>2011-06-17T00:00:00.000Z</x:v>
      </x:c>
      <x:c r="C6044" s="13" t="n">
        <x:v>0</x:v>
      </x:c>
    </x:row>
    <x:row r="6045" ht="20" customHeight="1">
      <x:c r="A6045" s="1" t="str">
        <x:v>84378</x:v>
      </x:c>
      <x:c r="B6045" s="9" t="d">
        <x:v>2011-06-18T00:00:00.000Z</x:v>
      </x:c>
      <x:c r="C6045" s="13" t="n">
        <x:v>0</x:v>
      </x:c>
    </x:row>
    <x:row r="6046" ht="20" customHeight="1">
      <x:c r="A6046" s="1" t="str">
        <x:v>84378</x:v>
      </x:c>
      <x:c r="B6046" s="9" t="d">
        <x:v>2011-06-19T00:00:00.000Z</x:v>
      </x:c>
      <x:c r="C6046" s="13" t="n">
        <x:v>12</x:v>
      </x:c>
    </x:row>
    <x:row r="6047" ht="20" customHeight="1">
      <x:c r="A6047" s="1" t="str">
        <x:v>84378</x:v>
      </x:c>
      <x:c r="B6047" s="9" t="d">
        <x:v>2011-06-20T00:00:00.000Z</x:v>
      </x:c>
      <x:c r="C6047" s="13" t="n">
        <x:v>55</x:v>
      </x:c>
    </x:row>
    <x:row r="6048" ht="20" customHeight="1">
      <x:c r="A6048" s="1" t="str">
        <x:v>84378</x:v>
      </x:c>
      <x:c r="B6048" s="9" t="d">
        <x:v>2011-06-21T00:00:00.000Z</x:v>
      </x:c>
      <x:c r="C6048" s="13" t="n">
        <x:v>25</x:v>
      </x:c>
    </x:row>
    <x:row r="6049" ht="20" customHeight="1">
      <x:c r="A6049" s="1" t="str">
        <x:v>84378</x:v>
      </x:c>
      <x:c r="B6049" s="9" t="d">
        <x:v>2011-06-22T00:00:00.000Z</x:v>
      </x:c>
      <x:c r="C6049" s="13" t="n">
        <x:v>0</x:v>
      </x:c>
    </x:row>
    <x:row r="6050" ht="20" customHeight="1">
      <x:c r="A6050" s="1" t="str">
        <x:v>84378</x:v>
      </x:c>
      <x:c r="B6050" s="9" t="d">
        <x:v>2011-06-23T00:00:00.000Z</x:v>
      </x:c>
      <x:c r="C6050" s="13" t="n">
        <x:v>26</x:v>
      </x:c>
    </x:row>
    <x:row r="6051" ht="20" customHeight="1">
      <x:c r="A6051" s="1" t="str">
        <x:v>84378</x:v>
      </x:c>
      <x:c r="B6051" s="9" t="d">
        <x:v>2011-06-24T00:00:00.000Z</x:v>
      </x:c>
      <x:c r="C6051" s="13" t="n">
        <x:v>1</x:v>
      </x:c>
    </x:row>
    <x:row r="6052" ht="20" customHeight="1">
      <x:c r="A6052" s="1" t="str">
        <x:v>84378</x:v>
      </x:c>
      <x:c r="B6052" s="9" t="d">
        <x:v>2011-06-25T00:00:00.000Z</x:v>
      </x:c>
      <x:c r="C6052" s="13" t="n">
        <x:v>0</x:v>
      </x:c>
    </x:row>
    <x:row r="6053" ht="20" customHeight="1">
      <x:c r="A6053" s="1" t="str">
        <x:v>84378</x:v>
      </x:c>
      <x:c r="B6053" s="9" t="d">
        <x:v>2011-06-26T00:00:00.000Z</x:v>
      </x:c>
      <x:c r="C6053" s="13" t="n">
        <x:v>1</x:v>
      </x:c>
    </x:row>
    <x:row r="6054" ht="20" customHeight="1">
      <x:c r="A6054" s="1" t="str">
        <x:v>84378</x:v>
      </x:c>
      <x:c r="B6054" s="9" t="d">
        <x:v>2011-06-27T00:00:00.000Z</x:v>
      </x:c>
      <x:c r="C6054" s="13" t="n">
        <x:v>2</x:v>
      </x:c>
    </x:row>
    <x:row r="6055" ht="20" customHeight="1">
      <x:c r="A6055" s="1" t="str">
        <x:v>84378</x:v>
      </x:c>
      <x:c r="B6055" s="9" t="d">
        <x:v>2011-06-28T00:00:00.000Z</x:v>
      </x:c>
      <x:c r="C6055" s="13" t="n">
        <x:v>25</x:v>
      </x:c>
    </x:row>
    <x:row r="6056" ht="20" customHeight="1">
      <x:c r="A6056" s="1" t="str">
        <x:v>84378</x:v>
      </x:c>
      <x:c r="B6056" s="9" t="d">
        <x:v>2011-06-29T00:00:00.000Z</x:v>
      </x:c>
      <x:c r="C6056" s="13" t="n">
        <x:v>1</x:v>
      </x:c>
    </x:row>
    <x:row r="6057" ht="20" customHeight="1">
      <x:c r="A6057" s="1" t="str">
        <x:v>84378</x:v>
      </x:c>
      <x:c r="B6057" s="9" t="d">
        <x:v>2011-06-30T00:00:00.000Z</x:v>
      </x:c>
      <x:c r="C6057" s="13" t="n">
        <x:v>61</x:v>
      </x:c>
    </x:row>
    <x:row r="6058" ht="20" customHeight="1">
      <x:c r="A6058" s="1" t="str">
        <x:v>84378</x:v>
      </x:c>
      <x:c r="B6058" s="9" t="d">
        <x:v>2011-07-01T00:00:00.000Z</x:v>
      </x:c>
      <x:c r="C6058" s="13" t="n">
        <x:v>0</x:v>
      </x:c>
    </x:row>
    <x:row r="6059" ht="20" customHeight="1">
      <x:c r="A6059" s="1" t="str">
        <x:v>84378</x:v>
      </x:c>
      <x:c r="B6059" s="9" t="d">
        <x:v>2011-07-02T00:00:00.000Z</x:v>
      </x:c>
      <x:c r="C6059" s="13" t="n">
        <x:v>0</x:v>
      </x:c>
    </x:row>
    <x:row r="6060" ht="20" customHeight="1">
      <x:c r="A6060" s="1" t="str">
        <x:v>84378</x:v>
      </x:c>
      <x:c r="B6060" s="9" t="d">
        <x:v>2011-07-03T00:00:00.000Z</x:v>
      </x:c>
      <x:c r="C6060" s="13" t="n">
        <x:v>0</x:v>
      </x:c>
    </x:row>
    <x:row r="6061" ht="20" customHeight="1">
      <x:c r="A6061" s="1" t="str">
        <x:v>84378</x:v>
      </x:c>
      <x:c r="B6061" s="9" t="d">
        <x:v>2011-07-04T00:00:00.000Z</x:v>
      </x:c>
      <x:c r="C6061" s="13" t="n">
        <x:v>1</x:v>
      </x:c>
    </x:row>
    <x:row r="6062" ht="20" customHeight="1">
      <x:c r="A6062" s="1" t="str">
        <x:v>84378</x:v>
      </x:c>
      <x:c r="B6062" s="9" t="d">
        <x:v>2011-07-05T00:00:00.000Z</x:v>
      </x:c>
      <x:c r="C6062" s="13" t="n">
        <x:v>3</x:v>
      </x:c>
    </x:row>
    <x:row r="6063" ht="20" customHeight="1">
      <x:c r="A6063" s="1" t="str">
        <x:v>84378</x:v>
      </x:c>
      <x:c r="B6063" s="9" t="d">
        <x:v>2011-07-06T00:00:00.000Z</x:v>
      </x:c>
      <x:c r="C6063" s="13" t="n">
        <x:v>6</x:v>
      </x:c>
    </x:row>
    <x:row r="6064" ht="20" customHeight="1">
      <x:c r="A6064" s="1" t="str">
        <x:v>84378</x:v>
      </x:c>
      <x:c r="B6064" s="9" t="d">
        <x:v>2011-07-07T00:00:00.000Z</x:v>
      </x:c>
      <x:c r="C6064" s="13" t="n">
        <x:v>163</x:v>
      </x:c>
    </x:row>
    <x:row r="6065" ht="20" customHeight="1">
      <x:c r="A6065" s="1" t="str">
        <x:v>84378</x:v>
      </x:c>
      <x:c r="B6065" s="9" t="d">
        <x:v>2011-07-08T00:00:00.000Z</x:v>
      </x:c>
      <x:c r="C6065" s="13" t="n">
        <x:v>10</x:v>
      </x:c>
    </x:row>
    <x:row r="6066" ht="20" customHeight="1">
      <x:c r="A6066" s="1" t="str">
        <x:v>84378</x:v>
      </x:c>
      <x:c r="B6066" s="9" t="d">
        <x:v>2011-07-09T00:00:00.000Z</x:v>
      </x:c>
      <x:c r="C6066" s="13" t="n">
        <x:v>0</x:v>
      </x:c>
    </x:row>
    <x:row r="6067" ht="20" customHeight="1">
      <x:c r="A6067" s="1" t="str">
        <x:v>84378</x:v>
      </x:c>
      <x:c r="B6067" s="9" t="d">
        <x:v>2011-07-10T00:00:00.000Z</x:v>
      </x:c>
      <x:c r="C6067" s="13" t="n">
        <x:v>0</x:v>
      </x:c>
    </x:row>
    <x:row r="6068" ht="20" customHeight="1">
      <x:c r="A6068" s="1" t="str">
        <x:v>84378</x:v>
      </x:c>
      <x:c r="B6068" s="9" t="d">
        <x:v>2011-07-11T00:00:00.000Z</x:v>
      </x:c>
      <x:c r="C6068" s="13" t="n">
        <x:v>2</x:v>
      </x:c>
    </x:row>
    <x:row r="6069" ht="20" customHeight="1">
      <x:c r="A6069" s="1" t="str">
        <x:v>84378</x:v>
      </x:c>
      <x:c r="B6069" s="9" t="d">
        <x:v>2011-07-12T00:00:00.000Z</x:v>
      </x:c>
      <x:c r="C6069" s="13" t="n">
        <x:v>12</x:v>
      </x:c>
    </x:row>
    <x:row r="6070" ht="20" customHeight="1">
      <x:c r="A6070" s="1" t="str">
        <x:v>84378</x:v>
      </x:c>
      <x:c r="B6070" s="9" t="d">
        <x:v>2011-07-13T00:00:00.000Z</x:v>
      </x:c>
      <x:c r="C6070" s="13" t="n">
        <x:v>4</x:v>
      </x:c>
    </x:row>
    <x:row r="6071" ht="20" customHeight="1">
      <x:c r="A6071" s="1" t="str">
        <x:v>84378</x:v>
      </x:c>
      <x:c r="B6071" s="9" t="d">
        <x:v>2011-07-14T00:00:00.000Z</x:v>
      </x:c>
      <x:c r="C6071" s="13" t="n">
        <x:v>1</x:v>
      </x:c>
    </x:row>
    <x:row r="6072" ht="20" customHeight="1">
      <x:c r="A6072" s="1" t="str">
        <x:v>84378</x:v>
      </x:c>
      <x:c r="B6072" s="9" t="d">
        <x:v>2011-07-15T00:00:00.000Z</x:v>
      </x:c>
      <x:c r="C6072" s="13" t="n">
        <x:v>0</x:v>
      </x:c>
    </x:row>
    <x:row r="6073" ht="20" customHeight="1">
      <x:c r="A6073" s="1" t="str">
        <x:v>84378</x:v>
      </x:c>
      <x:c r="B6073" s="9" t="d">
        <x:v>2011-07-16T00:00:00.000Z</x:v>
      </x:c>
      <x:c r="C6073" s="13" t="n">
        <x:v>0</x:v>
      </x:c>
    </x:row>
    <x:row r="6074" ht="20" customHeight="1">
      <x:c r="A6074" s="1" t="str">
        <x:v>84378</x:v>
      </x:c>
      <x:c r="B6074" s="9" t="d">
        <x:v>2011-07-17T00:00:00.000Z</x:v>
      </x:c>
      <x:c r="C6074" s="13" t="n">
        <x:v>13</x:v>
      </x:c>
    </x:row>
    <x:row r="6075" ht="20" customHeight="1">
      <x:c r="A6075" s="1" t="str">
        <x:v>84378</x:v>
      </x:c>
      <x:c r="B6075" s="9" t="d">
        <x:v>2011-07-18T00:00:00.000Z</x:v>
      </x:c>
      <x:c r="C6075" s="13" t="n">
        <x:v>1</x:v>
      </x:c>
    </x:row>
    <x:row r="6076" ht="20" customHeight="1">
      <x:c r="A6076" s="1" t="str">
        <x:v>84378</x:v>
      </x:c>
      <x:c r="B6076" s="9" t="d">
        <x:v>2011-07-19T00:00:00.000Z</x:v>
      </x:c>
      <x:c r="C6076" s="13" t="n">
        <x:v>0</x:v>
      </x:c>
    </x:row>
    <x:row r="6077" ht="20" customHeight="1">
      <x:c r="A6077" s="1" t="str">
        <x:v>84378</x:v>
      </x:c>
      <x:c r="B6077" s="9" t="d">
        <x:v>2011-07-20T00:00:00.000Z</x:v>
      </x:c>
      <x:c r="C6077" s="13" t="n">
        <x:v>12</x:v>
      </x:c>
    </x:row>
    <x:row r="6078" ht="20" customHeight="1">
      <x:c r="A6078" s="1" t="str">
        <x:v>84378</x:v>
      </x:c>
      <x:c r="B6078" s="9" t="d">
        <x:v>2011-07-21T00:00:00.000Z</x:v>
      </x:c>
      <x:c r="C6078" s="13" t="n">
        <x:v>0</x:v>
      </x:c>
    </x:row>
    <x:row r="6079" ht="20" customHeight="1">
      <x:c r="A6079" s="1" t="str">
        <x:v>84378</x:v>
      </x:c>
      <x:c r="B6079" s="9" t="d">
        <x:v>2011-07-22T00:00:00.000Z</x:v>
      </x:c>
      <x:c r="C6079" s="13" t="n">
        <x:v>0</x:v>
      </x:c>
    </x:row>
    <x:row r="6080" ht="20" customHeight="1">
      <x:c r="A6080" s="1" t="str">
        <x:v>84378</x:v>
      </x:c>
      <x:c r="B6080" s="9" t="d">
        <x:v>2011-07-23T00:00:00.000Z</x:v>
      </x:c>
      <x:c r="C6080" s="13" t="n">
        <x:v>0</x:v>
      </x:c>
    </x:row>
    <x:row r="6081" ht="20" customHeight="1">
      <x:c r="A6081" s="1" t="str">
        <x:v>84378</x:v>
      </x:c>
      <x:c r="B6081" s="9" t="d">
        <x:v>2011-07-24T00:00:00.000Z</x:v>
      </x:c>
      <x:c r="C6081" s="13" t="n">
        <x:v>0</x:v>
      </x:c>
    </x:row>
    <x:row r="6082" ht="20" customHeight="1">
      <x:c r="A6082" s="1" t="str">
        <x:v>84378</x:v>
      </x:c>
      <x:c r="B6082" s="9" t="d">
        <x:v>2011-07-25T00:00:00.000Z</x:v>
      </x:c>
      <x:c r="C6082" s="13" t="n">
        <x:v>16</x:v>
      </x:c>
    </x:row>
    <x:row r="6083" ht="20" customHeight="1">
      <x:c r="A6083" s="1" t="str">
        <x:v>84378</x:v>
      </x:c>
      <x:c r="B6083" s="9" t="d">
        <x:v>2011-07-26T00:00:00.000Z</x:v>
      </x:c>
      <x:c r="C6083" s="13" t="n">
        <x:v>0</x:v>
      </x:c>
    </x:row>
    <x:row r="6084" ht="20" customHeight="1">
      <x:c r="A6084" s="1" t="str">
        <x:v>84378</x:v>
      </x:c>
      <x:c r="B6084" s="9" t="d">
        <x:v>2011-07-27T00:00:00.000Z</x:v>
      </x:c>
      <x:c r="C6084" s="13" t="n">
        <x:v>13</x:v>
      </x:c>
    </x:row>
    <x:row r="6085" ht="20" customHeight="1">
      <x:c r="A6085" s="1" t="str">
        <x:v>84378</x:v>
      </x:c>
      <x:c r="B6085" s="9" t="d">
        <x:v>2011-07-28T00:00:00.000Z</x:v>
      </x:c>
      <x:c r="C6085" s="13" t="n">
        <x:v>0</x:v>
      </x:c>
    </x:row>
    <x:row r="6086" ht="20" customHeight="1">
      <x:c r="A6086" s="1" t="str">
        <x:v>84378</x:v>
      </x:c>
      <x:c r="B6086" s="9" t="d">
        <x:v>2011-07-29T00:00:00.000Z</x:v>
      </x:c>
      <x:c r="C6086" s="13" t="n">
        <x:v>0</x:v>
      </x:c>
    </x:row>
    <x:row r="6087" ht="20" customHeight="1">
      <x:c r="A6087" s="1" t="str">
        <x:v>84378</x:v>
      </x:c>
      <x:c r="B6087" s="9" t="d">
        <x:v>2011-07-30T00:00:00.000Z</x:v>
      </x:c>
      <x:c r="C6087" s="13" t="n">
        <x:v>0</x:v>
      </x:c>
    </x:row>
    <x:row r="6088" ht="20" customHeight="1">
      <x:c r="A6088" s="1" t="str">
        <x:v>84378</x:v>
      </x:c>
      <x:c r="B6088" s="9" t="d">
        <x:v>2011-07-31T00:00:00.000Z</x:v>
      </x:c>
      <x:c r="C6088" s="13" t="n">
        <x:v>289</x:v>
      </x:c>
    </x:row>
    <x:row r="6089" ht="20" customHeight="1">
      <x:c r="A6089" s="1" t="str">
        <x:v>84378</x:v>
      </x:c>
      <x:c r="B6089" s="9" t="d">
        <x:v>2011-08-01T00:00:00.000Z</x:v>
      </x:c>
      <x:c r="C6089" s="13" t="n">
        <x:v>12</x:v>
      </x:c>
    </x:row>
    <x:row r="6090" ht="20" customHeight="1">
      <x:c r="A6090" s="1" t="str">
        <x:v>84378</x:v>
      </x:c>
      <x:c r="B6090" s="9" t="d">
        <x:v>2011-08-02T00:00:00.000Z</x:v>
      </x:c>
      <x:c r="C6090" s="13" t="n">
        <x:v>12</x:v>
      </x:c>
    </x:row>
    <x:row r="6091" ht="20" customHeight="1">
      <x:c r="A6091" s="1" t="str">
        <x:v>84378</x:v>
      </x:c>
      <x:c r="B6091" s="9" t="d">
        <x:v>2011-08-03T00:00:00.000Z</x:v>
      </x:c>
      <x:c r="C6091" s="13" t="n">
        <x:v>24</x:v>
      </x:c>
    </x:row>
    <x:row r="6092" ht="20" customHeight="1">
      <x:c r="A6092" s="1" t="str">
        <x:v>84378</x:v>
      </x:c>
      <x:c r="B6092" s="9" t="d">
        <x:v>2011-08-04T00:00:00.000Z</x:v>
      </x:c>
      <x:c r="C6092" s="13" t="n">
        <x:v>0</x:v>
      </x:c>
    </x:row>
    <x:row r="6093" ht="20" customHeight="1">
      <x:c r="A6093" s="1" t="str">
        <x:v>84378</x:v>
      </x:c>
      <x:c r="B6093" s="9" t="d">
        <x:v>2011-08-05T00:00:00.000Z</x:v>
      </x:c>
      <x:c r="C6093" s="13" t="n">
        <x:v>0</x:v>
      </x:c>
    </x:row>
    <x:row r="6094" ht="20" customHeight="1">
      <x:c r="A6094" s="1" t="str">
        <x:v>84378</x:v>
      </x:c>
      <x:c r="B6094" s="9" t="d">
        <x:v>2011-08-06T00:00:00.000Z</x:v>
      </x:c>
      <x:c r="C6094" s="13" t="n">
        <x:v>0</x:v>
      </x:c>
    </x:row>
    <x:row r="6095" ht="20" customHeight="1">
      <x:c r="A6095" s="1" t="str">
        <x:v>84378</x:v>
      </x:c>
      <x:c r="B6095" s="9" t="d">
        <x:v>2011-08-07T00:00:00.000Z</x:v>
      </x:c>
      <x:c r="C6095" s="13" t="n">
        <x:v>1</x:v>
      </x:c>
    </x:row>
    <x:row r="6096" ht="20" customHeight="1">
      <x:c r="A6096" s="1" t="str">
        <x:v>84378</x:v>
      </x:c>
      <x:c r="B6096" s="9" t="d">
        <x:v>2011-08-08T00:00:00.000Z</x:v>
      </x:c>
      <x:c r="C6096" s="13" t="n">
        <x:v>0</x:v>
      </x:c>
    </x:row>
    <x:row r="6097" ht="20" customHeight="1">
      <x:c r="A6097" s="1" t="str">
        <x:v>84378</x:v>
      </x:c>
      <x:c r="B6097" s="9" t="d">
        <x:v>2011-08-09T00:00:00.000Z</x:v>
      </x:c>
      <x:c r="C6097" s="13" t="n">
        <x:v>14</x:v>
      </x:c>
    </x:row>
    <x:row r="6098" ht="20" customHeight="1">
      <x:c r="A6098" s="1" t="str">
        <x:v>84378</x:v>
      </x:c>
      <x:c r="B6098" s="9" t="d">
        <x:v>2011-08-10T00:00:00.000Z</x:v>
      </x:c>
      <x:c r="C6098" s="13" t="n">
        <x:v>1</x:v>
      </x:c>
    </x:row>
    <x:row r="6099" ht="20" customHeight="1">
      <x:c r="A6099" s="1" t="str">
        <x:v>84378</x:v>
      </x:c>
      <x:c r="B6099" s="9" t="d">
        <x:v>2011-08-11T00:00:00.000Z</x:v>
      </x:c>
      <x:c r="C6099" s="13" t="n">
        <x:v>14</x:v>
      </x:c>
    </x:row>
    <x:row r="6100" ht="20" customHeight="1">
      <x:c r="A6100" s="1" t="str">
        <x:v>84378</x:v>
      </x:c>
      <x:c r="B6100" s="9" t="d">
        <x:v>2011-08-12T00:00:00.000Z</x:v>
      </x:c>
      <x:c r="C6100" s="13" t="n">
        <x:v>0</x:v>
      </x:c>
    </x:row>
    <x:row r="6101" ht="20" customHeight="1">
      <x:c r="A6101" s="1" t="str">
        <x:v>84378</x:v>
      </x:c>
      <x:c r="B6101" s="9" t="d">
        <x:v>2011-08-13T00:00:00.000Z</x:v>
      </x:c>
      <x:c r="C6101" s="13" t="n">
        <x:v>0</x:v>
      </x:c>
    </x:row>
    <x:row r="6102" ht="20" customHeight="1">
      <x:c r="A6102" s="1" t="str">
        <x:v>84378</x:v>
      </x:c>
      <x:c r="B6102" s="9" t="d">
        <x:v>2011-08-14T00:00:00.000Z</x:v>
      </x:c>
      <x:c r="C6102" s="13" t="n">
        <x:v>4</x:v>
      </x:c>
    </x:row>
    <x:row r="6103" ht="20" customHeight="1">
      <x:c r="A6103" s="1" t="str">
        <x:v>84378</x:v>
      </x:c>
      <x:c r="B6103" s="9" t="d">
        <x:v>2011-08-15T00:00:00.000Z</x:v>
      </x:c>
      <x:c r="C6103" s="13" t="n">
        <x:v>1</x:v>
      </x:c>
    </x:row>
    <x:row r="6104" ht="20" customHeight="1">
      <x:c r="A6104" s="1" t="str">
        <x:v>84378</x:v>
      </x:c>
      <x:c r="B6104" s="9" t="d">
        <x:v>2011-08-16T00:00:00.000Z</x:v>
      </x:c>
      <x:c r="C6104" s="13" t="n">
        <x:v>0</x:v>
      </x:c>
    </x:row>
    <x:row r="6105" ht="20" customHeight="1">
      <x:c r="A6105" s="1" t="str">
        <x:v>84378</x:v>
      </x:c>
      <x:c r="B6105" s="9" t="d">
        <x:v>2011-08-17T00:00:00.000Z</x:v>
      </x:c>
      <x:c r="C6105" s="13" t="n">
        <x:v>25</x:v>
      </x:c>
    </x:row>
    <x:row r="6106" ht="20" customHeight="1">
      <x:c r="A6106" s="1" t="str">
        <x:v>84378</x:v>
      </x:c>
      <x:c r="B6106" s="9" t="d">
        <x:v>2011-08-18T00:00:00.000Z</x:v>
      </x:c>
      <x:c r="C6106" s="13" t="n">
        <x:v>0</x:v>
      </x:c>
    </x:row>
    <x:row r="6107" ht="20" customHeight="1">
      <x:c r="A6107" s="1" t="str">
        <x:v>84378</x:v>
      </x:c>
      <x:c r="B6107" s="9" t="d">
        <x:v>2011-08-19T00:00:00.000Z</x:v>
      </x:c>
      <x:c r="C6107" s="13" t="n">
        <x:v>0</x:v>
      </x:c>
    </x:row>
    <x:row r="6108" ht="20" customHeight="1">
      <x:c r="A6108" s="1" t="str">
        <x:v>84378</x:v>
      </x:c>
      <x:c r="B6108" s="9" t="d">
        <x:v>2011-08-20T00:00:00.000Z</x:v>
      </x:c>
      <x:c r="C6108" s="13" t="n">
        <x:v>0</x:v>
      </x:c>
    </x:row>
    <x:row r="6109" ht="20" customHeight="1">
      <x:c r="A6109" s="1" t="str">
        <x:v>84378</x:v>
      </x:c>
      <x:c r="B6109" s="9" t="d">
        <x:v>2011-08-21T00:00:00.000Z</x:v>
      </x:c>
      <x:c r="C6109" s="13" t="n">
        <x:v>3</x:v>
      </x:c>
    </x:row>
    <x:row r="6110" ht="20" customHeight="1">
      <x:c r="A6110" s="1" t="str">
        <x:v>84378</x:v>
      </x:c>
      <x:c r="B6110" s="9" t="d">
        <x:v>2011-08-22T00:00:00.000Z</x:v>
      </x:c>
      <x:c r="C6110" s="13" t="n">
        <x:v>0</x:v>
      </x:c>
    </x:row>
    <x:row r="6111" ht="20" customHeight="1">
      <x:c r="A6111" s="1" t="str">
        <x:v>84378</x:v>
      </x:c>
      <x:c r="B6111" s="9" t="d">
        <x:v>2011-08-23T00:00:00.000Z</x:v>
      </x:c>
      <x:c r="C6111" s="13" t="n">
        <x:v>15</x:v>
      </x:c>
    </x:row>
    <x:row r="6112" ht="20" customHeight="1">
      <x:c r="A6112" s="1" t="str">
        <x:v>84378</x:v>
      </x:c>
      <x:c r="B6112" s="9" t="d">
        <x:v>2011-08-24T00:00:00.000Z</x:v>
      </x:c>
      <x:c r="C6112" s="13" t="n">
        <x:v>14</x:v>
      </x:c>
    </x:row>
    <x:row r="6113" ht="20" customHeight="1">
      <x:c r="A6113" s="1" t="str">
        <x:v>84378</x:v>
      </x:c>
      <x:c r="B6113" s="9" t="d">
        <x:v>2011-08-25T00:00:00.000Z</x:v>
      </x:c>
      <x:c r="C6113" s="13" t="n">
        <x:v>1</x:v>
      </x:c>
    </x:row>
    <x:row r="6114" ht="20" customHeight="1">
      <x:c r="A6114" s="1" t="str">
        <x:v>84378</x:v>
      </x:c>
      <x:c r="B6114" s="9" t="d">
        <x:v>2011-08-26T00:00:00.000Z</x:v>
      </x:c>
      <x:c r="C6114" s="13" t="n">
        <x:v>0</x:v>
      </x:c>
    </x:row>
    <x:row r="6115" ht="20" customHeight="1">
      <x:c r="A6115" s="1" t="str">
        <x:v>84378</x:v>
      </x:c>
      <x:c r="B6115" s="9" t="d">
        <x:v>2011-08-27T00:00:00.000Z</x:v>
      </x:c>
      <x:c r="C6115" s="13" t="n">
        <x:v>0</x:v>
      </x:c>
    </x:row>
    <x:row r="6116" ht="20" customHeight="1">
      <x:c r="A6116" s="1" t="str">
        <x:v>84378</x:v>
      </x:c>
      <x:c r="B6116" s="9" t="d">
        <x:v>2011-08-28T00:00:00.000Z</x:v>
      </x:c>
      <x:c r="C6116" s="13" t="n">
        <x:v>30</x:v>
      </x:c>
    </x:row>
    <x:row r="6117" ht="20" customHeight="1">
      <x:c r="A6117" s="1" t="str">
        <x:v>84378</x:v>
      </x:c>
      <x:c r="B6117" s="9" t="d">
        <x:v>2011-08-29T00:00:00.000Z</x:v>
      </x:c>
      <x:c r="C6117" s="13" t="n">
        <x:v>0</x:v>
      </x:c>
    </x:row>
    <x:row r="6118" ht="20" customHeight="1">
      <x:c r="A6118" s="1" t="str">
        <x:v>84378</x:v>
      </x:c>
      <x:c r="B6118" s="9" t="d">
        <x:v>2011-08-30T00:00:00.000Z</x:v>
      </x:c>
      <x:c r="C6118" s="13" t="n">
        <x:v>0</x:v>
      </x:c>
    </x:row>
    <x:row r="6119" ht="20" customHeight="1">
      <x:c r="A6119" s="1" t="str">
        <x:v>84378</x:v>
      </x:c>
      <x:c r="B6119" s="9" t="d">
        <x:v>2011-08-31T00:00:00.000Z</x:v>
      </x:c>
      <x:c r="C6119" s="13" t="n">
        <x:v>1</x:v>
      </x:c>
    </x:row>
    <x:row r="6120" ht="20" customHeight="1">
      <x:c r="A6120" s="1" t="str">
        <x:v>84378</x:v>
      </x:c>
      <x:c r="B6120" s="9" t="d">
        <x:v>2011-09-01T00:00:00.000Z</x:v>
      </x:c>
      <x:c r="C6120" s="13" t="n">
        <x:v>15</x:v>
      </x:c>
    </x:row>
    <x:row r="6121" ht="20" customHeight="1">
      <x:c r="A6121" s="1" t="str">
        <x:v>84378</x:v>
      </x:c>
      <x:c r="B6121" s="9" t="d">
        <x:v>2011-09-02T00:00:00.000Z</x:v>
      </x:c>
      <x:c r="C6121" s="13" t="n">
        <x:v>3</x:v>
      </x:c>
    </x:row>
    <x:row r="6122" ht="20" customHeight="1">
      <x:c r="A6122" s="1" t="str">
        <x:v>84378</x:v>
      </x:c>
      <x:c r="B6122" s="9" t="d">
        <x:v>2011-09-03T00:00:00.000Z</x:v>
      </x:c>
      <x:c r="C6122" s="13" t="n">
        <x:v>0</x:v>
      </x:c>
    </x:row>
    <x:row r="6123" ht="20" customHeight="1">
      <x:c r="A6123" s="1" t="str">
        <x:v>84378</x:v>
      </x:c>
      <x:c r="B6123" s="9" t="d">
        <x:v>2011-09-04T00:00:00.000Z</x:v>
      </x:c>
      <x:c r="C6123" s="13" t="n">
        <x:v>15</x:v>
      </x:c>
    </x:row>
    <x:row r="6124" ht="20" customHeight="1">
      <x:c r="A6124" s="1" t="str">
        <x:v>84378</x:v>
      </x:c>
      <x:c r="B6124" s="9" t="d">
        <x:v>2011-09-05T00:00:00.000Z</x:v>
      </x:c>
      <x:c r="C6124" s="13" t="n">
        <x:v>0</x:v>
      </x:c>
    </x:row>
    <x:row r="6125" ht="20" customHeight="1">
      <x:c r="A6125" s="1" t="str">
        <x:v>84378</x:v>
      </x:c>
      <x:c r="B6125" s="9" t="d">
        <x:v>2011-09-06T00:00:00.000Z</x:v>
      </x:c>
      <x:c r="C6125" s="13" t="n">
        <x:v>0</x:v>
      </x:c>
    </x:row>
    <x:row r="6126" ht="20" customHeight="1">
      <x:c r="A6126" s="1" t="str">
        <x:v>84378</x:v>
      </x:c>
      <x:c r="B6126" s="9" t="d">
        <x:v>2011-09-07T00:00:00.000Z</x:v>
      </x:c>
      <x:c r="C6126" s="13" t="n">
        <x:v>13</x:v>
      </x:c>
    </x:row>
    <x:row r="6127" ht="20" customHeight="1">
      <x:c r="A6127" s="1" t="str">
        <x:v>84378</x:v>
      </x:c>
      <x:c r="B6127" s="9" t="d">
        <x:v>2011-09-08T00:00:00.000Z</x:v>
      </x:c>
      <x:c r="C6127" s="13" t="n">
        <x:v>36</x:v>
      </x:c>
    </x:row>
    <x:row r="6128" ht="20" customHeight="1">
      <x:c r="A6128" s="1" t="str">
        <x:v>84378</x:v>
      </x:c>
      <x:c r="B6128" s="9" t="d">
        <x:v>2011-09-09T00:00:00.000Z</x:v>
      </x:c>
      <x:c r="C6128" s="13" t="n">
        <x:v>0</x:v>
      </x:c>
    </x:row>
    <x:row r="6129" ht="20" customHeight="1">
      <x:c r="A6129" s="1" t="str">
        <x:v>84378</x:v>
      </x:c>
      <x:c r="B6129" s="9" t="d">
        <x:v>2011-09-10T00:00:00.000Z</x:v>
      </x:c>
      <x:c r="C6129" s="13" t="n">
        <x:v>0</x:v>
      </x:c>
    </x:row>
    <x:row r="6130" ht="20" customHeight="1">
      <x:c r="A6130" s="1" t="str">
        <x:v>84378</x:v>
      </x:c>
      <x:c r="B6130" s="9" t="d">
        <x:v>2011-09-11T00:00:00.000Z</x:v>
      </x:c>
      <x:c r="C6130" s="13" t="n">
        <x:v>19</x:v>
      </x:c>
    </x:row>
    <x:row r="6131" ht="20" customHeight="1">
      <x:c r="A6131" s="1" t="str">
        <x:v>84378</x:v>
      </x:c>
      <x:c r="B6131" s="9" t="d">
        <x:v>2011-09-12T00:00:00.000Z</x:v>
      </x:c>
      <x:c r="C6131" s="13" t="n">
        <x:v>12</x:v>
      </x:c>
    </x:row>
    <x:row r="6132" ht="20" customHeight="1">
      <x:c r="A6132" s="1" t="str">
        <x:v>84378</x:v>
      </x:c>
      <x:c r="B6132" s="9" t="d">
        <x:v>2011-09-13T00:00:00.000Z</x:v>
      </x:c>
      <x:c r="C6132" s="13" t="n">
        <x:v>0</x:v>
      </x:c>
    </x:row>
    <x:row r="6133" ht="20" customHeight="1">
      <x:c r="A6133" s="1" t="str">
        <x:v>84378</x:v>
      </x:c>
      <x:c r="B6133" s="9" t="d">
        <x:v>2011-09-14T00:00:00.000Z</x:v>
      </x:c>
      <x:c r="C6133" s="13" t="n">
        <x:v>1</x:v>
      </x:c>
    </x:row>
    <x:row r="6134" ht="20" customHeight="1">
      <x:c r="A6134" s="1" t="str">
        <x:v>84378</x:v>
      </x:c>
      <x:c r="B6134" s="9" t="d">
        <x:v>2011-09-15T00:00:00.000Z</x:v>
      </x:c>
      <x:c r="C6134" s="13" t="n">
        <x:v>4</x:v>
      </x:c>
    </x:row>
    <x:row r="6135" ht="20" customHeight="1">
      <x:c r="A6135" s="1" t="str">
        <x:v>84378</x:v>
      </x:c>
      <x:c r="B6135" s="9" t="d">
        <x:v>2011-09-16T00:00:00.000Z</x:v>
      </x:c>
      <x:c r="C6135" s="13" t="n">
        <x:v>0</x:v>
      </x:c>
    </x:row>
    <x:row r="6136" ht="20" customHeight="1">
      <x:c r="A6136" s="1" t="str">
        <x:v>84378</x:v>
      </x:c>
      <x:c r="B6136" s="9" t="d">
        <x:v>2011-09-17T00:00:00.000Z</x:v>
      </x:c>
      <x:c r="C6136" s="13" t="n">
        <x:v>0</x:v>
      </x:c>
    </x:row>
    <x:row r="6137" ht="20" customHeight="1">
      <x:c r="A6137" s="1" t="str">
        <x:v>84378</x:v>
      </x:c>
      <x:c r="B6137" s="9" t="d">
        <x:v>2011-09-18T00:00:00.000Z</x:v>
      </x:c>
      <x:c r="C6137" s="13" t="n">
        <x:v>7</x:v>
      </x:c>
    </x:row>
    <x:row r="6138" ht="20" customHeight="1">
      <x:c r="A6138" s="1" t="str">
        <x:v>84378</x:v>
      </x:c>
      <x:c r="B6138" s="9" t="d">
        <x:v>2011-09-19T00:00:00.000Z</x:v>
      </x:c>
      <x:c r="C6138" s="13" t="n">
        <x:v>0</x:v>
      </x:c>
    </x:row>
    <x:row r="6139" ht="20" customHeight="1">
      <x:c r="A6139" s="1" t="str">
        <x:v>84378</x:v>
      </x:c>
      <x:c r="B6139" s="9" t="d">
        <x:v>2011-09-20T00:00:00.000Z</x:v>
      </x:c>
      <x:c r="C6139" s="13" t="n">
        <x:v>0</x:v>
      </x:c>
    </x:row>
    <x:row r="6140" ht="20" customHeight="1">
      <x:c r="A6140" s="1" t="str">
        <x:v>84378</x:v>
      </x:c>
      <x:c r="B6140" s="9" t="d">
        <x:v>2011-09-21T00:00:00.000Z</x:v>
      </x:c>
      <x:c r="C6140" s="13" t="n">
        <x:v>14</x:v>
      </x:c>
    </x:row>
    <x:row r="6141" ht="20" customHeight="1">
      <x:c r="A6141" s="1" t="str">
        <x:v>84378</x:v>
      </x:c>
      <x:c r="B6141" s="9" t="d">
        <x:v>2011-09-22T00:00:00.000Z</x:v>
      </x:c>
      <x:c r="C6141" s="13" t="n">
        <x:v>63</x:v>
      </x:c>
    </x:row>
    <x:row r="6142" ht="20" customHeight="1">
      <x:c r="A6142" s="1" t="str">
        <x:v>84378</x:v>
      </x:c>
      <x:c r="B6142" s="9" t="d">
        <x:v>2011-09-23T00:00:00.000Z</x:v>
      </x:c>
      <x:c r="C6142" s="13" t="n">
        <x:v>17</x:v>
      </x:c>
    </x:row>
    <x:row r="6143" ht="20" customHeight="1">
      <x:c r="A6143" s="1" t="str">
        <x:v>84378</x:v>
      </x:c>
      <x:c r="B6143" s="9" t="d">
        <x:v>2011-09-24T00:00:00.000Z</x:v>
      </x:c>
      <x:c r="C6143" s="13" t="n">
        <x:v>0</x:v>
      </x:c>
    </x:row>
    <x:row r="6144" ht="20" customHeight="1">
      <x:c r="A6144" s="1" t="str">
        <x:v>84378</x:v>
      </x:c>
      <x:c r="B6144" s="9" t="d">
        <x:v>2011-09-25T00:00:00.000Z</x:v>
      </x:c>
      <x:c r="C6144" s="13" t="n">
        <x:v>0</x:v>
      </x:c>
    </x:row>
    <x:row r="6145" ht="20" customHeight="1">
      <x:c r="A6145" s="1" t="str">
        <x:v>84378</x:v>
      </x:c>
      <x:c r="B6145" s="9" t="d">
        <x:v>2011-09-26T00:00:00.000Z</x:v>
      </x:c>
      <x:c r="C6145" s="13" t="n">
        <x:v>0</x:v>
      </x:c>
    </x:row>
    <x:row r="6146" ht="20" customHeight="1">
      <x:c r="A6146" s="1" t="str">
        <x:v>84378</x:v>
      </x:c>
      <x:c r="B6146" s="9" t="d">
        <x:v>2011-09-27T00:00:00.000Z</x:v>
      </x:c>
      <x:c r="C6146" s="13" t="n">
        <x:v>13</x:v>
      </x:c>
    </x:row>
    <x:row r="6147" ht="20" customHeight="1">
      <x:c r="A6147" s="1" t="str">
        <x:v>84378</x:v>
      </x:c>
      <x:c r="B6147" s="9" t="d">
        <x:v>2011-09-28T00:00:00.000Z</x:v>
      </x:c>
      <x:c r="C6147" s="13" t="n">
        <x:v>1</x:v>
      </x:c>
    </x:row>
    <x:row r="6148" ht="20" customHeight="1">
      <x:c r="A6148" s="1" t="str">
        <x:v>84378</x:v>
      </x:c>
      <x:c r="B6148" s="9" t="d">
        <x:v>2011-09-29T00:00:00.000Z</x:v>
      </x:c>
      <x:c r="C6148" s="13" t="n">
        <x:v>12</x:v>
      </x:c>
    </x:row>
    <x:row r="6149" ht="20" customHeight="1">
      <x:c r="A6149" s="1" t="str">
        <x:v>84378</x:v>
      </x:c>
      <x:c r="B6149" s="9" t="d">
        <x:v>2011-09-30T00:00:00.000Z</x:v>
      </x:c>
      <x:c r="C6149" s="13" t="n">
        <x:v>1</x:v>
      </x:c>
    </x:row>
    <x:row r="6150" ht="20" customHeight="1">
      <x:c r="A6150" s="1" t="str">
        <x:v>84378</x:v>
      </x:c>
      <x:c r="B6150" s="9" t="d">
        <x:v>2011-10-01T00:00:00.000Z</x:v>
      </x:c>
      <x:c r="C6150" s="13" t="n">
        <x:v>0</x:v>
      </x:c>
    </x:row>
    <x:row r="6151" ht="20" customHeight="1">
      <x:c r="A6151" s="1" t="str">
        <x:v>84378</x:v>
      </x:c>
      <x:c r="B6151" s="9" t="d">
        <x:v>2011-10-02T00:00:00.000Z</x:v>
      </x:c>
      <x:c r="C6151" s="13" t="n">
        <x:v>0</x:v>
      </x:c>
    </x:row>
    <x:row r="6152" ht="20" customHeight="1">
      <x:c r="A6152" s="1" t="str">
        <x:v>84378</x:v>
      </x:c>
      <x:c r="B6152" s="9" t="d">
        <x:v>2011-10-03T00:00:00.000Z</x:v>
      </x:c>
      <x:c r="C6152" s="13" t="n">
        <x:v>17</x:v>
      </x:c>
    </x:row>
    <x:row r="6153" ht="20" customHeight="1">
      <x:c r="A6153" s="1" t="str">
        <x:v>84378</x:v>
      </x:c>
      <x:c r="B6153" s="9" t="d">
        <x:v>2011-10-04T00:00:00.000Z</x:v>
      </x:c>
      <x:c r="C6153" s="13" t="n">
        <x:v>16</x:v>
      </x:c>
    </x:row>
    <x:row r="6154" ht="20" customHeight="1">
      <x:c r="A6154" s="1" t="str">
        <x:v>84378</x:v>
      </x:c>
      <x:c r="B6154" s="9" t="d">
        <x:v>2011-10-05T00:00:00.000Z</x:v>
      </x:c>
      <x:c r="C6154" s="13" t="n">
        <x:v>0</x:v>
      </x:c>
    </x:row>
    <x:row r="6155" ht="20" customHeight="1">
      <x:c r="A6155" s="1" t="str">
        <x:v>84378</x:v>
      </x:c>
      <x:c r="B6155" s="9" t="d">
        <x:v>2011-10-06T00:00:00.000Z</x:v>
      </x:c>
      <x:c r="C6155" s="13" t="n">
        <x:v>31</x:v>
      </x:c>
    </x:row>
    <x:row r="6156" ht="20" customHeight="1">
      <x:c r="A6156" s="1" t="str">
        <x:v>84378</x:v>
      </x:c>
      <x:c r="B6156" s="9" t="d">
        <x:v>2011-10-07T00:00:00.000Z</x:v>
      </x:c>
      <x:c r="C6156" s="13" t="n">
        <x:v>1</x:v>
      </x:c>
    </x:row>
    <x:row r="6157" ht="20" customHeight="1">
      <x:c r="A6157" s="1" t="str">
        <x:v>84378</x:v>
      </x:c>
      <x:c r="B6157" s="9" t="d">
        <x:v>2011-10-08T00:00:00.000Z</x:v>
      </x:c>
      <x:c r="C6157" s="13" t="n">
        <x:v>0</x:v>
      </x:c>
    </x:row>
    <x:row r="6158" ht="20" customHeight="1">
      <x:c r="A6158" s="1" t="str">
        <x:v>84378</x:v>
      </x:c>
      <x:c r="B6158" s="9" t="d">
        <x:v>2011-10-09T00:00:00.000Z</x:v>
      </x:c>
      <x:c r="C6158" s="13" t="n">
        <x:v>12</x:v>
      </x:c>
    </x:row>
    <x:row r="6159" ht="20" customHeight="1">
      <x:c r="A6159" s="1" t="str">
        <x:v>84378</x:v>
      </x:c>
      <x:c r="B6159" s="9" t="d">
        <x:v>2011-10-10T00:00:00.000Z</x:v>
      </x:c>
      <x:c r="C6159" s="13" t="n">
        <x:v>18</x:v>
      </x:c>
    </x:row>
    <x:row r="6160" ht="20" customHeight="1">
      <x:c r="A6160" s="1" t="str">
        <x:v>84378</x:v>
      </x:c>
      <x:c r="B6160" s="9" t="d">
        <x:v>2011-10-11T00:00:00.000Z</x:v>
      </x:c>
      <x:c r="C6160" s="13" t="n">
        <x:v>12</x:v>
      </x:c>
    </x:row>
    <x:row r="6161" ht="20" customHeight="1">
      <x:c r="A6161" s="1" t="str">
        <x:v>84378</x:v>
      </x:c>
      <x:c r="B6161" s="9" t="d">
        <x:v>2011-10-12T00:00:00.000Z</x:v>
      </x:c>
      <x:c r="C6161" s="13" t="n">
        <x:v>36</x:v>
      </x:c>
    </x:row>
    <x:row r="6162" ht="20" customHeight="1">
      <x:c r="A6162" s="1" t="str">
        <x:v>84378</x:v>
      </x:c>
      <x:c r="B6162" s="9" t="d">
        <x:v>2011-10-13T00:00:00.000Z</x:v>
      </x:c>
      <x:c r="C6162" s="13" t="n">
        <x:v>36</x:v>
      </x:c>
    </x:row>
    <x:row r="6163" ht="20" customHeight="1">
      <x:c r="A6163" s="1" t="str">
        <x:v>84378</x:v>
      </x:c>
      <x:c r="B6163" s="9" t="d">
        <x:v>2011-10-14T00:00:00.000Z</x:v>
      </x:c>
      <x:c r="C6163" s="13" t="n">
        <x:v>14</x:v>
      </x:c>
    </x:row>
    <x:row r="6164" ht="20" customHeight="1">
      <x:c r="A6164" s="1" t="str">
        <x:v>84378</x:v>
      </x:c>
      <x:c r="B6164" s="9" t="d">
        <x:v>2011-10-15T00:00:00.000Z</x:v>
      </x:c>
      <x:c r="C6164" s="13" t="n">
        <x:v>0</x:v>
      </x:c>
    </x:row>
    <x:row r="6165" ht="20" customHeight="1">
      <x:c r="A6165" s="1" t="str">
        <x:v>84378</x:v>
      </x:c>
      <x:c r="B6165" s="9" t="d">
        <x:v>2011-10-16T00:00:00.000Z</x:v>
      </x:c>
      <x:c r="C6165" s="13" t="n">
        <x:v>13</x:v>
      </x:c>
    </x:row>
    <x:row r="6166" ht="20" customHeight="1">
      <x:c r="A6166" s="1" t="str">
        <x:v>84378</x:v>
      </x:c>
      <x:c r="B6166" s="9" t="d">
        <x:v>2011-10-17T00:00:00.000Z</x:v>
      </x:c>
      <x:c r="C6166" s="13" t="n">
        <x:v>1</x:v>
      </x:c>
    </x:row>
    <x:row r="6167" ht="20" customHeight="1">
      <x:c r="A6167" s="1" t="str">
        <x:v>84378</x:v>
      </x:c>
      <x:c r="B6167" s="9" t="d">
        <x:v>2011-10-18T00:00:00.000Z</x:v>
      </x:c>
      <x:c r="C6167" s="13" t="n">
        <x:v>72</x:v>
      </x:c>
    </x:row>
    <x:row r="6168" ht="20" customHeight="1">
      <x:c r="A6168" s="1" t="str">
        <x:v>84378</x:v>
      </x:c>
      <x:c r="B6168" s="9" t="d">
        <x:v>2011-10-19T00:00:00.000Z</x:v>
      </x:c>
      <x:c r="C6168" s="13" t="n">
        <x:v>12</x:v>
      </x:c>
    </x:row>
    <x:row r="6169" ht="20" customHeight="1">
      <x:c r="A6169" s="1" t="str">
        <x:v>84378</x:v>
      </x:c>
      <x:c r="B6169" s="9" t="d">
        <x:v>2011-10-20T00:00:00.000Z</x:v>
      </x:c>
      <x:c r="C6169" s="13" t="n">
        <x:v>74</x:v>
      </x:c>
    </x:row>
    <x:row r="6170" ht="20" customHeight="1">
      <x:c r="A6170" s="1" t="str">
        <x:v>84378</x:v>
      </x:c>
      <x:c r="B6170" s="9" t="d">
        <x:v>2011-10-21T00:00:00.000Z</x:v>
      </x:c>
      <x:c r="C6170" s="13" t="n">
        <x:v>157</x:v>
      </x:c>
    </x:row>
    <x:row r="6171" ht="20" customHeight="1">
      <x:c r="A6171" s="1" t="str">
        <x:v>84378</x:v>
      </x:c>
      <x:c r="B6171" s="9" t="d">
        <x:v>2011-10-22T00:00:00.000Z</x:v>
      </x:c>
      <x:c r="C6171" s="13" t="n">
        <x:v>0</x:v>
      </x:c>
    </x:row>
    <x:row r="6172" ht="20" customHeight="1">
      <x:c r="A6172" s="1" t="str">
        <x:v>84378</x:v>
      </x:c>
      <x:c r="B6172" s="9" t="d">
        <x:v>2011-10-23T00:00:00.000Z</x:v>
      </x:c>
      <x:c r="C6172" s="13" t="n">
        <x:v>4</x:v>
      </x:c>
    </x:row>
    <x:row r="6173" ht="20" customHeight="1">
      <x:c r="A6173" s="1" t="str">
        <x:v>84378</x:v>
      </x:c>
      <x:c r="B6173" s="9" t="d">
        <x:v>2011-10-24T00:00:00.000Z</x:v>
      </x:c>
      <x:c r="C6173" s="13" t="n">
        <x:v>6</x:v>
      </x:c>
    </x:row>
    <x:row r="6174" ht="20" customHeight="1">
      <x:c r="A6174" s="1" t="str">
        <x:v>84378</x:v>
      </x:c>
      <x:c r="B6174" s="9" t="d">
        <x:v>2011-10-25T00:00:00.000Z</x:v>
      </x:c>
      <x:c r="C6174" s="13" t="n">
        <x:v>4</x:v>
      </x:c>
    </x:row>
    <x:row r="6175" ht="20" customHeight="1">
      <x:c r="A6175" s="1" t="str">
        <x:v>84378</x:v>
      </x:c>
      <x:c r="B6175" s="9" t="d">
        <x:v>2011-10-26T00:00:00.000Z</x:v>
      </x:c>
      <x:c r="C6175" s="13" t="n">
        <x:v>16</x:v>
      </x:c>
    </x:row>
    <x:row r="6176" ht="20" customHeight="1">
      <x:c r="A6176" s="1" t="str">
        <x:v>84378</x:v>
      </x:c>
      <x:c r="B6176" s="9" t="d">
        <x:v>2011-10-27T00:00:00.000Z</x:v>
      </x:c>
      <x:c r="C6176" s="13" t="n">
        <x:v>15</x:v>
      </x:c>
    </x:row>
    <x:row r="6177" ht="20" customHeight="1">
      <x:c r="A6177" s="1" t="str">
        <x:v>84378</x:v>
      </x:c>
      <x:c r="B6177" s="9" t="d">
        <x:v>2011-10-28T00:00:00.000Z</x:v>
      </x:c>
      <x:c r="C6177" s="13" t="n">
        <x:v>60</x:v>
      </x:c>
    </x:row>
    <x:row r="6178" ht="20" customHeight="1">
      <x:c r="A6178" s="1" t="str">
        <x:v>84378</x:v>
      </x:c>
      <x:c r="B6178" s="9" t="d">
        <x:v>2011-10-29T00:00:00.000Z</x:v>
      </x:c>
      <x:c r="C6178" s="13" t="n">
        <x:v>0</x:v>
      </x:c>
    </x:row>
    <x:row r="6179" ht="20" customHeight="1">
      <x:c r="A6179" s="1" t="str">
        <x:v>84378</x:v>
      </x:c>
      <x:c r="B6179" s="9" t="d">
        <x:v>2011-10-30T00:00:00.000Z</x:v>
      </x:c>
      <x:c r="C6179" s="13" t="n">
        <x:v>2</x:v>
      </x:c>
    </x:row>
    <x:row r="6180" ht="20" customHeight="1">
      <x:c r="A6180" s="1" t="str">
        <x:v>84378</x:v>
      </x:c>
      <x:c r="B6180" s="9" t="d">
        <x:v>2011-10-31T00:00:00.000Z</x:v>
      </x:c>
      <x:c r="C6180" s="13" t="n">
        <x:v>6</x:v>
      </x:c>
    </x:row>
    <x:row r="6181" ht="20" customHeight="1">
      <x:c r="A6181" s="1" t="str">
        <x:v>84378</x:v>
      </x:c>
      <x:c r="B6181" s="9" t="d">
        <x:v>2011-11-01T00:00:00.000Z</x:v>
      </x:c>
      <x:c r="C6181" s="13" t="n">
        <x:v>0</x:v>
      </x:c>
    </x:row>
    <x:row r="6182" ht="20" customHeight="1">
      <x:c r="A6182" s="1" t="str">
        <x:v>84378</x:v>
      </x:c>
      <x:c r="B6182" s="9" t="d">
        <x:v>2011-11-02T00:00:00.000Z</x:v>
      </x:c>
      <x:c r="C6182" s="13" t="n">
        <x:v>3</x:v>
      </x:c>
    </x:row>
    <x:row r="6183" ht="20" customHeight="1">
      <x:c r="A6183" s="1" t="str">
        <x:v>84378</x:v>
      </x:c>
      <x:c r="B6183" s="9" t="d">
        <x:v>2011-11-03T00:00:00.000Z</x:v>
      </x:c>
      <x:c r="C6183" s="13" t="n">
        <x:v>26</x:v>
      </x:c>
    </x:row>
    <x:row r="6184" ht="20" customHeight="1">
      <x:c r="A6184" s="1" t="str">
        <x:v>84378</x:v>
      </x:c>
      <x:c r="B6184" s="9" t="d">
        <x:v>2011-11-04T00:00:00.000Z</x:v>
      </x:c>
      <x:c r="C6184" s="13" t="n">
        <x:v>19</x:v>
      </x:c>
    </x:row>
    <x:row r="6185" ht="20" customHeight="1">
      <x:c r="A6185" s="1" t="str">
        <x:v>84378</x:v>
      </x:c>
      <x:c r="B6185" s="9" t="d">
        <x:v>2011-11-05T00:00:00.000Z</x:v>
      </x:c>
      <x:c r="C6185" s="13" t="n">
        <x:v>0</x:v>
      </x:c>
    </x:row>
    <x:row r="6186" ht="20" customHeight="1">
      <x:c r="A6186" s="1" t="str">
        <x:v>84378</x:v>
      </x:c>
      <x:c r="B6186" s="9" t="d">
        <x:v>2011-11-06T00:00:00.000Z</x:v>
      </x:c>
      <x:c r="C6186" s="13" t="n">
        <x:v>25</x:v>
      </x:c>
    </x:row>
    <x:row r="6187" ht="20" customHeight="1">
      <x:c r="A6187" s="1" t="str">
        <x:v>84378</x:v>
      </x:c>
      <x:c r="B6187" s="9" t="d">
        <x:v>2011-11-07T00:00:00.000Z</x:v>
      </x:c>
      <x:c r="C6187" s="13" t="n">
        <x:v>2</x:v>
      </x:c>
    </x:row>
    <x:row r="6188" ht="20" customHeight="1">
      <x:c r="A6188" s="1" t="str">
        <x:v>84378</x:v>
      </x:c>
      <x:c r="B6188" s="9" t="d">
        <x:v>2011-11-08T00:00:00.000Z</x:v>
      </x:c>
      <x:c r="C6188" s="13" t="n">
        <x:v>16</x:v>
      </x:c>
    </x:row>
    <x:row r="6189" ht="20" customHeight="1">
      <x:c r="A6189" s="1" t="str">
        <x:v>84378</x:v>
      </x:c>
      <x:c r="B6189" s="9" t="d">
        <x:v>2011-11-09T00:00:00.000Z</x:v>
      </x:c>
      <x:c r="C6189" s="13" t="n">
        <x:v>41</x:v>
      </x:c>
    </x:row>
    <x:row r="6190" ht="20" customHeight="1">
      <x:c r="A6190" s="1" t="str">
        <x:v>84378</x:v>
      </x:c>
      <x:c r="B6190" s="9" t="d">
        <x:v>2011-11-10T00:00:00.000Z</x:v>
      </x:c>
      <x:c r="C6190" s="13" t="n">
        <x:v>13</x:v>
      </x:c>
    </x:row>
    <x:row r="6191" ht="20" customHeight="1">
      <x:c r="A6191" s="1" t="str">
        <x:v>84378</x:v>
      </x:c>
      <x:c r="B6191" s="9" t="d">
        <x:v>2011-11-11T00:00:00.000Z</x:v>
      </x:c>
      <x:c r="C6191" s="13" t="n">
        <x:v>16</x:v>
      </x:c>
    </x:row>
    <x:row r="6192" ht="20" customHeight="1">
      <x:c r="A6192" s="1" t="str">
        <x:v>84378</x:v>
      </x:c>
      <x:c r="B6192" s="9" t="d">
        <x:v>2011-11-12T00:00:00.000Z</x:v>
      </x:c>
      <x:c r="C6192" s="13" t="n">
        <x:v>0</x:v>
      </x:c>
    </x:row>
    <x:row r="6193" ht="20" customHeight="1">
      <x:c r="A6193" s="1" t="str">
        <x:v>84378</x:v>
      </x:c>
      <x:c r="B6193" s="9" t="d">
        <x:v>2011-11-13T00:00:00.000Z</x:v>
      </x:c>
      <x:c r="C6193" s="13" t="n">
        <x:v>26</x:v>
      </x:c>
    </x:row>
    <x:row r="6194" ht="20" customHeight="1">
      <x:c r="A6194" s="1" t="str">
        <x:v>84378</x:v>
      </x:c>
      <x:c r="B6194" s="9" t="d">
        <x:v>2011-11-14T00:00:00.000Z</x:v>
      </x:c>
      <x:c r="C6194" s="13" t="n">
        <x:v>7</x:v>
      </x:c>
    </x:row>
    <x:row r="6195" ht="20" customHeight="1">
      <x:c r="A6195" s="1" t="str">
        <x:v>84378</x:v>
      </x:c>
      <x:c r="B6195" s="9" t="d">
        <x:v>2011-11-15T00:00:00.000Z</x:v>
      </x:c>
      <x:c r="C6195" s="13" t="n">
        <x:v>34</x:v>
      </x:c>
    </x:row>
    <x:row r="6196" ht="20" customHeight="1">
      <x:c r="A6196" s="1" t="str">
        <x:v>84378</x:v>
      </x:c>
      <x:c r="B6196" s="9" t="d">
        <x:v>2011-11-16T00:00:00.000Z</x:v>
      </x:c>
      <x:c r="C6196" s="13" t="n">
        <x:v>20</x:v>
      </x:c>
    </x:row>
    <x:row r="6197" ht="20" customHeight="1">
      <x:c r="A6197" s="1" t="str">
        <x:v>84378</x:v>
      </x:c>
      <x:c r="B6197" s="9" t="d">
        <x:v>2011-11-17T00:00:00.000Z</x:v>
      </x:c>
      <x:c r="C6197" s="13" t="n">
        <x:v>28</x:v>
      </x:c>
    </x:row>
    <x:row r="6198" ht="20" customHeight="1">
      <x:c r="A6198" s="1" t="str">
        <x:v>84378</x:v>
      </x:c>
      <x:c r="B6198" s="9" t="d">
        <x:v>2011-11-18T00:00:00.000Z</x:v>
      </x:c>
      <x:c r="C6198" s="13" t="n">
        <x:v>24</x:v>
      </x:c>
    </x:row>
    <x:row r="6199" ht="20" customHeight="1">
      <x:c r="A6199" s="1" t="str">
        <x:v>84378</x:v>
      </x:c>
      <x:c r="B6199" s="9" t="d">
        <x:v>2011-11-19T00:00:00.000Z</x:v>
      </x:c>
      <x:c r="C6199" s="13" t="n">
        <x:v>0</x:v>
      </x:c>
    </x:row>
    <x:row r="6200" ht="20" customHeight="1">
      <x:c r="A6200" s="1" t="str">
        <x:v>84378</x:v>
      </x:c>
      <x:c r="B6200" s="9" t="d">
        <x:v>2011-11-20T00:00:00.000Z</x:v>
      </x:c>
      <x:c r="C6200" s="13" t="n">
        <x:v>9</x:v>
      </x:c>
    </x:row>
    <x:row r="6201" ht="20" customHeight="1">
      <x:c r="A6201" s="1" t="str">
        <x:v>84378</x:v>
      </x:c>
      <x:c r="B6201" s="9" t="d">
        <x:v>2011-11-21T00:00:00.000Z</x:v>
      </x:c>
      <x:c r="C6201" s="13" t="n">
        <x:v>116</x:v>
      </x:c>
    </x:row>
    <x:row r="6202" ht="20" customHeight="1">
      <x:c r="A6202" s="1" t="str">
        <x:v>84378</x:v>
      </x:c>
      <x:c r="B6202" s="9" t="d">
        <x:v>2011-11-22T00:00:00.000Z</x:v>
      </x:c>
      <x:c r="C6202" s="13" t="n">
        <x:v>88</x:v>
      </x:c>
    </x:row>
    <x:row r="6203" ht="20" customHeight="1">
      <x:c r="A6203" s="1" t="str">
        <x:v>84378</x:v>
      </x:c>
      <x:c r="B6203" s="9" t="d">
        <x:v>2011-11-23T00:00:00.000Z</x:v>
      </x:c>
      <x:c r="C6203" s="13" t="n">
        <x:v>15</x:v>
      </x:c>
    </x:row>
    <x:row r="6204" ht="20" customHeight="1">
      <x:c r="A6204" s="1" t="str">
        <x:v>84378</x:v>
      </x:c>
      <x:c r="B6204" s="9" t="d">
        <x:v>2011-11-24T00:00:00.000Z</x:v>
      </x:c>
      <x:c r="C6204" s="13" t="n">
        <x:v>18</x:v>
      </x:c>
    </x:row>
    <x:row r="6205" ht="20" customHeight="1">
      <x:c r="A6205" s="1" t="str">
        <x:v>84378</x:v>
      </x:c>
      <x:c r="B6205" s="9" t="d">
        <x:v>2011-11-25T00:00:00.000Z</x:v>
      </x:c>
      <x:c r="C6205" s="13" t="n">
        <x:v>4</x:v>
      </x:c>
    </x:row>
    <x:row r="6206" ht="20" customHeight="1">
      <x:c r="A6206" s="1" t="str">
        <x:v>84378</x:v>
      </x:c>
      <x:c r="B6206" s="9" t="d">
        <x:v>2011-11-26T00:00:00.000Z</x:v>
      </x:c>
      <x:c r="C6206" s="13" t="n">
        <x:v>0</x:v>
      </x:c>
    </x:row>
    <x:row r="6207" ht="20" customHeight="1">
      <x:c r="A6207" s="1" t="str">
        <x:v>84378</x:v>
      </x:c>
      <x:c r="B6207" s="9" t="d">
        <x:v>2011-11-27T00:00:00.000Z</x:v>
      </x:c>
      <x:c r="C6207" s="13" t="n">
        <x:v>2</x:v>
      </x:c>
    </x:row>
    <x:row r="6208" ht="20" customHeight="1">
      <x:c r="A6208" s="1" t="str">
        <x:v>84378</x:v>
      </x:c>
      <x:c r="B6208" s="9" t="d">
        <x:v>2011-11-28T00:00:00.000Z</x:v>
      </x:c>
      <x:c r="C6208" s="13" t="n">
        <x:v>37</x:v>
      </x:c>
    </x:row>
    <x:row r="6209" ht="20" customHeight="1">
      <x:c r="A6209" s="1" t="str">
        <x:v>84378</x:v>
      </x:c>
      <x:c r="B6209" s="9" t="d">
        <x:v>2011-11-29T00:00:00.000Z</x:v>
      </x:c>
      <x:c r="C6209" s="13" t="n">
        <x:v>784</x:v>
      </x:c>
    </x:row>
    <x:row r="6210" ht="20" customHeight="1">
      <x:c r="A6210" s="1" t="str">
        <x:v>84378</x:v>
      </x:c>
      <x:c r="B6210" s="9" t="d">
        <x:v>2011-11-30T00:00:00.000Z</x:v>
      </x:c>
      <x:c r="C6210" s="13" t="n">
        <x:v>17</x:v>
      </x:c>
    </x:row>
    <x:row r="6211" ht="20" customHeight="1">
      <x:c r="A6211" s="1" t="str">
        <x:v>84879</x:v>
      </x:c>
      <x:c r="B6211" s="9" t="d">
        <x:v>2010-12-01T00:00:00.000Z</x:v>
      </x:c>
      <x:c r="C6211" s="13" t="n">
        <x:v>224</x:v>
      </x:c>
    </x:row>
    <x:row r="6212" ht="20" customHeight="1">
      <x:c r="A6212" s="1" t="str">
        <x:v>84879</x:v>
      </x:c>
      <x:c r="B6212" s="9" t="d">
        <x:v>2010-12-02T00:00:00.000Z</x:v>
      </x:c>
      <x:c r="C6212" s="13" t="n">
        <x:v>503</x:v>
      </x:c>
    </x:row>
    <x:row r="6213" ht="20" customHeight="1">
      <x:c r="A6213" s="1" t="str">
        <x:v>84879</x:v>
      </x:c>
      <x:c r="B6213" s="9" t="d">
        <x:v>2010-12-03T00:00:00.000Z</x:v>
      </x:c>
      <x:c r="C6213" s="13" t="n">
        <x:v>48</x:v>
      </x:c>
    </x:row>
    <x:row r="6214" ht="20" customHeight="1">
      <x:c r="A6214" s="1" t="str">
        <x:v>84879</x:v>
      </x:c>
      <x:c r="B6214" s="9" t="d">
        <x:v>2010-12-04T00:00:00.000Z</x:v>
      </x:c>
      <x:c r="C6214" s="13" t="n">
        <x:v>0</x:v>
      </x:c>
    </x:row>
    <x:row r="6215" ht="20" customHeight="1">
      <x:c r="A6215" s="1" t="str">
        <x:v>84879</x:v>
      </x:c>
      <x:c r="B6215" s="9" t="d">
        <x:v>2010-12-05T00:00:00.000Z</x:v>
      </x:c>
      <x:c r="C6215" s="13" t="n">
        <x:v>129</x:v>
      </x:c>
    </x:row>
    <x:row r="6216" ht="20" customHeight="1">
      <x:c r="A6216" s="1" t="str">
        <x:v>84879</x:v>
      </x:c>
      <x:c r="B6216" s="9" t="d">
        <x:v>2010-12-06T00:00:00.000Z</x:v>
      </x:c>
      <x:c r="C6216" s="13" t="n">
        <x:v>130</x:v>
      </x:c>
    </x:row>
    <x:row r="6217" ht="20" customHeight="1">
      <x:c r="A6217" s="1" t="str">
        <x:v>84879</x:v>
      </x:c>
      <x:c r="B6217" s="9" t="d">
        <x:v>2010-12-07T00:00:00.000Z</x:v>
      </x:c>
      <x:c r="C6217" s="13" t="n">
        <x:v>271</x:v>
      </x:c>
    </x:row>
    <x:row r="6218" ht="20" customHeight="1">
      <x:c r="A6218" s="1" t="str">
        <x:v>84879</x:v>
      </x:c>
      <x:c r="B6218" s="9" t="d">
        <x:v>2010-12-08T00:00:00.000Z</x:v>
      </x:c>
      <x:c r="C6218" s="13" t="n">
        <x:v>83</x:v>
      </x:c>
    </x:row>
    <x:row r="6219" ht="20" customHeight="1">
      <x:c r="A6219" s="1" t="str">
        <x:v>84879</x:v>
      </x:c>
      <x:c r="B6219" s="9" t="d">
        <x:v>2010-12-09T00:00:00.000Z</x:v>
      </x:c>
      <x:c r="C6219" s="13" t="n">
        <x:v>120</x:v>
      </x:c>
    </x:row>
    <x:row r="6220" ht="20" customHeight="1">
      <x:c r="A6220" s="1" t="str">
        <x:v>84879</x:v>
      </x:c>
      <x:c r="B6220" s="9" t="d">
        <x:v>2010-12-10T00:00:00.000Z</x:v>
      </x:c>
      <x:c r="C6220" s="13" t="n">
        <x:v>152</x:v>
      </x:c>
    </x:row>
    <x:row r="6221" ht="20" customHeight="1">
      <x:c r="A6221" s="1" t="str">
        <x:v>84879</x:v>
      </x:c>
      <x:c r="B6221" s="9" t="d">
        <x:v>2010-12-11T00:00:00.000Z</x:v>
      </x:c>
      <x:c r="C6221" s="13" t="n">
        <x:v>0</x:v>
      </x:c>
    </x:row>
    <x:row r="6222" ht="20" customHeight="1">
      <x:c r="A6222" s="1" t="str">
        <x:v>84879</x:v>
      </x:c>
      <x:c r="B6222" s="9" t="d">
        <x:v>2010-12-12T00:00:00.000Z</x:v>
      </x:c>
      <x:c r="C6222" s="13" t="n">
        <x:v>25</x:v>
      </x:c>
    </x:row>
    <x:row r="6223" ht="20" customHeight="1">
      <x:c r="A6223" s="1" t="str">
        <x:v>84879</x:v>
      </x:c>
      <x:c r="B6223" s="9" t="d">
        <x:v>2010-12-13T00:00:00.000Z</x:v>
      </x:c>
      <x:c r="C6223" s="13" t="n">
        <x:v>82</x:v>
      </x:c>
    </x:row>
    <x:row r="6224" ht="20" customHeight="1">
      <x:c r="A6224" s="1" t="str">
        <x:v>84879</x:v>
      </x:c>
      <x:c r="B6224" s="9" t="d">
        <x:v>2010-12-14T00:00:00.000Z</x:v>
      </x:c>
      <x:c r="C6224" s="13" t="n">
        <x:v>228</x:v>
      </x:c>
    </x:row>
    <x:row r="6225" ht="20" customHeight="1">
      <x:c r="A6225" s="1" t="str">
        <x:v>84879</x:v>
      </x:c>
      <x:c r="B6225" s="9" t="d">
        <x:v>2010-12-15T00:00:00.000Z</x:v>
      </x:c>
      <x:c r="C6225" s="13" t="n">
        <x:v>120</x:v>
      </x:c>
    </x:row>
    <x:row r="6226" ht="20" customHeight="1">
      <x:c r="A6226" s="1" t="str">
        <x:v>84879</x:v>
      </x:c>
      <x:c r="B6226" s="9" t="d">
        <x:v>2010-12-16T00:00:00.000Z</x:v>
      </x:c>
      <x:c r="C6226" s="13" t="n">
        <x:v>160</x:v>
      </x:c>
    </x:row>
    <x:row r="6227" ht="20" customHeight="1">
      <x:c r="A6227" s="1" t="str">
        <x:v>84879</x:v>
      </x:c>
      <x:c r="B6227" s="9" t="d">
        <x:v>2010-12-17T00:00:00.000Z</x:v>
      </x:c>
      <x:c r="C6227" s="13" t="n">
        <x:v>40</x:v>
      </x:c>
    </x:row>
    <x:row r="6228" ht="20" customHeight="1">
      <x:c r="A6228" s="1" t="str">
        <x:v>84879</x:v>
      </x:c>
      <x:c r="B6228" s="9" t="d">
        <x:v>2010-12-18T00:00:00.000Z</x:v>
      </x:c>
      <x:c r="C6228" s="13" t="n">
        <x:v>0</x:v>
      </x:c>
    </x:row>
    <x:row r="6229" ht="20" customHeight="1">
      <x:c r="A6229" s="1" t="str">
        <x:v>84879</x:v>
      </x:c>
      <x:c r="B6229" s="9" t="d">
        <x:v>2010-12-19T00:00:00.000Z</x:v>
      </x:c>
      <x:c r="C6229" s="13" t="n">
        <x:v>8</x:v>
      </x:c>
    </x:row>
    <x:row r="6230" ht="20" customHeight="1">
      <x:c r="A6230" s="1" t="str">
        <x:v>84879</x:v>
      </x:c>
      <x:c r="B6230" s="9" t="d">
        <x:v>2010-12-20T00:00:00.000Z</x:v>
      </x:c>
      <x:c r="C6230" s="13" t="n">
        <x:v>0</x:v>
      </x:c>
    </x:row>
    <x:row r="6231" ht="20" customHeight="1">
      <x:c r="A6231" s="1" t="str">
        <x:v>84879</x:v>
      </x:c>
      <x:c r="B6231" s="9" t="d">
        <x:v>2010-12-21T00:00:00.000Z</x:v>
      </x:c>
      <x:c r="C6231" s="13" t="n">
        <x:v>24</x:v>
      </x:c>
    </x:row>
    <x:row r="6232" ht="20" customHeight="1">
      <x:c r="A6232" s="1" t="str">
        <x:v>84879</x:v>
      </x:c>
      <x:c r="B6232" s="9" t="d">
        <x:v>2010-12-22T00:00:00.000Z</x:v>
      </x:c>
      <x:c r="C6232" s="13" t="n">
        <x:v>0</x:v>
      </x:c>
    </x:row>
    <x:row r="6233" ht="20" customHeight="1">
      <x:c r="A6233" s="1" t="str">
        <x:v>84879</x:v>
      </x:c>
      <x:c r="B6233" s="9" t="d">
        <x:v>2010-12-23T00:00:00.000Z</x:v>
      </x:c>
      <x:c r="C6233" s="13" t="n">
        <x:v>16</x:v>
      </x:c>
    </x:row>
    <x:row r="6234" ht="20" customHeight="1">
      <x:c r="A6234" s="1" t="str">
        <x:v>84879</x:v>
      </x:c>
      <x:c r="B6234" s="9" t="d">
        <x:v>2010-12-24T00:00:00.000Z</x:v>
      </x:c>
      <x:c r="C6234" s="13" t="n">
        <x:v>0</x:v>
      </x:c>
    </x:row>
    <x:row r="6235" ht="20" customHeight="1">
      <x:c r="A6235" s="1" t="str">
        <x:v>84879</x:v>
      </x:c>
      <x:c r="B6235" s="9" t="d">
        <x:v>2010-12-25T00:00:00.000Z</x:v>
      </x:c>
      <x:c r="C6235" s="13" t="n">
        <x:v>0</x:v>
      </x:c>
    </x:row>
    <x:row r="6236" ht="20" customHeight="1">
      <x:c r="A6236" s="1" t="str">
        <x:v>84879</x:v>
      </x:c>
      <x:c r="B6236" s="9" t="d">
        <x:v>2010-12-26T00:00:00.000Z</x:v>
      </x:c>
      <x:c r="C6236" s="13" t="n">
        <x:v>0</x:v>
      </x:c>
    </x:row>
    <x:row r="6237" ht="20" customHeight="1">
      <x:c r="A6237" s="1" t="str">
        <x:v>84879</x:v>
      </x:c>
      <x:c r="B6237" s="9" t="d">
        <x:v>2010-12-27T00:00:00.000Z</x:v>
      </x:c>
      <x:c r="C6237" s="13" t="n">
        <x:v>0</x:v>
      </x:c>
    </x:row>
    <x:row r="6238" ht="20" customHeight="1">
      <x:c r="A6238" s="1" t="str">
        <x:v>84879</x:v>
      </x:c>
      <x:c r="B6238" s="9" t="d">
        <x:v>2010-12-28T00:00:00.000Z</x:v>
      </x:c>
      <x:c r="C6238" s="13" t="n">
        <x:v>0</x:v>
      </x:c>
    </x:row>
    <x:row r="6239" ht="20" customHeight="1">
      <x:c r="A6239" s="1" t="str">
        <x:v>84879</x:v>
      </x:c>
      <x:c r="B6239" s="9" t="d">
        <x:v>2010-12-29T00:00:00.000Z</x:v>
      </x:c>
      <x:c r="C6239" s="13" t="n">
        <x:v>0</x:v>
      </x:c>
    </x:row>
    <x:row r="6240" ht="20" customHeight="1">
      <x:c r="A6240" s="1" t="str">
        <x:v>84879</x:v>
      </x:c>
      <x:c r="B6240" s="9" t="d">
        <x:v>2010-12-30T00:00:00.000Z</x:v>
      </x:c>
      <x:c r="C6240" s="13" t="n">
        <x:v>0</x:v>
      </x:c>
    </x:row>
    <x:row r="6241" ht="20" customHeight="1">
      <x:c r="A6241" s="1" t="str">
        <x:v>84879</x:v>
      </x:c>
      <x:c r="B6241" s="9" t="d">
        <x:v>2010-12-31T00:00:00.000Z</x:v>
      </x:c>
      <x:c r="C6241" s="13" t="n">
        <x:v>0</x:v>
      </x:c>
    </x:row>
    <x:row r="6242" ht="20" customHeight="1">
      <x:c r="A6242" s="1" t="str">
        <x:v>84879</x:v>
      </x:c>
      <x:c r="B6242" s="9" t="d">
        <x:v>2011-01-01T00:00:00.000Z</x:v>
      </x:c>
      <x:c r="C6242" s="13" t="n">
        <x:v>0</x:v>
      </x:c>
    </x:row>
    <x:row r="6243" ht="20" customHeight="1">
      <x:c r="A6243" s="1" t="str">
        <x:v>84879</x:v>
      </x:c>
      <x:c r="B6243" s="9" t="d">
        <x:v>2011-01-02T00:00:00.000Z</x:v>
      </x:c>
      <x:c r="C6243" s="13" t="n">
        <x:v>0</x:v>
      </x:c>
    </x:row>
    <x:row r="6244" ht="20" customHeight="1">
      <x:c r="A6244" s="1" t="str">
        <x:v>84879</x:v>
      </x:c>
      <x:c r="B6244" s="9" t="d">
        <x:v>2011-01-03T00:00:00.000Z</x:v>
      </x:c>
      <x:c r="C6244" s="13" t="n">
        <x:v>0</x:v>
      </x:c>
    </x:row>
    <x:row r="6245" ht="20" customHeight="1">
      <x:c r="A6245" s="1" t="str">
        <x:v>84879</x:v>
      </x:c>
      <x:c r="B6245" s="9" t="d">
        <x:v>2011-01-04T00:00:00.000Z</x:v>
      </x:c>
      <x:c r="C6245" s="13" t="n">
        <x:v>72</x:v>
      </x:c>
    </x:row>
    <x:row r="6246" ht="20" customHeight="1">
      <x:c r="A6246" s="1" t="str">
        <x:v>84879</x:v>
      </x:c>
      <x:c r="B6246" s="9" t="d">
        <x:v>2011-01-05T00:00:00.000Z</x:v>
      </x:c>
      <x:c r="C6246" s="13" t="n">
        <x:v>232</x:v>
      </x:c>
    </x:row>
    <x:row r="6247" ht="20" customHeight="1">
      <x:c r="A6247" s="1" t="str">
        <x:v>84879</x:v>
      </x:c>
      <x:c r="B6247" s="9" t="d">
        <x:v>2011-01-06T00:00:00.000Z</x:v>
      </x:c>
      <x:c r="C6247" s="13" t="n">
        <x:v>88</x:v>
      </x:c>
    </x:row>
    <x:row r="6248" ht="20" customHeight="1">
      <x:c r="A6248" s="1" t="str">
        <x:v>84879</x:v>
      </x:c>
      <x:c r="B6248" s="9" t="d">
        <x:v>2011-01-07T00:00:00.000Z</x:v>
      </x:c>
      <x:c r="C6248" s="13" t="n">
        <x:v>24</x:v>
      </x:c>
    </x:row>
    <x:row r="6249" ht="20" customHeight="1">
      <x:c r="A6249" s="1" t="str">
        <x:v>84879</x:v>
      </x:c>
      <x:c r="B6249" s="9" t="d">
        <x:v>2011-01-08T00:00:00.000Z</x:v>
      </x:c>
      <x:c r="C6249" s="13" t="n">
        <x:v>0</x:v>
      </x:c>
    </x:row>
    <x:row r="6250" ht="20" customHeight="1">
      <x:c r="A6250" s="1" t="str">
        <x:v>84879</x:v>
      </x:c>
      <x:c r="B6250" s="9" t="d">
        <x:v>2011-01-09T00:00:00.000Z</x:v>
      </x:c>
      <x:c r="C6250" s="13" t="n">
        <x:v>56</x:v>
      </x:c>
    </x:row>
    <x:row r="6251" ht="20" customHeight="1">
      <x:c r="A6251" s="1" t="str">
        <x:v>84879</x:v>
      </x:c>
      <x:c r="B6251" s="9" t="d">
        <x:v>2011-01-10T00:00:00.000Z</x:v>
      </x:c>
      <x:c r="C6251" s="13" t="n">
        <x:v>88</x:v>
      </x:c>
    </x:row>
    <x:row r="6252" ht="20" customHeight="1">
      <x:c r="A6252" s="1" t="str">
        <x:v>84879</x:v>
      </x:c>
      <x:c r="B6252" s="9" t="d">
        <x:v>2011-01-11T00:00:00.000Z</x:v>
      </x:c>
      <x:c r="C6252" s="13" t="n">
        <x:v>256</x:v>
      </x:c>
    </x:row>
    <x:row r="6253" ht="20" customHeight="1">
      <x:c r="A6253" s="1" t="str">
        <x:v>84879</x:v>
      </x:c>
      <x:c r="B6253" s="9" t="d">
        <x:v>2011-01-12T00:00:00.000Z</x:v>
      </x:c>
      <x:c r="C6253" s="13" t="n">
        <x:v>32</x:v>
      </x:c>
    </x:row>
    <x:row r="6254" ht="20" customHeight="1">
      <x:c r="A6254" s="1" t="str">
        <x:v>84879</x:v>
      </x:c>
      <x:c r="B6254" s="9" t="d">
        <x:v>2011-01-13T00:00:00.000Z</x:v>
      </x:c>
      <x:c r="C6254" s="13" t="n">
        <x:v>38</x:v>
      </x:c>
    </x:row>
    <x:row r="6255" ht="20" customHeight="1">
      <x:c r="A6255" s="1" t="str">
        <x:v>84879</x:v>
      </x:c>
      <x:c r="B6255" s="9" t="d">
        <x:v>2011-01-14T00:00:00.000Z</x:v>
      </x:c>
      <x:c r="C6255" s="13" t="n">
        <x:v>16</x:v>
      </x:c>
    </x:row>
    <x:row r="6256" ht="20" customHeight="1">
      <x:c r="A6256" s="1" t="str">
        <x:v>84879</x:v>
      </x:c>
      <x:c r="B6256" s="9" t="d">
        <x:v>2011-01-15T00:00:00.000Z</x:v>
      </x:c>
      <x:c r="C6256" s="13" t="n">
        <x:v>0</x:v>
      </x:c>
    </x:row>
    <x:row r="6257" ht="20" customHeight="1">
      <x:c r="A6257" s="1" t="str">
        <x:v>84879</x:v>
      </x:c>
      <x:c r="B6257" s="9" t="d">
        <x:v>2011-01-16T00:00:00.000Z</x:v>
      </x:c>
      <x:c r="C6257" s="13" t="n">
        <x:v>4</x:v>
      </x:c>
    </x:row>
    <x:row r="6258" ht="20" customHeight="1">
      <x:c r="A6258" s="1" t="str">
        <x:v>84879</x:v>
      </x:c>
      <x:c r="B6258" s="9" t="d">
        <x:v>2011-01-17T00:00:00.000Z</x:v>
      </x:c>
      <x:c r="C6258" s="13" t="n">
        <x:v>33</x:v>
      </x:c>
    </x:row>
    <x:row r="6259" ht="20" customHeight="1">
      <x:c r="A6259" s="1" t="str">
        <x:v>84879</x:v>
      </x:c>
      <x:c r="B6259" s="9" t="d">
        <x:v>2011-01-18T00:00:00.000Z</x:v>
      </x:c>
      <x:c r="C6259" s="13" t="n">
        <x:v>16</x:v>
      </x:c>
    </x:row>
    <x:row r="6260" ht="20" customHeight="1">
      <x:c r="A6260" s="1" t="str">
        <x:v>84879</x:v>
      </x:c>
      <x:c r="B6260" s="9" t="d">
        <x:v>2011-01-19T00:00:00.000Z</x:v>
      </x:c>
      <x:c r="C6260" s="13" t="n">
        <x:v>8</x:v>
      </x:c>
    </x:row>
    <x:row r="6261" ht="20" customHeight="1">
      <x:c r="A6261" s="1" t="str">
        <x:v>84879</x:v>
      </x:c>
      <x:c r="B6261" s="9" t="d">
        <x:v>2011-01-20T00:00:00.000Z</x:v>
      </x:c>
      <x:c r="C6261" s="13" t="n">
        <x:v>24</x:v>
      </x:c>
    </x:row>
    <x:row r="6262" ht="20" customHeight="1">
      <x:c r="A6262" s="1" t="str">
        <x:v>84879</x:v>
      </x:c>
      <x:c r="B6262" s="9" t="d">
        <x:v>2011-01-21T00:00:00.000Z</x:v>
      </x:c>
      <x:c r="C6262" s="13" t="n">
        <x:v>24</x:v>
      </x:c>
    </x:row>
    <x:row r="6263" ht="20" customHeight="1">
      <x:c r="A6263" s="1" t="str">
        <x:v>84879</x:v>
      </x:c>
      <x:c r="B6263" s="9" t="d">
        <x:v>2011-01-22T00:00:00.000Z</x:v>
      </x:c>
      <x:c r="C6263" s="13" t="n">
        <x:v>0</x:v>
      </x:c>
    </x:row>
    <x:row r="6264" ht="20" customHeight="1">
      <x:c r="A6264" s="1" t="str">
        <x:v>84879</x:v>
      </x:c>
      <x:c r="B6264" s="9" t="d">
        <x:v>2011-01-23T00:00:00.000Z</x:v>
      </x:c>
      <x:c r="C6264" s="13" t="n">
        <x:v>34</x:v>
      </x:c>
    </x:row>
    <x:row r="6265" ht="20" customHeight="1">
      <x:c r="A6265" s="1" t="str">
        <x:v>84879</x:v>
      </x:c>
      <x:c r="B6265" s="9" t="d">
        <x:v>2011-01-24T00:00:00.000Z</x:v>
      </x:c>
      <x:c r="C6265" s="13" t="n">
        <x:v>208</x:v>
      </x:c>
    </x:row>
    <x:row r="6266" ht="20" customHeight="1">
      <x:c r="A6266" s="1" t="str">
        <x:v>84879</x:v>
      </x:c>
      <x:c r="B6266" s="9" t="d">
        <x:v>2011-01-25T00:00:00.000Z</x:v>
      </x:c>
      <x:c r="C6266" s="13" t="n">
        <x:v>32</x:v>
      </x:c>
    </x:row>
    <x:row r="6267" ht="20" customHeight="1">
      <x:c r="A6267" s="1" t="str">
        <x:v>84879</x:v>
      </x:c>
      <x:c r="B6267" s="9" t="d">
        <x:v>2011-01-26T00:00:00.000Z</x:v>
      </x:c>
      <x:c r="C6267" s="13" t="n">
        <x:v>16</x:v>
      </x:c>
    </x:row>
    <x:row r="6268" ht="20" customHeight="1">
      <x:c r="A6268" s="1" t="str">
        <x:v>84879</x:v>
      </x:c>
      <x:c r="B6268" s="9" t="d">
        <x:v>2011-01-27T00:00:00.000Z</x:v>
      </x:c>
      <x:c r="C6268" s="13" t="n">
        <x:v>16</x:v>
      </x:c>
    </x:row>
    <x:row r="6269" ht="20" customHeight="1">
      <x:c r="A6269" s="1" t="str">
        <x:v>84879</x:v>
      </x:c>
      <x:c r="B6269" s="9" t="d">
        <x:v>2011-01-28T00:00:00.000Z</x:v>
      </x:c>
      <x:c r="C6269" s="13" t="n">
        <x:v>40</x:v>
      </x:c>
    </x:row>
    <x:row r="6270" ht="20" customHeight="1">
      <x:c r="A6270" s="1" t="str">
        <x:v>84879</x:v>
      </x:c>
      <x:c r="B6270" s="9" t="d">
        <x:v>2011-01-29T00:00:00.000Z</x:v>
      </x:c>
      <x:c r="C6270" s="13" t="n">
        <x:v>0</x:v>
      </x:c>
    </x:row>
    <x:row r="6271" ht="20" customHeight="1">
      <x:c r="A6271" s="1" t="str">
        <x:v>84879</x:v>
      </x:c>
      <x:c r="B6271" s="9" t="d">
        <x:v>2011-01-30T00:00:00.000Z</x:v>
      </x:c>
      <x:c r="C6271" s="13" t="n">
        <x:v>24</x:v>
      </x:c>
    </x:row>
    <x:row r="6272" ht="20" customHeight="1">
      <x:c r="A6272" s="1" t="str">
        <x:v>84879</x:v>
      </x:c>
      <x:c r="B6272" s="9" t="d">
        <x:v>2011-01-31T00:00:00.000Z</x:v>
      </x:c>
      <x:c r="C6272" s="13" t="n">
        <x:v>366</x:v>
      </x:c>
    </x:row>
    <x:row r="6273" ht="20" customHeight="1">
      <x:c r="A6273" s="1" t="str">
        <x:v>84879</x:v>
      </x:c>
      <x:c r="B6273" s="9" t="d">
        <x:v>2011-02-01T00:00:00.000Z</x:v>
      </x:c>
      <x:c r="C6273" s="13" t="n">
        <x:v>304</x:v>
      </x:c>
    </x:row>
    <x:row r="6274" ht="20" customHeight="1">
      <x:c r="A6274" s="1" t="str">
        <x:v>84879</x:v>
      </x:c>
      <x:c r="B6274" s="9" t="d">
        <x:v>2011-02-02T00:00:00.000Z</x:v>
      </x:c>
      <x:c r="C6274" s="13" t="n">
        <x:v>224</x:v>
      </x:c>
    </x:row>
    <x:row r="6275" ht="20" customHeight="1">
      <x:c r="A6275" s="1" t="str">
        <x:v>84879</x:v>
      </x:c>
      <x:c r="B6275" s="9" t="d">
        <x:v>2011-02-03T00:00:00.000Z</x:v>
      </x:c>
      <x:c r="C6275" s="13" t="n">
        <x:v>24</x:v>
      </x:c>
    </x:row>
    <x:row r="6276" ht="20" customHeight="1">
      <x:c r="A6276" s="1" t="str">
        <x:v>84879</x:v>
      </x:c>
      <x:c r="B6276" s="9" t="d">
        <x:v>2011-02-04T00:00:00.000Z</x:v>
      </x:c>
      <x:c r="C6276" s="13" t="n">
        <x:v>8</x:v>
      </x:c>
    </x:row>
    <x:row r="6277" ht="20" customHeight="1">
      <x:c r="A6277" s="1" t="str">
        <x:v>84879</x:v>
      </x:c>
      <x:c r="B6277" s="9" t="d">
        <x:v>2011-02-05T00:00:00.000Z</x:v>
      </x:c>
      <x:c r="C6277" s="13" t="n">
        <x:v>0</x:v>
      </x:c>
    </x:row>
    <x:row r="6278" ht="20" customHeight="1">
      <x:c r="A6278" s="1" t="str">
        <x:v>84879</x:v>
      </x:c>
      <x:c r="B6278" s="9" t="d">
        <x:v>2011-02-06T00:00:00.000Z</x:v>
      </x:c>
      <x:c r="C6278" s="13" t="n">
        <x:v>11</x:v>
      </x:c>
    </x:row>
    <x:row r="6279" ht="20" customHeight="1">
      <x:c r="A6279" s="1" t="str">
        <x:v>84879</x:v>
      </x:c>
      <x:c r="B6279" s="9" t="d">
        <x:v>2011-02-07T00:00:00.000Z</x:v>
      </x:c>
      <x:c r="C6279" s="13" t="n">
        <x:v>8</x:v>
      </x:c>
    </x:row>
    <x:row r="6280" ht="20" customHeight="1">
      <x:c r="A6280" s="1" t="str">
        <x:v>84879</x:v>
      </x:c>
      <x:c r="B6280" s="9" t="d">
        <x:v>2011-02-08T00:00:00.000Z</x:v>
      </x:c>
      <x:c r="C6280" s="13" t="n">
        <x:v>8</x:v>
      </x:c>
    </x:row>
    <x:row r="6281" ht="20" customHeight="1">
      <x:c r="A6281" s="1" t="str">
        <x:v>84879</x:v>
      </x:c>
      <x:c r="B6281" s="9" t="d">
        <x:v>2011-02-09T00:00:00.000Z</x:v>
      </x:c>
      <x:c r="C6281" s="13" t="n">
        <x:v>16</x:v>
      </x:c>
    </x:row>
    <x:row r="6282" ht="20" customHeight="1">
      <x:c r="A6282" s="1" t="str">
        <x:v>84879</x:v>
      </x:c>
      <x:c r="B6282" s="9" t="d">
        <x:v>2011-02-10T00:00:00.000Z</x:v>
      </x:c>
      <x:c r="C6282" s="13" t="n">
        <x:v>72</x:v>
      </x:c>
    </x:row>
    <x:row r="6283" ht="20" customHeight="1">
      <x:c r="A6283" s="1" t="str">
        <x:v>84879</x:v>
      </x:c>
      <x:c r="B6283" s="9" t="d">
        <x:v>2011-02-11T00:00:00.000Z</x:v>
      </x:c>
      <x:c r="C6283" s="13" t="n">
        <x:v>32</x:v>
      </x:c>
    </x:row>
    <x:row r="6284" ht="20" customHeight="1">
      <x:c r="A6284" s="1" t="str">
        <x:v>84879</x:v>
      </x:c>
      <x:c r="B6284" s="9" t="d">
        <x:v>2011-02-12T00:00:00.000Z</x:v>
      </x:c>
      <x:c r="C6284" s="13" t="n">
        <x:v>0</x:v>
      </x:c>
    </x:row>
    <x:row r="6285" ht="20" customHeight="1">
      <x:c r="A6285" s="1" t="str">
        <x:v>84879</x:v>
      </x:c>
      <x:c r="B6285" s="9" t="d">
        <x:v>2011-02-13T00:00:00.000Z</x:v>
      </x:c>
      <x:c r="C6285" s="13" t="n">
        <x:v>24</x:v>
      </x:c>
    </x:row>
    <x:row r="6286" ht="20" customHeight="1">
      <x:c r="A6286" s="1" t="str">
        <x:v>84879</x:v>
      </x:c>
      <x:c r="B6286" s="9" t="d">
        <x:v>2011-02-14T00:00:00.000Z</x:v>
      </x:c>
      <x:c r="C6286" s="13" t="n">
        <x:v>236</x:v>
      </x:c>
    </x:row>
    <x:row r="6287" ht="20" customHeight="1">
      <x:c r="A6287" s="1" t="str">
        <x:v>84879</x:v>
      </x:c>
      <x:c r="B6287" s="9" t="d">
        <x:v>2011-02-15T00:00:00.000Z</x:v>
      </x:c>
      <x:c r="C6287" s="13" t="n">
        <x:v>84</x:v>
      </x:c>
    </x:row>
    <x:row r="6288" ht="20" customHeight="1">
      <x:c r="A6288" s="1" t="str">
        <x:v>84879</x:v>
      </x:c>
      <x:c r="B6288" s="9" t="d">
        <x:v>2011-02-16T00:00:00.000Z</x:v>
      </x:c>
      <x:c r="C6288" s="13" t="n">
        <x:v>156</x:v>
      </x:c>
    </x:row>
    <x:row r="6289" ht="20" customHeight="1">
      <x:c r="A6289" s="1" t="str">
        <x:v>84879</x:v>
      </x:c>
      <x:c r="B6289" s="9" t="d">
        <x:v>2011-02-17T00:00:00.000Z</x:v>
      </x:c>
      <x:c r="C6289" s="13" t="n">
        <x:v>24</x:v>
      </x:c>
    </x:row>
    <x:row r="6290" ht="20" customHeight="1">
      <x:c r="A6290" s="1" t="str">
        <x:v>84879</x:v>
      </x:c>
      <x:c r="B6290" s="9" t="d">
        <x:v>2011-02-18T00:00:00.000Z</x:v>
      </x:c>
      <x:c r="C6290" s="13" t="n">
        <x:v>80</x:v>
      </x:c>
    </x:row>
    <x:row r="6291" ht="20" customHeight="1">
      <x:c r="A6291" s="1" t="str">
        <x:v>84879</x:v>
      </x:c>
      <x:c r="B6291" s="9" t="d">
        <x:v>2011-02-19T00:00:00.000Z</x:v>
      </x:c>
      <x:c r="C6291" s="13" t="n">
        <x:v>0</x:v>
      </x:c>
    </x:row>
    <x:row r="6292" ht="20" customHeight="1">
      <x:c r="A6292" s="1" t="str">
        <x:v>84879</x:v>
      </x:c>
      <x:c r="B6292" s="9" t="d">
        <x:v>2011-02-20T00:00:00.000Z</x:v>
      </x:c>
      <x:c r="C6292" s="13" t="n">
        <x:v>8</x:v>
      </x:c>
    </x:row>
    <x:row r="6293" ht="20" customHeight="1">
      <x:c r="A6293" s="1" t="str">
        <x:v>84879</x:v>
      </x:c>
      <x:c r="B6293" s="9" t="d">
        <x:v>2011-02-21T00:00:00.000Z</x:v>
      </x:c>
      <x:c r="C6293" s="13" t="n">
        <x:v>40</x:v>
      </x:c>
    </x:row>
    <x:row r="6294" ht="20" customHeight="1">
      <x:c r="A6294" s="1" t="str">
        <x:v>84879</x:v>
      </x:c>
      <x:c r="B6294" s="9" t="d">
        <x:v>2011-02-22T00:00:00.000Z</x:v>
      </x:c>
      <x:c r="C6294" s="13" t="n">
        <x:v>40</x:v>
      </x:c>
    </x:row>
    <x:row r="6295" ht="20" customHeight="1">
      <x:c r="A6295" s="1" t="str">
        <x:v>84879</x:v>
      </x:c>
      <x:c r="B6295" s="9" t="d">
        <x:v>2011-02-23T00:00:00.000Z</x:v>
      </x:c>
      <x:c r="C6295" s="13" t="n">
        <x:v>96</x:v>
      </x:c>
    </x:row>
    <x:row r="6296" ht="20" customHeight="1">
      <x:c r="A6296" s="1" t="str">
        <x:v>84879</x:v>
      </x:c>
      <x:c r="B6296" s="9" t="d">
        <x:v>2011-02-24T00:00:00.000Z</x:v>
      </x:c>
      <x:c r="C6296" s="13" t="n">
        <x:v>32</x:v>
      </x:c>
    </x:row>
    <x:row r="6297" ht="20" customHeight="1">
      <x:c r="A6297" s="1" t="str">
        <x:v>84879</x:v>
      </x:c>
      <x:c r="B6297" s="9" t="d">
        <x:v>2011-02-25T00:00:00.000Z</x:v>
      </x:c>
      <x:c r="C6297" s="13" t="n">
        <x:v>24</x:v>
      </x:c>
    </x:row>
    <x:row r="6298" ht="20" customHeight="1">
      <x:c r="A6298" s="1" t="str">
        <x:v>84879</x:v>
      </x:c>
      <x:c r="B6298" s="9" t="d">
        <x:v>2011-02-26T00:00:00.000Z</x:v>
      </x:c>
      <x:c r="C6298" s="13" t="n">
        <x:v>0</x:v>
      </x:c>
    </x:row>
    <x:row r="6299" ht="20" customHeight="1">
      <x:c r="A6299" s="1" t="str">
        <x:v>84879</x:v>
      </x:c>
      <x:c r="B6299" s="9" t="d">
        <x:v>2011-02-27T00:00:00.000Z</x:v>
      </x:c>
      <x:c r="C6299" s="13" t="n">
        <x:v>96</x:v>
      </x:c>
    </x:row>
    <x:row r="6300" ht="20" customHeight="1">
      <x:c r="A6300" s="1" t="str">
        <x:v>84879</x:v>
      </x:c>
      <x:c r="B6300" s="9" t="d">
        <x:v>2011-02-28T00:00:00.000Z</x:v>
      </x:c>
      <x:c r="C6300" s="13" t="n">
        <x:v>20</x:v>
      </x:c>
    </x:row>
    <x:row r="6301" ht="20" customHeight="1">
      <x:c r="A6301" s="1" t="str">
        <x:v>84879</x:v>
      </x:c>
      <x:c r="B6301" s="9" t="d">
        <x:v>2011-03-01T00:00:00.000Z</x:v>
      </x:c>
      <x:c r="C6301" s="13" t="n">
        <x:v>24</x:v>
      </x:c>
    </x:row>
    <x:row r="6302" ht="20" customHeight="1">
      <x:c r="A6302" s="1" t="str">
        <x:v>84879</x:v>
      </x:c>
      <x:c r="B6302" s="9" t="d">
        <x:v>2011-03-02T00:00:00.000Z</x:v>
      </x:c>
      <x:c r="C6302" s="13" t="n">
        <x:v>6</x:v>
      </x:c>
    </x:row>
    <x:row r="6303" ht="20" customHeight="1">
      <x:c r="A6303" s="1" t="str">
        <x:v>84879</x:v>
      </x:c>
      <x:c r="B6303" s="9" t="d">
        <x:v>2011-03-03T00:00:00.000Z</x:v>
      </x:c>
      <x:c r="C6303" s="13" t="n">
        <x:v>48</x:v>
      </x:c>
    </x:row>
    <x:row r="6304" ht="20" customHeight="1">
      <x:c r="A6304" s="1" t="str">
        <x:v>84879</x:v>
      </x:c>
      <x:c r="B6304" s="9" t="d">
        <x:v>2011-03-04T00:00:00.000Z</x:v>
      </x:c>
      <x:c r="C6304" s="13" t="n">
        <x:v>72</x:v>
      </x:c>
    </x:row>
    <x:row r="6305" ht="20" customHeight="1">
      <x:c r="A6305" s="1" t="str">
        <x:v>84879</x:v>
      </x:c>
      <x:c r="B6305" s="9" t="d">
        <x:v>2011-03-05T00:00:00.000Z</x:v>
      </x:c>
      <x:c r="C6305" s="13" t="n">
        <x:v>0</x:v>
      </x:c>
    </x:row>
    <x:row r="6306" ht="20" customHeight="1">
      <x:c r="A6306" s="1" t="str">
        <x:v>84879</x:v>
      </x:c>
      <x:c r="B6306" s="9" t="d">
        <x:v>2011-03-06T00:00:00.000Z</x:v>
      </x:c>
      <x:c r="C6306" s="13" t="n">
        <x:v>43</x:v>
      </x:c>
    </x:row>
    <x:row r="6307" ht="20" customHeight="1">
      <x:c r="A6307" s="1" t="str">
        <x:v>84879</x:v>
      </x:c>
      <x:c r="B6307" s="9" t="d">
        <x:v>2011-03-07T00:00:00.000Z</x:v>
      </x:c>
      <x:c r="C6307" s="13" t="n">
        <x:v>200</x:v>
      </x:c>
    </x:row>
    <x:row r="6308" ht="20" customHeight="1">
      <x:c r="A6308" s="1" t="str">
        <x:v>84879</x:v>
      </x:c>
      <x:c r="B6308" s="9" t="d">
        <x:v>2011-03-08T00:00:00.000Z</x:v>
      </x:c>
      <x:c r="C6308" s="13" t="n">
        <x:v>80</x:v>
      </x:c>
    </x:row>
    <x:row r="6309" ht="20" customHeight="1">
      <x:c r="A6309" s="1" t="str">
        <x:v>84879</x:v>
      </x:c>
      <x:c r="B6309" s="9" t="d">
        <x:v>2011-03-09T00:00:00.000Z</x:v>
      </x:c>
      <x:c r="C6309" s="13" t="n">
        <x:v>40</x:v>
      </x:c>
    </x:row>
    <x:row r="6310" ht="20" customHeight="1">
      <x:c r="A6310" s="1" t="str">
        <x:v>84879</x:v>
      </x:c>
      <x:c r="B6310" s="9" t="d">
        <x:v>2011-03-10T00:00:00.000Z</x:v>
      </x:c>
      <x:c r="C6310" s="13" t="n">
        <x:v>72</x:v>
      </x:c>
    </x:row>
    <x:row r="6311" ht="20" customHeight="1">
      <x:c r="A6311" s="1" t="str">
        <x:v>84879</x:v>
      </x:c>
      <x:c r="B6311" s="9" t="d">
        <x:v>2011-03-11T00:00:00.000Z</x:v>
      </x:c>
      <x:c r="C6311" s="13" t="n">
        <x:v>216</x:v>
      </x:c>
    </x:row>
    <x:row r="6312" ht="20" customHeight="1">
      <x:c r="A6312" s="1" t="str">
        <x:v>84879</x:v>
      </x:c>
      <x:c r="B6312" s="9" t="d">
        <x:v>2011-03-12T00:00:00.000Z</x:v>
      </x:c>
      <x:c r="C6312" s="13" t="n">
        <x:v>0</x:v>
      </x:c>
    </x:row>
    <x:row r="6313" ht="20" customHeight="1">
      <x:c r="A6313" s="1" t="str">
        <x:v>84879</x:v>
      </x:c>
      <x:c r="B6313" s="9" t="d">
        <x:v>2011-03-13T00:00:00.000Z</x:v>
      </x:c>
      <x:c r="C6313" s="13" t="n">
        <x:v>34</x:v>
      </x:c>
    </x:row>
    <x:row r="6314" ht="20" customHeight="1">
      <x:c r="A6314" s="1" t="str">
        <x:v>84879</x:v>
      </x:c>
      <x:c r="B6314" s="9" t="d">
        <x:v>2011-03-14T00:00:00.000Z</x:v>
      </x:c>
      <x:c r="C6314" s="13" t="n">
        <x:v>272</x:v>
      </x:c>
    </x:row>
    <x:row r="6315" ht="20" customHeight="1">
      <x:c r="A6315" s="1" t="str">
        <x:v>84879</x:v>
      </x:c>
      <x:c r="B6315" s="9" t="d">
        <x:v>2011-03-15T00:00:00.000Z</x:v>
      </x:c>
      <x:c r="C6315" s="13" t="n">
        <x:v>363</x:v>
      </x:c>
    </x:row>
    <x:row r="6316" ht="20" customHeight="1">
      <x:c r="A6316" s="1" t="str">
        <x:v>84879</x:v>
      </x:c>
      <x:c r="B6316" s="9" t="d">
        <x:v>2011-03-16T00:00:00.000Z</x:v>
      </x:c>
      <x:c r="C6316" s="13" t="n">
        <x:v>176</x:v>
      </x:c>
    </x:row>
    <x:row r="6317" ht="20" customHeight="1">
      <x:c r="A6317" s="1" t="str">
        <x:v>84879</x:v>
      </x:c>
      <x:c r="B6317" s="9" t="d">
        <x:v>2011-03-17T00:00:00.000Z</x:v>
      </x:c>
      <x:c r="C6317" s="13" t="n">
        <x:v>64</x:v>
      </x:c>
    </x:row>
    <x:row r="6318" ht="20" customHeight="1">
      <x:c r="A6318" s="1" t="str">
        <x:v>84879</x:v>
      </x:c>
      <x:c r="B6318" s="9" t="d">
        <x:v>2011-03-18T00:00:00.000Z</x:v>
      </x:c>
      <x:c r="C6318" s="13" t="n">
        <x:v>37</x:v>
      </x:c>
    </x:row>
    <x:row r="6319" ht="20" customHeight="1">
      <x:c r="A6319" s="1" t="str">
        <x:v>84879</x:v>
      </x:c>
      <x:c r="B6319" s="9" t="d">
        <x:v>2011-03-19T00:00:00.000Z</x:v>
      </x:c>
      <x:c r="C6319" s="13" t="n">
        <x:v>0</x:v>
      </x:c>
    </x:row>
    <x:row r="6320" ht="20" customHeight="1">
      <x:c r="A6320" s="1" t="str">
        <x:v>84879</x:v>
      </x:c>
      <x:c r="B6320" s="9" t="d">
        <x:v>2011-03-20T00:00:00.000Z</x:v>
      </x:c>
      <x:c r="C6320" s="13" t="n">
        <x:v>56</x:v>
      </x:c>
    </x:row>
    <x:row r="6321" ht="20" customHeight="1">
      <x:c r="A6321" s="1" t="str">
        <x:v>84879</x:v>
      </x:c>
      <x:c r="B6321" s="9" t="d">
        <x:v>2011-03-21T00:00:00.000Z</x:v>
      </x:c>
      <x:c r="C6321" s="13" t="n">
        <x:v>138</x:v>
      </x:c>
    </x:row>
    <x:row r="6322" ht="20" customHeight="1">
      <x:c r="A6322" s="1" t="str">
        <x:v>84879</x:v>
      </x:c>
      <x:c r="B6322" s="9" t="d">
        <x:v>2011-03-22T00:00:00.000Z</x:v>
      </x:c>
      <x:c r="C6322" s="13" t="n">
        <x:v>69</x:v>
      </x:c>
    </x:row>
    <x:row r="6323" ht="20" customHeight="1">
      <x:c r="A6323" s="1" t="str">
        <x:v>84879</x:v>
      </x:c>
      <x:c r="B6323" s="9" t="d">
        <x:v>2011-03-23T00:00:00.000Z</x:v>
      </x:c>
      <x:c r="C6323" s="13" t="n">
        <x:v>56</x:v>
      </x:c>
    </x:row>
    <x:row r="6324" ht="20" customHeight="1">
      <x:c r="A6324" s="1" t="str">
        <x:v>84879</x:v>
      </x:c>
      <x:c r="B6324" s="9" t="d">
        <x:v>2011-03-24T00:00:00.000Z</x:v>
      </x:c>
      <x:c r="C6324" s="13" t="n">
        <x:v>80</x:v>
      </x:c>
    </x:row>
    <x:row r="6325" ht="20" customHeight="1">
      <x:c r="A6325" s="1" t="str">
        <x:v>84879</x:v>
      </x:c>
      <x:c r="B6325" s="9" t="d">
        <x:v>2011-03-25T00:00:00.000Z</x:v>
      </x:c>
      <x:c r="C6325" s="13" t="n">
        <x:v>40</x:v>
      </x:c>
    </x:row>
    <x:row r="6326" ht="20" customHeight="1">
      <x:c r="A6326" s="1" t="str">
        <x:v>84879</x:v>
      </x:c>
      <x:c r="B6326" s="9" t="d">
        <x:v>2011-03-26T00:00:00.000Z</x:v>
      </x:c>
      <x:c r="C6326" s="13" t="n">
        <x:v>0</x:v>
      </x:c>
    </x:row>
    <x:row r="6327" ht="20" customHeight="1">
      <x:c r="A6327" s="1" t="str">
        <x:v>84879</x:v>
      </x:c>
      <x:c r="B6327" s="9" t="d">
        <x:v>2011-03-27T00:00:00.000Z</x:v>
      </x:c>
      <x:c r="C6327" s="13" t="n">
        <x:v>8</x:v>
      </x:c>
    </x:row>
    <x:row r="6328" ht="20" customHeight="1">
      <x:c r="A6328" s="1" t="str">
        <x:v>84879</x:v>
      </x:c>
      <x:c r="B6328" s="9" t="d">
        <x:v>2011-03-28T00:00:00.000Z</x:v>
      </x:c>
      <x:c r="C6328" s="13" t="n">
        <x:v>96</x:v>
      </x:c>
    </x:row>
    <x:row r="6329" ht="20" customHeight="1">
      <x:c r="A6329" s="1" t="str">
        <x:v>84879</x:v>
      </x:c>
      <x:c r="B6329" s="9" t="d">
        <x:v>2011-03-29T00:00:00.000Z</x:v>
      </x:c>
      <x:c r="C6329" s="13" t="n">
        <x:v>24</x:v>
      </x:c>
    </x:row>
    <x:row r="6330" ht="20" customHeight="1">
      <x:c r="A6330" s="1" t="str">
        <x:v>84879</x:v>
      </x:c>
      <x:c r="B6330" s="9" t="d">
        <x:v>2011-03-30T00:00:00.000Z</x:v>
      </x:c>
      <x:c r="C6330" s="13" t="n">
        <x:v>24</x:v>
      </x:c>
    </x:row>
    <x:row r="6331" ht="20" customHeight="1">
      <x:c r="A6331" s="1" t="str">
        <x:v>84879</x:v>
      </x:c>
      <x:c r="B6331" s="9" t="d">
        <x:v>2011-03-31T00:00:00.000Z</x:v>
      </x:c>
      <x:c r="C6331" s="13" t="n">
        <x:v>324</x:v>
      </x:c>
    </x:row>
    <x:row r="6332" ht="20" customHeight="1">
      <x:c r="A6332" s="1" t="str">
        <x:v>84879</x:v>
      </x:c>
      <x:c r="B6332" s="9" t="d">
        <x:v>2011-04-01T00:00:00.000Z</x:v>
      </x:c>
      <x:c r="C6332" s="13" t="n">
        <x:v>117</x:v>
      </x:c>
    </x:row>
    <x:row r="6333" ht="20" customHeight="1">
      <x:c r="A6333" s="1" t="str">
        <x:v>84879</x:v>
      </x:c>
      <x:c r="B6333" s="9" t="d">
        <x:v>2011-04-02T00:00:00.000Z</x:v>
      </x:c>
      <x:c r="C6333" s="13" t="n">
        <x:v>0</x:v>
      </x:c>
    </x:row>
    <x:row r="6334" ht="20" customHeight="1">
      <x:c r="A6334" s="1" t="str">
        <x:v>84879</x:v>
      </x:c>
      <x:c r="B6334" s="9" t="d">
        <x:v>2011-04-03T00:00:00.000Z</x:v>
      </x:c>
      <x:c r="C6334" s="13" t="n">
        <x:v>0</x:v>
      </x:c>
    </x:row>
    <x:row r="6335" ht="20" customHeight="1">
      <x:c r="A6335" s="1" t="str">
        <x:v>84879</x:v>
      </x:c>
      <x:c r="B6335" s="9" t="d">
        <x:v>2011-04-04T00:00:00.000Z</x:v>
      </x:c>
      <x:c r="C6335" s="13" t="n">
        <x:v>147</x:v>
      </x:c>
    </x:row>
    <x:row r="6336" ht="20" customHeight="1">
      <x:c r="A6336" s="1" t="str">
        <x:v>84879</x:v>
      </x:c>
      <x:c r="B6336" s="9" t="d">
        <x:v>2011-04-05T00:00:00.000Z</x:v>
      </x:c>
      <x:c r="C6336" s="13" t="n">
        <x:v>248</x:v>
      </x:c>
    </x:row>
    <x:row r="6337" ht="20" customHeight="1">
      <x:c r="A6337" s="1" t="str">
        <x:v>84879</x:v>
      </x:c>
      <x:c r="B6337" s="9" t="d">
        <x:v>2011-04-06T00:00:00.000Z</x:v>
      </x:c>
      <x:c r="C6337" s="13" t="n">
        <x:v>32</x:v>
      </x:c>
    </x:row>
    <x:row r="6338" ht="20" customHeight="1">
      <x:c r="A6338" s="1" t="str">
        <x:v>84879</x:v>
      </x:c>
      <x:c r="B6338" s="9" t="d">
        <x:v>2011-04-07T00:00:00.000Z</x:v>
      </x:c>
      <x:c r="C6338" s="13" t="n">
        <x:v>57</x:v>
      </x:c>
    </x:row>
    <x:row r="6339" ht="20" customHeight="1">
      <x:c r="A6339" s="1" t="str">
        <x:v>84879</x:v>
      </x:c>
      <x:c r="B6339" s="9" t="d">
        <x:v>2011-04-08T00:00:00.000Z</x:v>
      </x:c>
      <x:c r="C6339" s="13" t="n">
        <x:v>232</x:v>
      </x:c>
    </x:row>
    <x:row r="6340" ht="20" customHeight="1">
      <x:c r="A6340" s="1" t="str">
        <x:v>84879</x:v>
      </x:c>
      <x:c r="B6340" s="9" t="d">
        <x:v>2011-04-09T00:00:00.000Z</x:v>
      </x:c>
      <x:c r="C6340" s="13" t="n">
        <x:v>0</x:v>
      </x:c>
    </x:row>
    <x:row r="6341" ht="20" customHeight="1">
      <x:c r="A6341" s="1" t="str">
        <x:v>84879</x:v>
      </x:c>
      <x:c r="B6341" s="9" t="d">
        <x:v>2011-04-10T00:00:00.000Z</x:v>
      </x:c>
      <x:c r="C6341" s="13" t="n">
        <x:v>37</x:v>
      </x:c>
    </x:row>
    <x:row r="6342" ht="20" customHeight="1">
      <x:c r="A6342" s="1" t="str">
        <x:v>84879</x:v>
      </x:c>
      <x:c r="B6342" s="9" t="d">
        <x:v>2011-04-11T00:00:00.000Z</x:v>
      </x:c>
      <x:c r="C6342" s="13" t="n">
        <x:v>57</x:v>
      </x:c>
    </x:row>
    <x:row r="6343" ht="20" customHeight="1">
      <x:c r="A6343" s="1" t="str">
        <x:v>84879</x:v>
      </x:c>
      <x:c r="B6343" s="9" t="d">
        <x:v>2011-04-12T00:00:00.000Z</x:v>
      </x:c>
      <x:c r="C6343" s="13" t="n">
        <x:v>168</x:v>
      </x:c>
    </x:row>
    <x:row r="6344" ht="20" customHeight="1">
      <x:c r="A6344" s="1" t="str">
        <x:v>84879</x:v>
      </x:c>
      <x:c r="B6344" s="9" t="d">
        <x:v>2011-04-13T00:00:00.000Z</x:v>
      </x:c>
      <x:c r="C6344" s="13" t="n">
        <x:v>162</x:v>
      </x:c>
    </x:row>
    <x:row r="6345" ht="20" customHeight="1">
      <x:c r="A6345" s="1" t="str">
        <x:v>84879</x:v>
      </x:c>
      <x:c r="B6345" s="9" t="d">
        <x:v>2011-04-14T00:00:00.000Z</x:v>
      </x:c>
      <x:c r="C6345" s="13" t="n">
        <x:v>280</x:v>
      </x:c>
    </x:row>
    <x:row r="6346" ht="20" customHeight="1">
      <x:c r="A6346" s="1" t="str">
        <x:v>84879</x:v>
      </x:c>
      <x:c r="B6346" s="9" t="d">
        <x:v>2011-04-15T00:00:00.000Z</x:v>
      </x:c>
      <x:c r="C6346" s="13" t="n">
        <x:v>24</x:v>
      </x:c>
    </x:row>
    <x:row r="6347" ht="20" customHeight="1">
      <x:c r="A6347" s="1" t="str">
        <x:v>84879</x:v>
      </x:c>
      <x:c r="B6347" s="9" t="d">
        <x:v>2011-04-16T00:00:00.000Z</x:v>
      </x:c>
      <x:c r="C6347" s="13" t="n">
        <x:v>0</x:v>
      </x:c>
    </x:row>
    <x:row r="6348" ht="20" customHeight="1">
      <x:c r="A6348" s="1" t="str">
        <x:v>84879</x:v>
      </x:c>
      <x:c r="B6348" s="9" t="d">
        <x:v>2011-04-17T00:00:00.000Z</x:v>
      </x:c>
      <x:c r="C6348" s="13" t="n">
        <x:v>124</x:v>
      </x:c>
    </x:row>
    <x:row r="6349" ht="20" customHeight="1">
      <x:c r="A6349" s="1" t="str">
        <x:v>84879</x:v>
      </x:c>
      <x:c r="B6349" s="9" t="d">
        <x:v>2011-04-18T00:00:00.000Z</x:v>
      </x:c>
      <x:c r="C6349" s="13" t="n">
        <x:v>60</x:v>
      </x:c>
    </x:row>
    <x:row r="6350" ht="20" customHeight="1">
      <x:c r="A6350" s="1" t="str">
        <x:v>84879</x:v>
      </x:c>
      <x:c r="B6350" s="9" t="d">
        <x:v>2011-04-19T00:00:00.000Z</x:v>
      </x:c>
      <x:c r="C6350" s="13" t="n">
        <x:v>248</x:v>
      </x:c>
    </x:row>
    <x:row r="6351" ht="20" customHeight="1">
      <x:c r="A6351" s="1" t="str">
        <x:v>84879</x:v>
      </x:c>
      <x:c r="B6351" s="9" t="d">
        <x:v>2011-04-20T00:00:00.000Z</x:v>
      </x:c>
      <x:c r="C6351" s="13" t="n">
        <x:v>16</x:v>
      </x:c>
    </x:row>
    <x:row r="6352" ht="20" customHeight="1">
      <x:c r="A6352" s="1" t="str">
        <x:v>84879</x:v>
      </x:c>
      <x:c r="B6352" s="9" t="d">
        <x:v>2011-04-21T00:00:00.000Z</x:v>
      </x:c>
      <x:c r="C6352" s="13" t="n">
        <x:v>288</x:v>
      </x:c>
    </x:row>
    <x:row r="6353" ht="20" customHeight="1">
      <x:c r="A6353" s="1" t="str">
        <x:v>84879</x:v>
      </x:c>
      <x:c r="B6353" s="9" t="d">
        <x:v>2011-04-22T00:00:00.000Z</x:v>
      </x:c>
      <x:c r="C6353" s="13" t="n">
        <x:v>0</x:v>
      </x:c>
    </x:row>
    <x:row r="6354" ht="20" customHeight="1">
      <x:c r="A6354" s="1" t="str">
        <x:v>84879</x:v>
      </x:c>
      <x:c r="B6354" s="9" t="d">
        <x:v>2011-04-23T00:00:00.000Z</x:v>
      </x:c>
      <x:c r="C6354" s="13" t="n">
        <x:v>0</x:v>
      </x:c>
    </x:row>
    <x:row r="6355" ht="20" customHeight="1">
      <x:c r="A6355" s="1" t="str">
        <x:v>84879</x:v>
      </x:c>
      <x:c r="B6355" s="9" t="d">
        <x:v>2011-04-24T00:00:00.000Z</x:v>
      </x:c>
      <x:c r="C6355" s="13" t="n">
        <x:v>0</x:v>
      </x:c>
    </x:row>
    <x:row r="6356" ht="20" customHeight="1">
      <x:c r="A6356" s="1" t="str">
        <x:v>84879</x:v>
      </x:c>
      <x:c r="B6356" s="9" t="d">
        <x:v>2011-04-25T00:00:00.000Z</x:v>
      </x:c>
      <x:c r="C6356" s="13" t="n">
        <x:v>0</x:v>
      </x:c>
    </x:row>
    <x:row r="6357" ht="20" customHeight="1">
      <x:c r="A6357" s="1" t="str">
        <x:v>84879</x:v>
      </x:c>
      <x:c r="B6357" s="9" t="d">
        <x:v>2011-04-26T00:00:00.000Z</x:v>
      </x:c>
      <x:c r="C6357" s="13" t="n">
        <x:v>111</x:v>
      </x:c>
    </x:row>
    <x:row r="6358" ht="20" customHeight="1">
      <x:c r="A6358" s="1" t="str">
        <x:v>84879</x:v>
      </x:c>
      <x:c r="B6358" s="9" t="d">
        <x:v>2011-04-27T00:00:00.000Z</x:v>
      </x:c>
      <x:c r="C6358" s="13" t="n">
        <x:v>88</x:v>
      </x:c>
    </x:row>
    <x:row r="6359" ht="20" customHeight="1">
      <x:c r="A6359" s="1" t="str">
        <x:v>84879</x:v>
      </x:c>
      <x:c r="B6359" s="9" t="d">
        <x:v>2011-04-28T00:00:00.000Z</x:v>
      </x:c>
      <x:c r="C6359" s="13" t="n">
        <x:v>64</x:v>
      </x:c>
    </x:row>
    <x:row r="6360" ht="20" customHeight="1">
      <x:c r="A6360" s="1" t="str">
        <x:v>84879</x:v>
      </x:c>
      <x:c r="B6360" s="9" t="d">
        <x:v>2011-04-29T00:00:00.000Z</x:v>
      </x:c>
      <x:c r="C6360" s="13" t="n">
        <x:v>0</x:v>
      </x:c>
    </x:row>
    <x:row r="6361" ht="20" customHeight="1">
      <x:c r="A6361" s="1" t="str">
        <x:v>84879</x:v>
      </x:c>
      <x:c r="B6361" s="9" t="d">
        <x:v>2011-04-30T00:00:00.000Z</x:v>
      </x:c>
      <x:c r="C6361" s="13" t="n">
        <x:v>0</x:v>
      </x:c>
    </x:row>
    <x:row r="6362" ht="20" customHeight="1">
      <x:c r="A6362" s="1" t="str">
        <x:v>84879</x:v>
      </x:c>
      <x:c r="B6362" s="9" t="d">
        <x:v>2011-05-01T00:00:00.000Z</x:v>
      </x:c>
      <x:c r="C6362" s="13" t="n">
        <x:v>1</x:v>
      </x:c>
    </x:row>
    <x:row r="6363" ht="20" customHeight="1">
      <x:c r="A6363" s="1" t="str">
        <x:v>84879</x:v>
      </x:c>
      <x:c r="B6363" s="9" t="d">
        <x:v>2011-05-02T00:00:00.000Z</x:v>
      </x:c>
      <x:c r="C6363" s="13" t="n">
        <x:v>0</x:v>
      </x:c>
    </x:row>
    <x:row r="6364" ht="20" customHeight="1">
      <x:c r="A6364" s="1" t="str">
        <x:v>84879</x:v>
      </x:c>
      <x:c r="B6364" s="9" t="d">
        <x:v>2011-05-03T00:00:00.000Z</x:v>
      </x:c>
      <x:c r="C6364" s="13" t="n">
        <x:v>52</x:v>
      </x:c>
    </x:row>
    <x:row r="6365" ht="20" customHeight="1">
      <x:c r="A6365" s="1" t="str">
        <x:v>84879</x:v>
      </x:c>
      <x:c r="B6365" s="9" t="d">
        <x:v>2011-05-04T00:00:00.000Z</x:v>
      </x:c>
      <x:c r="C6365" s="13" t="n">
        <x:v>96</x:v>
      </x:c>
    </x:row>
    <x:row r="6366" ht="20" customHeight="1">
      <x:c r="A6366" s="1" t="str">
        <x:v>84879</x:v>
      </x:c>
      <x:c r="B6366" s="9" t="d">
        <x:v>2011-05-05T00:00:00.000Z</x:v>
      </x:c>
      <x:c r="C6366" s="13" t="n">
        <x:v>114</x:v>
      </x:c>
    </x:row>
    <x:row r="6367" ht="20" customHeight="1">
      <x:c r="A6367" s="1" t="str">
        <x:v>84879</x:v>
      </x:c>
      <x:c r="B6367" s="9" t="d">
        <x:v>2011-05-06T00:00:00.000Z</x:v>
      </x:c>
      <x:c r="C6367" s="13" t="n">
        <x:v>128</x:v>
      </x:c>
    </x:row>
    <x:row r="6368" ht="20" customHeight="1">
      <x:c r="A6368" s="1" t="str">
        <x:v>84879</x:v>
      </x:c>
      <x:c r="B6368" s="9" t="d">
        <x:v>2011-05-07T00:00:00.000Z</x:v>
      </x:c>
      <x:c r="C6368" s="13" t="n">
        <x:v>0</x:v>
      </x:c>
    </x:row>
    <x:row r="6369" ht="20" customHeight="1">
      <x:c r="A6369" s="1" t="str">
        <x:v>84879</x:v>
      </x:c>
      <x:c r="B6369" s="9" t="d">
        <x:v>2011-05-08T00:00:00.000Z</x:v>
      </x:c>
      <x:c r="C6369" s="13" t="n">
        <x:v>204</x:v>
      </x:c>
    </x:row>
    <x:row r="6370" ht="20" customHeight="1">
      <x:c r="A6370" s="1" t="str">
        <x:v>84879</x:v>
      </x:c>
      <x:c r="B6370" s="9" t="d">
        <x:v>2011-05-09T00:00:00.000Z</x:v>
      </x:c>
      <x:c r="C6370" s="13" t="n">
        <x:v>40</x:v>
      </x:c>
    </x:row>
    <x:row r="6371" ht="20" customHeight="1">
      <x:c r="A6371" s="1" t="str">
        <x:v>84879</x:v>
      </x:c>
      <x:c r="B6371" s="9" t="d">
        <x:v>2011-05-10T00:00:00.000Z</x:v>
      </x:c>
      <x:c r="C6371" s="13" t="n">
        <x:v>192</x:v>
      </x:c>
    </x:row>
    <x:row r="6372" ht="20" customHeight="1">
      <x:c r="A6372" s="1" t="str">
        <x:v>84879</x:v>
      </x:c>
      <x:c r="B6372" s="9" t="d">
        <x:v>2011-05-11T00:00:00.000Z</x:v>
      </x:c>
      <x:c r="C6372" s="13" t="n">
        <x:v>448</x:v>
      </x:c>
    </x:row>
    <x:row r="6373" ht="20" customHeight="1">
      <x:c r="A6373" s="1" t="str">
        <x:v>84879</x:v>
      </x:c>
      <x:c r="B6373" s="9" t="d">
        <x:v>2011-05-12T00:00:00.000Z</x:v>
      </x:c>
      <x:c r="C6373" s="13" t="n">
        <x:v>360</x:v>
      </x:c>
    </x:row>
    <x:row r="6374" ht="20" customHeight="1">
      <x:c r="A6374" s="1" t="str">
        <x:v>84879</x:v>
      </x:c>
      <x:c r="B6374" s="9" t="d">
        <x:v>2011-05-13T00:00:00.000Z</x:v>
      </x:c>
      <x:c r="C6374" s="13" t="n">
        <x:v>117</x:v>
      </x:c>
    </x:row>
    <x:row r="6375" ht="20" customHeight="1">
      <x:c r="A6375" s="1" t="str">
        <x:v>84879</x:v>
      </x:c>
      <x:c r="B6375" s="9" t="d">
        <x:v>2011-05-14T00:00:00.000Z</x:v>
      </x:c>
      <x:c r="C6375" s="13" t="n">
        <x:v>0</x:v>
      </x:c>
    </x:row>
    <x:row r="6376" ht="20" customHeight="1">
      <x:c r="A6376" s="1" t="str">
        <x:v>84879</x:v>
      </x:c>
      <x:c r="B6376" s="9" t="d">
        <x:v>2011-05-15T00:00:00.000Z</x:v>
      </x:c>
      <x:c r="C6376" s="13" t="n">
        <x:v>44</x:v>
      </x:c>
    </x:row>
    <x:row r="6377" ht="20" customHeight="1">
      <x:c r="A6377" s="1" t="str">
        <x:v>84879</x:v>
      </x:c>
      <x:c r="B6377" s="9" t="d">
        <x:v>2011-05-16T00:00:00.000Z</x:v>
      </x:c>
      <x:c r="C6377" s="13" t="n">
        <x:v>64</x:v>
      </x:c>
    </x:row>
    <x:row r="6378" ht="20" customHeight="1">
      <x:c r="A6378" s="1" t="str">
        <x:v>84879</x:v>
      </x:c>
      <x:c r="B6378" s="9" t="d">
        <x:v>2011-05-17T00:00:00.000Z</x:v>
      </x:c>
      <x:c r="C6378" s="13" t="n">
        <x:v>168</x:v>
      </x:c>
    </x:row>
    <x:row r="6379" ht="20" customHeight="1">
      <x:c r="A6379" s="1" t="str">
        <x:v>84879</x:v>
      </x:c>
      <x:c r="B6379" s="9" t="d">
        <x:v>2011-05-18T00:00:00.000Z</x:v>
      </x:c>
      <x:c r="C6379" s="13" t="n">
        <x:v>136</x:v>
      </x:c>
    </x:row>
    <x:row r="6380" ht="20" customHeight="1">
      <x:c r="A6380" s="1" t="str">
        <x:v>84879</x:v>
      </x:c>
      <x:c r="B6380" s="9" t="d">
        <x:v>2011-05-19T00:00:00.000Z</x:v>
      </x:c>
      <x:c r="C6380" s="13" t="n">
        <x:v>48</x:v>
      </x:c>
    </x:row>
    <x:row r="6381" ht="20" customHeight="1">
      <x:c r="A6381" s="1" t="str">
        <x:v>84879</x:v>
      </x:c>
      <x:c r="B6381" s="9" t="d">
        <x:v>2011-05-20T00:00:00.000Z</x:v>
      </x:c>
      <x:c r="C6381" s="13" t="n">
        <x:v>136</x:v>
      </x:c>
    </x:row>
    <x:row r="6382" ht="20" customHeight="1">
      <x:c r="A6382" s="1" t="str">
        <x:v>84879</x:v>
      </x:c>
      <x:c r="B6382" s="9" t="d">
        <x:v>2011-05-21T00:00:00.000Z</x:v>
      </x:c>
      <x:c r="C6382" s="13" t="n">
        <x:v>0</x:v>
      </x:c>
    </x:row>
    <x:row r="6383" ht="20" customHeight="1">
      <x:c r="A6383" s="1" t="str">
        <x:v>84879</x:v>
      </x:c>
      <x:c r="B6383" s="9" t="d">
        <x:v>2011-05-22T00:00:00.000Z</x:v>
      </x:c>
      <x:c r="C6383" s="13" t="n">
        <x:v>43</x:v>
      </x:c>
    </x:row>
    <x:row r="6384" ht="20" customHeight="1">
      <x:c r="A6384" s="1" t="str">
        <x:v>84879</x:v>
      </x:c>
      <x:c r="B6384" s="9" t="d">
        <x:v>2011-05-23T00:00:00.000Z</x:v>
      </x:c>
      <x:c r="C6384" s="13" t="n">
        <x:v>116</x:v>
      </x:c>
    </x:row>
    <x:row r="6385" ht="20" customHeight="1">
      <x:c r="A6385" s="1" t="str">
        <x:v>84879</x:v>
      </x:c>
      <x:c r="B6385" s="9" t="d">
        <x:v>2011-05-24T00:00:00.000Z</x:v>
      </x:c>
      <x:c r="C6385" s="13" t="n">
        <x:v>100</x:v>
      </x:c>
    </x:row>
    <x:row r="6386" ht="20" customHeight="1">
      <x:c r="A6386" s="1" t="str">
        <x:v>84879</x:v>
      </x:c>
      <x:c r="B6386" s="9" t="d">
        <x:v>2011-05-25T00:00:00.000Z</x:v>
      </x:c>
      <x:c r="C6386" s="13" t="n">
        <x:v>29</x:v>
      </x:c>
    </x:row>
    <x:row r="6387" ht="20" customHeight="1">
      <x:c r="A6387" s="1" t="str">
        <x:v>84879</x:v>
      </x:c>
      <x:c r="B6387" s="9" t="d">
        <x:v>2011-05-26T00:00:00.000Z</x:v>
      </x:c>
      <x:c r="C6387" s="13" t="n">
        <x:v>264</x:v>
      </x:c>
    </x:row>
    <x:row r="6388" ht="20" customHeight="1">
      <x:c r="A6388" s="1" t="str">
        <x:v>84879</x:v>
      </x:c>
      <x:c r="B6388" s="9" t="d">
        <x:v>2011-05-27T00:00:00.000Z</x:v>
      </x:c>
      <x:c r="C6388" s="13" t="n">
        <x:v>16</x:v>
      </x:c>
    </x:row>
    <x:row r="6389" ht="20" customHeight="1">
      <x:c r="A6389" s="1" t="str">
        <x:v>84879</x:v>
      </x:c>
      <x:c r="B6389" s="9" t="d">
        <x:v>2011-05-28T00:00:00.000Z</x:v>
      </x:c>
      <x:c r="C6389" s="13" t="n">
        <x:v>0</x:v>
      </x:c>
    </x:row>
    <x:row r="6390" ht="20" customHeight="1">
      <x:c r="A6390" s="1" t="str">
        <x:v>84879</x:v>
      </x:c>
      <x:c r="B6390" s="9" t="d">
        <x:v>2011-05-29T00:00:00.000Z</x:v>
      </x:c>
      <x:c r="C6390" s="13" t="n">
        <x:v>40</x:v>
      </x:c>
    </x:row>
    <x:row r="6391" ht="20" customHeight="1">
      <x:c r="A6391" s="1" t="str">
        <x:v>84879</x:v>
      </x:c>
      <x:c r="B6391" s="9" t="d">
        <x:v>2011-05-30T00:00:00.000Z</x:v>
      </x:c>
      <x:c r="C6391" s="13" t="n">
        <x:v>0</x:v>
      </x:c>
    </x:row>
    <x:row r="6392" ht="20" customHeight="1">
      <x:c r="A6392" s="1" t="str">
        <x:v>84879</x:v>
      </x:c>
      <x:c r="B6392" s="9" t="d">
        <x:v>2011-05-31T00:00:00.000Z</x:v>
      </x:c>
      <x:c r="C6392" s="13" t="n">
        <x:v>104</x:v>
      </x:c>
    </x:row>
    <x:row r="6393" ht="20" customHeight="1">
      <x:c r="A6393" s="1" t="str">
        <x:v>84879</x:v>
      </x:c>
      <x:c r="B6393" s="9" t="d">
        <x:v>2011-06-01T00:00:00.000Z</x:v>
      </x:c>
      <x:c r="C6393" s="13" t="n">
        <x:v>64</x:v>
      </x:c>
    </x:row>
    <x:row r="6394" ht="20" customHeight="1">
      <x:c r="A6394" s="1" t="str">
        <x:v>84879</x:v>
      </x:c>
      <x:c r="B6394" s="9" t="d">
        <x:v>2011-06-02T00:00:00.000Z</x:v>
      </x:c>
      <x:c r="C6394" s="13" t="n">
        <x:v>56</x:v>
      </x:c>
    </x:row>
    <x:row r="6395" ht="20" customHeight="1">
      <x:c r="A6395" s="1" t="str">
        <x:v>84879</x:v>
      </x:c>
      <x:c r="B6395" s="9" t="d">
        <x:v>2011-06-03T00:00:00.000Z</x:v>
      </x:c>
      <x:c r="C6395" s="13" t="n">
        <x:v>64</x:v>
      </x:c>
    </x:row>
    <x:row r="6396" ht="20" customHeight="1">
      <x:c r="A6396" s="1" t="str">
        <x:v>84879</x:v>
      </x:c>
      <x:c r="B6396" s="9" t="d">
        <x:v>2011-06-04T00:00:00.000Z</x:v>
      </x:c>
      <x:c r="C6396" s="13" t="n">
        <x:v>0</x:v>
      </x:c>
    </x:row>
    <x:row r="6397" ht="20" customHeight="1">
      <x:c r="A6397" s="1" t="str">
        <x:v>84879</x:v>
      </x:c>
      <x:c r="B6397" s="9" t="d">
        <x:v>2011-06-05T00:00:00.000Z</x:v>
      </x:c>
      <x:c r="C6397" s="13" t="n">
        <x:v>96</x:v>
      </x:c>
    </x:row>
    <x:row r="6398" ht="20" customHeight="1">
      <x:c r="A6398" s="1" t="str">
        <x:v>84879</x:v>
      </x:c>
      <x:c r="B6398" s="9" t="d">
        <x:v>2011-06-06T00:00:00.000Z</x:v>
      </x:c>
      <x:c r="C6398" s="13" t="n">
        <x:v>64</x:v>
      </x:c>
    </x:row>
    <x:row r="6399" ht="20" customHeight="1">
      <x:c r="A6399" s="1" t="str">
        <x:v>84879</x:v>
      </x:c>
      <x:c r="B6399" s="9" t="d">
        <x:v>2011-06-07T00:00:00.000Z</x:v>
      </x:c>
      <x:c r="C6399" s="13" t="n">
        <x:v>44</x:v>
      </x:c>
    </x:row>
    <x:row r="6400" ht="20" customHeight="1">
      <x:c r="A6400" s="1" t="str">
        <x:v>84879</x:v>
      </x:c>
      <x:c r="B6400" s="9" t="d">
        <x:v>2011-06-08T00:00:00.000Z</x:v>
      </x:c>
      <x:c r="C6400" s="13" t="n">
        <x:v>104</x:v>
      </x:c>
    </x:row>
    <x:row r="6401" ht="20" customHeight="1">
      <x:c r="A6401" s="1" t="str">
        <x:v>84879</x:v>
      </x:c>
      <x:c r="B6401" s="9" t="d">
        <x:v>2011-06-09T00:00:00.000Z</x:v>
      </x:c>
      <x:c r="C6401" s="13" t="n">
        <x:v>32</x:v>
      </x:c>
    </x:row>
    <x:row r="6402" ht="20" customHeight="1">
      <x:c r="A6402" s="1" t="str">
        <x:v>84879</x:v>
      </x:c>
      <x:c r="B6402" s="9" t="d">
        <x:v>2011-06-10T00:00:00.000Z</x:v>
      </x:c>
      <x:c r="C6402" s="13" t="n">
        <x:v>40</x:v>
      </x:c>
    </x:row>
    <x:row r="6403" ht="20" customHeight="1">
      <x:c r="A6403" s="1" t="str">
        <x:v>84879</x:v>
      </x:c>
      <x:c r="B6403" s="9" t="d">
        <x:v>2011-06-11T00:00:00.000Z</x:v>
      </x:c>
      <x:c r="C6403" s="13" t="n">
        <x:v>0</x:v>
      </x:c>
    </x:row>
    <x:row r="6404" ht="20" customHeight="1">
      <x:c r="A6404" s="1" t="str">
        <x:v>84879</x:v>
      </x:c>
      <x:c r="B6404" s="9" t="d">
        <x:v>2011-06-12T00:00:00.000Z</x:v>
      </x:c>
      <x:c r="C6404" s="13" t="n">
        <x:v>8</x:v>
      </x:c>
    </x:row>
    <x:row r="6405" ht="20" customHeight="1">
      <x:c r="A6405" s="1" t="str">
        <x:v>84879</x:v>
      </x:c>
      <x:c r="B6405" s="9" t="d">
        <x:v>2011-06-13T00:00:00.000Z</x:v>
      </x:c>
      <x:c r="C6405" s="13" t="n">
        <x:v>16</x:v>
      </x:c>
    </x:row>
    <x:row r="6406" ht="20" customHeight="1">
      <x:c r="A6406" s="1" t="str">
        <x:v>84879</x:v>
      </x:c>
      <x:c r="B6406" s="9" t="d">
        <x:v>2011-06-14T00:00:00.000Z</x:v>
      </x:c>
      <x:c r="C6406" s="13" t="n">
        <x:v>52</x:v>
      </x:c>
    </x:row>
    <x:row r="6407" ht="20" customHeight="1">
      <x:c r="A6407" s="1" t="str">
        <x:v>84879</x:v>
      </x:c>
      <x:c r="B6407" s="9" t="d">
        <x:v>2011-06-15T00:00:00.000Z</x:v>
      </x:c>
      <x:c r="C6407" s="13" t="n">
        <x:v>48</x:v>
      </x:c>
    </x:row>
    <x:row r="6408" ht="20" customHeight="1">
      <x:c r="A6408" s="1" t="str">
        <x:v>84879</x:v>
      </x:c>
      <x:c r="B6408" s="9" t="d">
        <x:v>2011-06-16T00:00:00.000Z</x:v>
      </x:c>
      <x:c r="C6408" s="13" t="n">
        <x:v>57</x:v>
      </x:c>
    </x:row>
    <x:row r="6409" ht="20" customHeight="1">
      <x:c r="A6409" s="1" t="str">
        <x:v>84879</x:v>
      </x:c>
      <x:c r="B6409" s="9" t="d">
        <x:v>2011-06-17T00:00:00.000Z</x:v>
      </x:c>
      <x:c r="C6409" s="13" t="n">
        <x:v>233</x:v>
      </x:c>
    </x:row>
    <x:row r="6410" ht="20" customHeight="1">
      <x:c r="A6410" s="1" t="str">
        <x:v>84879</x:v>
      </x:c>
      <x:c r="B6410" s="9" t="d">
        <x:v>2011-06-18T00:00:00.000Z</x:v>
      </x:c>
      <x:c r="C6410" s="13" t="n">
        <x:v>0</x:v>
      </x:c>
    </x:row>
    <x:row r="6411" ht="20" customHeight="1">
      <x:c r="A6411" s="1" t="str">
        <x:v>84879</x:v>
      </x:c>
      <x:c r="B6411" s="9" t="d">
        <x:v>2011-06-19T00:00:00.000Z</x:v>
      </x:c>
      <x:c r="C6411" s="13" t="n">
        <x:v>40</x:v>
      </x:c>
    </x:row>
    <x:row r="6412" ht="20" customHeight="1">
      <x:c r="A6412" s="1" t="str">
        <x:v>84879</x:v>
      </x:c>
      <x:c r="B6412" s="9" t="d">
        <x:v>2011-06-20T00:00:00.000Z</x:v>
      </x:c>
      <x:c r="C6412" s="13" t="n">
        <x:v>24</x:v>
      </x:c>
    </x:row>
    <x:row r="6413" ht="20" customHeight="1">
      <x:c r="A6413" s="1" t="str">
        <x:v>84879</x:v>
      </x:c>
      <x:c r="B6413" s="9" t="d">
        <x:v>2011-06-21T00:00:00.000Z</x:v>
      </x:c>
      <x:c r="C6413" s="13" t="n">
        <x:v>82</x:v>
      </x:c>
    </x:row>
    <x:row r="6414" ht="20" customHeight="1">
      <x:c r="A6414" s="1" t="str">
        <x:v>84879</x:v>
      </x:c>
      <x:c r="B6414" s="9" t="d">
        <x:v>2011-06-22T00:00:00.000Z</x:v>
      </x:c>
      <x:c r="C6414" s="13" t="n">
        <x:v>60</x:v>
      </x:c>
    </x:row>
    <x:row r="6415" ht="20" customHeight="1">
      <x:c r="A6415" s="1" t="str">
        <x:v>84879</x:v>
      </x:c>
      <x:c r="B6415" s="9" t="d">
        <x:v>2011-06-23T00:00:00.000Z</x:v>
      </x:c>
      <x:c r="C6415" s="13" t="n">
        <x:v>48</x:v>
      </x:c>
    </x:row>
    <x:row r="6416" ht="20" customHeight="1">
      <x:c r="A6416" s="1" t="str">
        <x:v>84879</x:v>
      </x:c>
      <x:c r="B6416" s="9" t="d">
        <x:v>2011-06-24T00:00:00.000Z</x:v>
      </x:c>
      <x:c r="C6416" s="13" t="n">
        <x:v>56</x:v>
      </x:c>
    </x:row>
    <x:row r="6417" ht="20" customHeight="1">
      <x:c r="A6417" s="1" t="str">
        <x:v>84879</x:v>
      </x:c>
      <x:c r="B6417" s="9" t="d">
        <x:v>2011-06-25T00:00:00.000Z</x:v>
      </x:c>
      <x:c r="C6417" s="13" t="n">
        <x:v>0</x:v>
      </x:c>
    </x:row>
    <x:row r="6418" ht="20" customHeight="1">
      <x:c r="A6418" s="1" t="str">
        <x:v>84879</x:v>
      </x:c>
      <x:c r="B6418" s="9" t="d">
        <x:v>2011-06-26T00:00:00.000Z</x:v>
      </x:c>
      <x:c r="C6418" s="13" t="n">
        <x:v>0</x:v>
      </x:c>
    </x:row>
    <x:row r="6419" ht="20" customHeight="1">
      <x:c r="A6419" s="1" t="str">
        <x:v>84879</x:v>
      </x:c>
      <x:c r="B6419" s="9" t="d">
        <x:v>2011-06-27T00:00:00.000Z</x:v>
      </x:c>
      <x:c r="C6419" s="13" t="n">
        <x:v>76</x:v>
      </x:c>
    </x:row>
    <x:row r="6420" ht="20" customHeight="1">
      <x:c r="A6420" s="1" t="str">
        <x:v>84879</x:v>
      </x:c>
      <x:c r="B6420" s="9" t="d">
        <x:v>2011-06-28T00:00:00.000Z</x:v>
      </x:c>
      <x:c r="C6420" s="13" t="n">
        <x:v>40</x:v>
      </x:c>
    </x:row>
    <x:row r="6421" ht="20" customHeight="1">
      <x:c r="A6421" s="1" t="str">
        <x:v>84879</x:v>
      </x:c>
      <x:c r="B6421" s="9" t="d">
        <x:v>2011-06-29T00:00:00.000Z</x:v>
      </x:c>
      <x:c r="C6421" s="13" t="n">
        <x:v>104</x:v>
      </x:c>
    </x:row>
    <x:row r="6422" ht="20" customHeight="1">
      <x:c r="A6422" s="1" t="str">
        <x:v>84879</x:v>
      </x:c>
      <x:c r="B6422" s="9" t="d">
        <x:v>2011-06-30T00:00:00.000Z</x:v>
      </x:c>
      <x:c r="C6422" s="13" t="n">
        <x:v>56</x:v>
      </x:c>
    </x:row>
    <x:row r="6423" ht="20" customHeight="1">
      <x:c r="A6423" s="1" t="str">
        <x:v>84879</x:v>
      </x:c>
      <x:c r="B6423" s="9" t="d">
        <x:v>2011-07-01T00:00:00.000Z</x:v>
      </x:c>
      <x:c r="C6423" s="13" t="n">
        <x:v>16</x:v>
      </x:c>
    </x:row>
    <x:row r="6424" ht="20" customHeight="1">
      <x:c r="A6424" s="1" t="str">
        <x:v>84879</x:v>
      </x:c>
      <x:c r="B6424" s="9" t="d">
        <x:v>2011-07-02T00:00:00.000Z</x:v>
      </x:c>
      <x:c r="C6424" s="13" t="n">
        <x:v>0</x:v>
      </x:c>
    </x:row>
    <x:row r="6425" ht="20" customHeight="1">
      <x:c r="A6425" s="1" t="str">
        <x:v>84879</x:v>
      </x:c>
      <x:c r="B6425" s="9" t="d">
        <x:v>2011-07-03T00:00:00.000Z</x:v>
      </x:c>
      <x:c r="C6425" s="13" t="n">
        <x:v>0</x:v>
      </x:c>
    </x:row>
    <x:row r="6426" ht="20" customHeight="1">
      <x:c r="A6426" s="1" t="str">
        <x:v>84879</x:v>
      </x:c>
      <x:c r="B6426" s="9" t="d">
        <x:v>2011-07-04T00:00:00.000Z</x:v>
      </x:c>
      <x:c r="C6426" s="13" t="n">
        <x:v>32</x:v>
      </x:c>
    </x:row>
    <x:row r="6427" ht="20" customHeight="1">
      <x:c r="A6427" s="1" t="str">
        <x:v>84879</x:v>
      </x:c>
      <x:c r="B6427" s="9" t="d">
        <x:v>2011-07-05T00:00:00.000Z</x:v>
      </x:c>
      <x:c r="C6427" s="13" t="n">
        <x:v>92</x:v>
      </x:c>
    </x:row>
    <x:row r="6428" ht="20" customHeight="1">
      <x:c r="A6428" s="1" t="str">
        <x:v>84879</x:v>
      </x:c>
      <x:c r="B6428" s="9" t="d">
        <x:v>2011-07-06T00:00:00.000Z</x:v>
      </x:c>
      <x:c r="C6428" s="13" t="n">
        <x:v>136</x:v>
      </x:c>
    </x:row>
    <x:row r="6429" ht="20" customHeight="1">
      <x:c r="A6429" s="1" t="str">
        <x:v>84879</x:v>
      </x:c>
      <x:c r="B6429" s="9" t="d">
        <x:v>2011-07-07T00:00:00.000Z</x:v>
      </x:c>
      <x:c r="C6429" s="13" t="n">
        <x:v>120</x:v>
      </x:c>
    </x:row>
    <x:row r="6430" ht="20" customHeight="1">
      <x:c r="A6430" s="1" t="str">
        <x:v>84879</x:v>
      </x:c>
      <x:c r="B6430" s="9" t="d">
        <x:v>2011-07-08T00:00:00.000Z</x:v>
      </x:c>
      <x:c r="C6430" s="13" t="n">
        <x:v>64</x:v>
      </x:c>
    </x:row>
    <x:row r="6431" ht="20" customHeight="1">
      <x:c r="A6431" s="1" t="str">
        <x:v>84879</x:v>
      </x:c>
      <x:c r="B6431" s="9" t="d">
        <x:v>2011-07-09T00:00:00.000Z</x:v>
      </x:c>
      <x:c r="C6431" s="13" t="n">
        <x:v>0</x:v>
      </x:c>
    </x:row>
    <x:row r="6432" ht="20" customHeight="1">
      <x:c r="A6432" s="1" t="str">
        <x:v>84879</x:v>
      </x:c>
      <x:c r="B6432" s="9" t="d">
        <x:v>2011-07-10T00:00:00.000Z</x:v>
      </x:c>
      <x:c r="C6432" s="13" t="n">
        <x:v>16</x:v>
      </x:c>
    </x:row>
    <x:row r="6433" ht="20" customHeight="1">
      <x:c r="A6433" s="1" t="str">
        <x:v>84879</x:v>
      </x:c>
      <x:c r="B6433" s="9" t="d">
        <x:v>2011-07-11T00:00:00.000Z</x:v>
      </x:c>
      <x:c r="C6433" s="13" t="n">
        <x:v>119</x:v>
      </x:c>
    </x:row>
    <x:row r="6434" ht="20" customHeight="1">
      <x:c r="A6434" s="1" t="str">
        <x:v>84879</x:v>
      </x:c>
      <x:c r="B6434" s="9" t="d">
        <x:v>2011-07-12T00:00:00.000Z</x:v>
      </x:c>
      <x:c r="C6434" s="13" t="n">
        <x:v>8</x:v>
      </x:c>
    </x:row>
    <x:row r="6435" ht="20" customHeight="1">
      <x:c r="A6435" s="1" t="str">
        <x:v>84879</x:v>
      </x:c>
      <x:c r="B6435" s="9" t="d">
        <x:v>2011-07-13T00:00:00.000Z</x:v>
      </x:c>
      <x:c r="C6435" s="13" t="n">
        <x:v>82</x:v>
      </x:c>
    </x:row>
    <x:row r="6436" ht="20" customHeight="1">
      <x:c r="A6436" s="1" t="str">
        <x:v>84879</x:v>
      </x:c>
      <x:c r="B6436" s="9" t="d">
        <x:v>2011-07-14T00:00:00.000Z</x:v>
      </x:c>
      <x:c r="C6436" s="13" t="n">
        <x:v>64</x:v>
      </x:c>
    </x:row>
    <x:row r="6437" ht="20" customHeight="1">
      <x:c r="A6437" s="1" t="str">
        <x:v>84879</x:v>
      </x:c>
      <x:c r="B6437" s="9" t="d">
        <x:v>2011-07-15T00:00:00.000Z</x:v>
      </x:c>
      <x:c r="C6437" s="13" t="n">
        <x:v>16</x:v>
      </x:c>
    </x:row>
    <x:row r="6438" ht="20" customHeight="1">
      <x:c r="A6438" s="1" t="str">
        <x:v>84879</x:v>
      </x:c>
      <x:c r="B6438" s="9" t="d">
        <x:v>2011-07-16T00:00:00.000Z</x:v>
      </x:c>
      <x:c r="C6438" s="13" t="n">
        <x:v>0</x:v>
      </x:c>
    </x:row>
    <x:row r="6439" ht="20" customHeight="1">
      <x:c r="A6439" s="1" t="str">
        <x:v>84879</x:v>
      </x:c>
      <x:c r="B6439" s="9" t="d">
        <x:v>2011-07-17T00:00:00.000Z</x:v>
      </x:c>
      <x:c r="C6439" s="13" t="n">
        <x:v>83</x:v>
      </x:c>
    </x:row>
    <x:row r="6440" ht="20" customHeight="1">
      <x:c r="A6440" s="1" t="str">
        <x:v>84879</x:v>
      </x:c>
      <x:c r="B6440" s="9" t="d">
        <x:v>2011-07-18T00:00:00.000Z</x:v>
      </x:c>
      <x:c r="C6440" s="13" t="n">
        <x:v>82</x:v>
      </x:c>
    </x:row>
    <x:row r="6441" ht="20" customHeight="1">
      <x:c r="A6441" s="1" t="str">
        <x:v>84879</x:v>
      </x:c>
      <x:c r="B6441" s="9" t="d">
        <x:v>2011-07-19T00:00:00.000Z</x:v>
      </x:c>
      <x:c r="C6441" s="13" t="n">
        <x:v>134</x:v>
      </x:c>
    </x:row>
    <x:row r="6442" ht="20" customHeight="1">
      <x:c r="A6442" s="1" t="str">
        <x:v>84879</x:v>
      </x:c>
      <x:c r="B6442" s="9" t="d">
        <x:v>2011-07-20T00:00:00.000Z</x:v>
      </x:c>
      <x:c r="C6442" s="13" t="n">
        <x:v>18</x:v>
      </x:c>
    </x:row>
    <x:row r="6443" ht="20" customHeight="1">
      <x:c r="A6443" s="1" t="str">
        <x:v>84879</x:v>
      </x:c>
      <x:c r="B6443" s="9" t="d">
        <x:v>2011-07-21T00:00:00.000Z</x:v>
      </x:c>
      <x:c r="C6443" s="13" t="n">
        <x:v>160</x:v>
      </x:c>
    </x:row>
    <x:row r="6444" ht="20" customHeight="1">
      <x:c r="A6444" s="1" t="str">
        <x:v>84879</x:v>
      </x:c>
      <x:c r="B6444" s="9" t="d">
        <x:v>2011-07-22T00:00:00.000Z</x:v>
      </x:c>
      <x:c r="C6444" s="13" t="n">
        <x:v>56</x:v>
      </x:c>
    </x:row>
    <x:row r="6445" ht="20" customHeight="1">
      <x:c r="A6445" s="1" t="str">
        <x:v>84879</x:v>
      </x:c>
      <x:c r="B6445" s="9" t="d">
        <x:v>2011-07-23T00:00:00.000Z</x:v>
      </x:c>
      <x:c r="C6445" s="13" t="n">
        <x:v>0</x:v>
      </x:c>
    </x:row>
    <x:row r="6446" ht="20" customHeight="1">
      <x:c r="A6446" s="1" t="str">
        <x:v>84879</x:v>
      </x:c>
      <x:c r="B6446" s="9" t="d">
        <x:v>2011-07-24T00:00:00.000Z</x:v>
      </x:c>
      <x:c r="C6446" s="13" t="n">
        <x:v>69</x:v>
      </x:c>
    </x:row>
    <x:row r="6447" ht="20" customHeight="1">
      <x:c r="A6447" s="1" t="str">
        <x:v>84879</x:v>
      </x:c>
      <x:c r="B6447" s="9" t="d">
        <x:v>2011-07-25T00:00:00.000Z</x:v>
      </x:c>
      <x:c r="C6447" s="13" t="n">
        <x:v>104</x:v>
      </x:c>
    </x:row>
    <x:row r="6448" ht="20" customHeight="1">
      <x:c r="A6448" s="1" t="str">
        <x:v>84879</x:v>
      </x:c>
      <x:c r="B6448" s="9" t="d">
        <x:v>2011-07-26T00:00:00.000Z</x:v>
      </x:c>
      <x:c r="C6448" s="13" t="n">
        <x:v>16</x:v>
      </x:c>
    </x:row>
    <x:row r="6449" ht="20" customHeight="1">
      <x:c r="A6449" s="1" t="str">
        <x:v>84879</x:v>
      </x:c>
      <x:c r="B6449" s="9" t="d">
        <x:v>2011-07-27T00:00:00.000Z</x:v>
      </x:c>
      <x:c r="C6449" s="13" t="n">
        <x:v>56</x:v>
      </x:c>
    </x:row>
    <x:row r="6450" ht="20" customHeight="1">
      <x:c r="A6450" s="1" t="str">
        <x:v>84879</x:v>
      </x:c>
      <x:c r="B6450" s="9" t="d">
        <x:v>2011-07-28T00:00:00.000Z</x:v>
      </x:c>
      <x:c r="C6450" s="13" t="n">
        <x:v>78</x:v>
      </x:c>
    </x:row>
    <x:row r="6451" ht="20" customHeight="1">
      <x:c r="A6451" s="1" t="str">
        <x:v>84879</x:v>
      </x:c>
      <x:c r="B6451" s="9" t="d">
        <x:v>2011-07-29T00:00:00.000Z</x:v>
      </x:c>
      <x:c r="C6451" s="13" t="n">
        <x:v>152</x:v>
      </x:c>
    </x:row>
    <x:row r="6452" ht="20" customHeight="1">
      <x:c r="A6452" s="1" t="str">
        <x:v>84879</x:v>
      </x:c>
      <x:c r="B6452" s="9" t="d">
        <x:v>2011-07-30T00:00:00.000Z</x:v>
      </x:c>
      <x:c r="C6452" s="13" t="n">
        <x:v>0</x:v>
      </x:c>
    </x:row>
    <x:row r="6453" ht="20" customHeight="1">
      <x:c r="A6453" s="1" t="str">
        <x:v>84879</x:v>
      </x:c>
      <x:c r="B6453" s="9" t="d">
        <x:v>2011-07-31T00:00:00.000Z</x:v>
      </x:c>
      <x:c r="C6453" s="13" t="n">
        <x:v>64</x:v>
      </x:c>
    </x:row>
    <x:row r="6454" ht="20" customHeight="1">
      <x:c r="A6454" s="1" t="str">
        <x:v>84879</x:v>
      </x:c>
      <x:c r="B6454" s="9" t="d">
        <x:v>2011-08-01T00:00:00.000Z</x:v>
      </x:c>
      <x:c r="C6454" s="13" t="n">
        <x:v>88</x:v>
      </x:c>
    </x:row>
    <x:row r="6455" ht="20" customHeight="1">
      <x:c r="A6455" s="1" t="str">
        <x:v>84879</x:v>
      </x:c>
      <x:c r="B6455" s="9" t="d">
        <x:v>2011-08-02T00:00:00.000Z</x:v>
      </x:c>
      <x:c r="C6455" s="13" t="n">
        <x:v>24</x:v>
      </x:c>
    </x:row>
    <x:row r="6456" ht="20" customHeight="1">
      <x:c r="A6456" s="1" t="str">
        <x:v>84879</x:v>
      </x:c>
      <x:c r="B6456" s="9" t="d">
        <x:v>2011-08-03T00:00:00.000Z</x:v>
      </x:c>
      <x:c r="C6456" s="13" t="n">
        <x:v>82</x:v>
      </x:c>
    </x:row>
    <x:row r="6457" ht="20" customHeight="1">
      <x:c r="A6457" s="1" t="str">
        <x:v>84879</x:v>
      </x:c>
      <x:c r="B6457" s="9" t="d">
        <x:v>2011-08-04T00:00:00.000Z</x:v>
      </x:c>
      <x:c r="C6457" s="13" t="n">
        <x:v>3359</x:v>
      </x:c>
    </x:row>
    <x:row r="6458" ht="20" customHeight="1">
      <x:c r="A6458" s="1" t="str">
        <x:v>84879</x:v>
      </x:c>
      <x:c r="B6458" s="9" t="d">
        <x:v>2011-08-05T00:00:00.000Z</x:v>
      </x:c>
      <x:c r="C6458" s="13" t="n">
        <x:v>86</x:v>
      </x:c>
    </x:row>
    <x:row r="6459" ht="20" customHeight="1">
      <x:c r="A6459" s="1" t="str">
        <x:v>84879</x:v>
      </x:c>
      <x:c r="B6459" s="9" t="d">
        <x:v>2011-08-06T00:00:00.000Z</x:v>
      </x:c>
      <x:c r="C6459" s="13" t="n">
        <x:v>0</x:v>
      </x:c>
    </x:row>
    <x:row r="6460" ht="20" customHeight="1">
      <x:c r="A6460" s="1" t="str">
        <x:v>84879</x:v>
      </x:c>
      <x:c r="B6460" s="9" t="d">
        <x:v>2011-08-07T00:00:00.000Z</x:v>
      </x:c>
      <x:c r="C6460" s="13" t="n">
        <x:v>161</x:v>
      </x:c>
    </x:row>
    <x:row r="6461" ht="20" customHeight="1">
      <x:c r="A6461" s="1" t="str">
        <x:v>84879</x:v>
      </x:c>
      <x:c r="B6461" s="9" t="d">
        <x:v>2011-08-08T00:00:00.000Z</x:v>
      </x:c>
      <x:c r="C6461" s="13" t="n">
        <x:v>128</x:v>
      </x:c>
    </x:row>
    <x:row r="6462" ht="20" customHeight="1">
      <x:c r="A6462" s="1" t="str">
        <x:v>84879</x:v>
      </x:c>
      <x:c r="B6462" s="9" t="d">
        <x:v>2011-08-09T00:00:00.000Z</x:v>
      </x:c>
      <x:c r="C6462" s="13" t="n">
        <x:v>48</x:v>
      </x:c>
    </x:row>
    <x:row r="6463" ht="20" customHeight="1">
      <x:c r="A6463" s="1" t="str">
        <x:v>84879</x:v>
      </x:c>
      <x:c r="B6463" s="9" t="d">
        <x:v>2011-08-10T00:00:00.000Z</x:v>
      </x:c>
      <x:c r="C6463" s="13" t="n">
        <x:v>96</x:v>
      </x:c>
    </x:row>
    <x:row r="6464" ht="20" customHeight="1">
      <x:c r="A6464" s="1" t="str">
        <x:v>84879</x:v>
      </x:c>
      <x:c r="B6464" s="9" t="d">
        <x:v>2011-08-11T00:00:00.000Z</x:v>
      </x:c>
      <x:c r="C6464" s="13" t="n">
        <x:v>1008</x:v>
      </x:c>
    </x:row>
    <x:row r="6465" ht="20" customHeight="1">
      <x:c r="A6465" s="1" t="str">
        <x:v>84879</x:v>
      </x:c>
      <x:c r="B6465" s="9" t="d">
        <x:v>2011-08-12T00:00:00.000Z</x:v>
      </x:c>
      <x:c r="C6465" s="13" t="n">
        <x:v>32</x:v>
      </x:c>
    </x:row>
    <x:row r="6466" ht="20" customHeight="1">
      <x:c r="A6466" s="1" t="str">
        <x:v>84879</x:v>
      </x:c>
      <x:c r="B6466" s="9" t="d">
        <x:v>2011-08-13T00:00:00.000Z</x:v>
      </x:c>
      <x:c r="C6466" s="13" t="n">
        <x:v>0</x:v>
      </x:c>
    </x:row>
    <x:row r="6467" ht="20" customHeight="1">
      <x:c r="A6467" s="1" t="str">
        <x:v>84879</x:v>
      </x:c>
      <x:c r="B6467" s="9" t="d">
        <x:v>2011-08-14T00:00:00.000Z</x:v>
      </x:c>
      <x:c r="C6467" s="13" t="n">
        <x:v>11</x:v>
      </x:c>
    </x:row>
    <x:row r="6468" ht="20" customHeight="1">
      <x:c r="A6468" s="1" t="str">
        <x:v>84879</x:v>
      </x:c>
      <x:c r="B6468" s="9" t="d">
        <x:v>2011-08-15T00:00:00.000Z</x:v>
      </x:c>
      <x:c r="C6468" s="13" t="n">
        <x:v>64</x:v>
      </x:c>
    </x:row>
    <x:row r="6469" ht="20" customHeight="1">
      <x:c r="A6469" s="1" t="str">
        <x:v>84879</x:v>
      </x:c>
      <x:c r="B6469" s="9" t="d">
        <x:v>2011-08-16T00:00:00.000Z</x:v>
      </x:c>
      <x:c r="C6469" s="13" t="n">
        <x:v>60</x:v>
      </x:c>
    </x:row>
    <x:row r="6470" ht="20" customHeight="1">
      <x:c r="A6470" s="1" t="str">
        <x:v>84879</x:v>
      </x:c>
      <x:c r="B6470" s="9" t="d">
        <x:v>2011-08-17T00:00:00.000Z</x:v>
      </x:c>
      <x:c r="C6470" s="13" t="n">
        <x:v>32</x:v>
      </x:c>
    </x:row>
    <x:row r="6471" ht="20" customHeight="1">
      <x:c r="A6471" s="1" t="str">
        <x:v>84879</x:v>
      </x:c>
      <x:c r="B6471" s="9" t="d">
        <x:v>2011-08-18T00:00:00.000Z</x:v>
      </x:c>
      <x:c r="C6471" s="13" t="n">
        <x:v>95</x:v>
      </x:c>
    </x:row>
    <x:row r="6472" ht="20" customHeight="1">
      <x:c r="A6472" s="1" t="str">
        <x:v>84879</x:v>
      </x:c>
      <x:c r="B6472" s="9" t="d">
        <x:v>2011-08-19T00:00:00.000Z</x:v>
      </x:c>
      <x:c r="C6472" s="13" t="n">
        <x:v>216</x:v>
      </x:c>
    </x:row>
    <x:row r="6473" ht="20" customHeight="1">
      <x:c r="A6473" s="1" t="str">
        <x:v>84879</x:v>
      </x:c>
      <x:c r="B6473" s="9" t="d">
        <x:v>2011-08-20T00:00:00.000Z</x:v>
      </x:c>
      <x:c r="C6473" s="13" t="n">
        <x:v>0</x:v>
      </x:c>
    </x:row>
    <x:row r="6474" ht="20" customHeight="1">
      <x:c r="A6474" s="1" t="str">
        <x:v>84879</x:v>
      </x:c>
      <x:c r="B6474" s="9" t="d">
        <x:v>2011-08-21T00:00:00.000Z</x:v>
      </x:c>
      <x:c r="C6474" s="13" t="n">
        <x:v>81</x:v>
      </x:c>
    </x:row>
    <x:row r="6475" ht="20" customHeight="1">
      <x:c r="A6475" s="1" t="str">
        <x:v>84879</x:v>
      </x:c>
      <x:c r="B6475" s="9" t="d">
        <x:v>2011-08-22T00:00:00.000Z</x:v>
      </x:c>
      <x:c r="C6475" s="13" t="n">
        <x:v>206</x:v>
      </x:c>
    </x:row>
    <x:row r="6476" ht="20" customHeight="1">
      <x:c r="A6476" s="1" t="str">
        <x:v>84879</x:v>
      </x:c>
      <x:c r="B6476" s="9" t="d">
        <x:v>2011-08-23T00:00:00.000Z</x:v>
      </x:c>
      <x:c r="C6476" s="13" t="n">
        <x:v>48</x:v>
      </x:c>
    </x:row>
    <x:row r="6477" ht="20" customHeight="1">
      <x:c r="A6477" s="1" t="str">
        <x:v>84879</x:v>
      </x:c>
      <x:c r="B6477" s="9" t="d">
        <x:v>2011-08-24T00:00:00.000Z</x:v>
      </x:c>
      <x:c r="C6477" s="13" t="n">
        <x:v>96</x:v>
      </x:c>
    </x:row>
    <x:row r="6478" ht="20" customHeight="1">
      <x:c r="A6478" s="1" t="str">
        <x:v>84879</x:v>
      </x:c>
      <x:c r="B6478" s="9" t="d">
        <x:v>2011-08-25T00:00:00.000Z</x:v>
      </x:c>
      <x:c r="C6478" s="13" t="n">
        <x:v>400</x:v>
      </x:c>
    </x:row>
    <x:row r="6479" ht="20" customHeight="1">
      <x:c r="A6479" s="1" t="str">
        <x:v>84879</x:v>
      </x:c>
      <x:c r="B6479" s="9" t="d">
        <x:v>2011-08-26T00:00:00.000Z</x:v>
      </x:c>
      <x:c r="C6479" s="13" t="n">
        <x:v>40</x:v>
      </x:c>
    </x:row>
    <x:row r="6480" ht="20" customHeight="1">
      <x:c r="A6480" s="1" t="str">
        <x:v>84879</x:v>
      </x:c>
      <x:c r="B6480" s="9" t="d">
        <x:v>2011-08-27T00:00:00.000Z</x:v>
      </x:c>
      <x:c r="C6480" s="13" t="n">
        <x:v>0</x:v>
      </x:c>
    </x:row>
    <x:row r="6481" ht="20" customHeight="1">
      <x:c r="A6481" s="1" t="str">
        <x:v>84879</x:v>
      </x:c>
      <x:c r="B6481" s="9" t="d">
        <x:v>2011-08-28T00:00:00.000Z</x:v>
      </x:c>
      <x:c r="C6481" s="13" t="n">
        <x:v>60</x:v>
      </x:c>
    </x:row>
    <x:row r="6482" ht="20" customHeight="1">
      <x:c r="A6482" s="1" t="str">
        <x:v>84879</x:v>
      </x:c>
      <x:c r="B6482" s="9" t="d">
        <x:v>2011-08-29T00:00:00.000Z</x:v>
      </x:c>
      <x:c r="C6482" s="13" t="n">
        <x:v>0</x:v>
      </x:c>
    </x:row>
    <x:row r="6483" ht="20" customHeight="1">
      <x:c r="A6483" s="1" t="str">
        <x:v>84879</x:v>
      </x:c>
      <x:c r="B6483" s="9" t="d">
        <x:v>2011-08-30T00:00:00.000Z</x:v>
      </x:c>
      <x:c r="C6483" s="13" t="n">
        <x:v>8</x:v>
      </x:c>
    </x:row>
    <x:row r="6484" ht="20" customHeight="1">
      <x:c r="A6484" s="1" t="str">
        <x:v>84879</x:v>
      </x:c>
      <x:c r="B6484" s="9" t="d">
        <x:v>2011-08-31T00:00:00.000Z</x:v>
      </x:c>
      <x:c r="C6484" s="13" t="n">
        <x:v>16</x:v>
      </x:c>
    </x:row>
    <x:row r="6485" ht="20" customHeight="1">
      <x:c r="A6485" s="1" t="str">
        <x:v>84879</x:v>
      </x:c>
      <x:c r="B6485" s="9" t="d">
        <x:v>2011-09-01T00:00:00.000Z</x:v>
      </x:c>
      <x:c r="C6485" s="13" t="n">
        <x:v>96</x:v>
      </x:c>
    </x:row>
    <x:row r="6486" ht="20" customHeight="1">
      <x:c r="A6486" s="1" t="str">
        <x:v>84879</x:v>
      </x:c>
      <x:c r="B6486" s="9" t="d">
        <x:v>2011-09-02T00:00:00.000Z</x:v>
      </x:c>
      <x:c r="C6486" s="13" t="n">
        <x:v>16</x:v>
      </x:c>
    </x:row>
    <x:row r="6487" ht="20" customHeight="1">
      <x:c r="A6487" s="1" t="str">
        <x:v>84879</x:v>
      </x:c>
      <x:c r="B6487" s="9" t="d">
        <x:v>2011-09-03T00:00:00.000Z</x:v>
      </x:c>
      <x:c r="C6487" s="13" t="n">
        <x:v>0</x:v>
      </x:c>
    </x:row>
    <x:row r="6488" ht="20" customHeight="1">
      <x:c r="A6488" s="1" t="str">
        <x:v>84879</x:v>
      </x:c>
      <x:c r="B6488" s="9" t="d">
        <x:v>2011-09-04T00:00:00.000Z</x:v>
      </x:c>
      <x:c r="C6488" s="13" t="n">
        <x:v>80</x:v>
      </x:c>
    </x:row>
    <x:row r="6489" ht="20" customHeight="1">
      <x:c r="A6489" s="1" t="str">
        <x:v>84879</x:v>
      </x:c>
      <x:c r="B6489" s="9" t="d">
        <x:v>2011-09-05T00:00:00.000Z</x:v>
      </x:c>
      <x:c r="C6489" s="13" t="n">
        <x:v>48</x:v>
      </x:c>
    </x:row>
    <x:row r="6490" ht="20" customHeight="1">
      <x:c r="A6490" s="1" t="str">
        <x:v>84879</x:v>
      </x:c>
      <x:c r="B6490" s="9" t="d">
        <x:v>2011-09-06T00:00:00.000Z</x:v>
      </x:c>
      <x:c r="C6490" s="13" t="n">
        <x:v>88</x:v>
      </x:c>
    </x:row>
    <x:row r="6491" ht="20" customHeight="1">
      <x:c r="A6491" s="1" t="str">
        <x:v>84879</x:v>
      </x:c>
      <x:c r="B6491" s="9" t="d">
        <x:v>2011-09-07T00:00:00.000Z</x:v>
      </x:c>
      <x:c r="C6491" s="13" t="n">
        <x:v>72</x:v>
      </x:c>
    </x:row>
    <x:row r="6492" ht="20" customHeight="1">
      <x:c r="A6492" s="1" t="str">
        <x:v>84879</x:v>
      </x:c>
      <x:c r="B6492" s="9" t="d">
        <x:v>2011-09-08T00:00:00.000Z</x:v>
      </x:c>
      <x:c r="C6492" s="13" t="n">
        <x:v>136</x:v>
      </x:c>
    </x:row>
    <x:row r="6493" ht="20" customHeight="1">
      <x:c r="A6493" s="1" t="str">
        <x:v>84879</x:v>
      </x:c>
      <x:c r="B6493" s="9" t="d">
        <x:v>2011-09-09T00:00:00.000Z</x:v>
      </x:c>
      <x:c r="C6493" s="13" t="n">
        <x:v>40</x:v>
      </x:c>
    </x:row>
    <x:row r="6494" ht="20" customHeight="1">
      <x:c r="A6494" s="1" t="str">
        <x:v>84879</x:v>
      </x:c>
      <x:c r="B6494" s="9" t="d">
        <x:v>2011-09-10T00:00:00.000Z</x:v>
      </x:c>
      <x:c r="C6494" s="13" t="n">
        <x:v>0</x:v>
      </x:c>
    </x:row>
    <x:row r="6495" ht="20" customHeight="1">
      <x:c r="A6495" s="1" t="str">
        <x:v>84879</x:v>
      </x:c>
      <x:c r="B6495" s="9" t="d">
        <x:v>2011-09-11T00:00:00.000Z</x:v>
      </x:c>
      <x:c r="C6495" s="13" t="n">
        <x:v>104</x:v>
      </x:c>
    </x:row>
    <x:row r="6496" ht="20" customHeight="1">
      <x:c r="A6496" s="1" t="str">
        <x:v>84879</x:v>
      </x:c>
      <x:c r="B6496" s="9" t="d">
        <x:v>2011-09-12T00:00:00.000Z</x:v>
      </x:c>
      <x:c r="C6496" s="13" t="n">
        <x:v>48</x:v>
      </x:c>
    </x:row>
    <x:row r="6497" ht="20" customHeight="1">
      <x:c r="A6497" s="1" t="str">
        <x:v>84879</x:v>
      </x:c>
      <x:c r="B6497" s="9" t="d">
        <x:v>2011-09-13T00:00:00.000Z</x:v>
      </x:c>
      <x:c r="C6497" s="13" t="n">
        <x:v>296</x:v>
      </x:c>
    </x:row>
    <x:row r="6498" ht="20" customHeight="1">
      <x:c r="A6498" s="1" t="str">
        <x:v>84879</x:v>
      </x:c>
      <x:c r="B6498" s="9" t="d">
        <x:v>2011-09-14T00:00:00.000Z</x:v>
      </x:c>
      <x:c r="C6498" s="13" t="n">
        <x:v>48</x:v>
      </x:c>
    </x:row>
    <x:row r="6499" ht="20" customHeight="1">
      <x:c r="A6499" s="1" t="str">
        <x:v>84879</x:v>
      </x:c>
      <x:c r="B6499" s="9" t="d">
        <x:v>2011-09-15T00:00:00.000Z</x:v>
      </x:c>
      <x:c r="C6499" s="13" t="n">
        <x:v>400</x:v>
      </x:c>
    </x:row>
    <x:row r="6500" ht="20" customHeight="1">
      <x:c r="A6500" s="1" t="str">
        <x:v>84879</x:v>
      </x:c>
      <x:c r="B6500" s="9" t="d">
        <x:v>2011-09-16T00:00:00.000Z</x:v>
      </x:c>
      <x:c r="C6500" s="13" t="n">
        <x:v>68</x:v>
      </x:c>
    </x:row>
    <x:row r="6501" ht="20" customHeight="1">
      <x:c r="A6501" s="1" t="str">
        <x:v>84879</x:v>
      </x:c>
      <x:c r="B6501" s="9" t="d">
        <x:v>2011-09-17T00:00:00.000Z</x:v>
      </x:c>
      <x:c r="C6501" s="13" t="n">
        <x:v>0</x:v>
      </x:c>
    </x:row>
    <x:row r="6502" ht="20" customHeight="1">
      <x:c r="A6502" s="1" t="str">
        <x:v>84879</x:v>
      </x:c>
      <x:c r="B6502" s="9" t="d">
        <x:v>2011-09-18T00:00:00.000Z</x:v>
      </x:c>
      <x:c r="C6502" s="13" t="n">
        <x:v>48</x:v>
      </x:c>
    </x:row>
    <x:row r="6503" ht="20" customHeight="1">
      <x:c r="A6503" s="1" t="str">
        <x:v>84879</x:v>
      </x:c>
      <x:c r="B6503" s="9" t="d">
        <x:v>2011-09-19T00:00:00.000Z</x:v>
      </x:c>
      <x:c r="C6503" s="13" t="n">
        <x:v>104</x:v>
      </x:c>
    </x:row>
    <x:row r="6504" ht="20" customHeight="1">
      <x:c r="A6504" s="1" t="str">
        <x:v>84879</x:v>
      </x:c>
      <x:c r="B6504" s="9" t="d">
        <x:v>2011-09-20T00:00:00.000Z</x:v>
      </x:c>
      <x:c r="C6504" s="13" t="n">
        <x:v>64</x:v>
      </x:c>
    </x:row>
    <x:row r="6505" ht="20" customHeight="1">
      <x:c r="A6505" s="1" t="str">
        <x:v>84879</x:v>
      </x:c>
      <x:c r="B6505" s="9" t="d">
        <x:v>2011-09-21T00:00:00.000Z</x:v>
      </x:c>
      <x:c r="C6505" s="13" t="n">
        <x:v>56</x:v>
      </x:c>
    </x:row>
    <x:row r="6506" ht="20" customHeight="1">
      <x:c r="A6506" s="1" t="str">
        <x:v>84879</x:v>
      </x:c>
      <x:c r="B6506" s="9" t="d">
        <x:v>2011-09-22T00:00:00.000Z</x:v>
      </x:c>
      <x:c r="C6506" s="13" t="n">
        <x:v>348</x:v>
      </x:c>
    </x:row>
    <x:row r="6507" ht="20" customHeight="1">
      <x:c r="A6507" s="1" t="str">
        <x:v>84879</x:v>
      </x:c>
      <x:c r="B6507" s="9" t="d">
        <x:v>2011-09-23T00:00:00.000Z</x:v>
      </x:c>
      <x:c r="C6507" s="13" t="n">
        <x:v>32</x:v>
      </x:c>
    </x:row>
    <x:row r="6508" ht="20" customHeight="1">
      <x:c r="A6508" s="1" t="str">
        <x:v>84879</x:v>
      </x:c>
      <x:c r="B6508" s="9" t="d">
        <x:v>2011-09-24T00:00:00.000Z</x:v>
      </x:c>
      <x:c r="C6508" s="13" t="n">
        <x:v>0</x:v>
      </x:c>
    </x:row>
    <x:row r="6509" ht="20" customHeight="1">
      <x:c r="A6509" s="1" t="str">
        <x:v>84879</x:v>
      </x:c>
      <x:c r="B6509" s="9" t="d">
        <x:v>2011-09-25T00:00:00.000Z</x:v>
      </x:c>
      <x:c r="C6509" s="13" t="n">
        <x:v>97</x:v>
      </x:c>
    </x:row>
    <x:row r="6510" ht="20" customHeight="1">
      <x:c r="A6510" s="1" t="str">
        <x:v>84879</x:v>
      </x:c>
      <x:c r="B6510" s="9" t="d">
        <x:v>2011-09-26T00:00:00.000Z</x:v>
      </x:c>
      <x:c r="C6510" s="13" t="n">
        <x:v>245</x:v>
      </x:c>
    </x:row>
    <x:row r="6511" ht="20" customHeight="1">
      <x:c r="A6511" s="1" t="str">
        <x:v>84879</x:v>
      </x:c>
      <x:c r="B6511" s="9" t="d">
        <x:v>2011-09-27T00:00:00.000Z</x:v>
      </x:c>
      <x:c r="C6511" s="13" t="n">
        <x:v>74</x:v>
      </x:c>
    </x:row>
    <x:row r="6512" ht="20" customHeight="1">
      <x:c r="A6512" s="1" t="str">
        <x:v>84879</x:v>
      </x:c>
      <x:c r="B6512" s="9" t="d">
        <x:v>2011-09-28T00:00:00.000Z</x:v>
      </x:c>
      <x:c r="C6512" s="13" t="n">
        <x:v>224</x:v>
      </x:c>
    </x:row>
    <x:row r="6513" ht="20" customHeight="1">
      <x:c r="A6513" s="1" t="str">
        <x:v>84879</x:v>
      </x:c>
      <x:c r="B6513" s="9" t="d">
        <x:v>2011-09-29T00:00:00.000Z</x:v>
      </x:c>
      <x:c r="C6513" s="13" t="n">
        <x:v>184</x:v>
      </x:c>
    </x:row>
    <x:row r="6514" ht="20" customHeight="1">
      <x:c r="A6514" s="1" t="str">
        <x:v>84879</x:v>
      </x:c>
      <x:c r="B6514" s="9" t="d">
        <x:v>2011-09-30T00:00:00.000Z</x:v>
      </x:c>
      <x:c r="C6514" s="13" t="n">
        <x:v>48</x:v>
      </x:c>
    </x:row>
    <x:row r="6515" ht="20" customHeight="1">
      <x:c r="A6515" s="1" t="str">
        <x:v>84879</x:v>
      </x:c>
      <x:c r="B6515" s="9" t="d">
        <x:v>2011-10-01T00:00:00.000Z</x:v>
      </x:c>
      <x:c r="C6515" s="13" t="n">
        <x:v>0</x:v>
      </x:c>
    </x:row>
    <x:row r="6516" ht="20" customHeight="1">
      <x:c r="A6516" s="1" t="str">
        <x:v>84879</x:v>
      </x:c>
      <x:c r="B6516" s="9" t="d">
        <x:v>2011-10-02T00:00:00.000Z</x:v>
      </x:c>
      <x:c r="C6516" s="13" t="n">
        <x:v>16</x:v>
      </x:c>
    </x:row>
    <x:row r="6517" ht="20" customHeight="1">
      <x:c r="A6517" s="1" t="str">
        <x:v>84879</x:v>
      </x:c>
      <x:c r="B6517" s="9" t="d">
        <x:v>2011-10-03T00:00:00.000Z</x:v>
      </x:c>
      <x:c r="C6517" s="13" t="n">
        <x:v>72</x:v>
      </x:c>
    </x:row>
    <x:row r="6518" ht="20" customHeight="1">
      <x:c r="A6518" s="1" t="str">
        <x:v>84879</x:v>
      </x:c>
      <x:c r="B6518" s="9" t="d">
        <x:v>2011-10-04T00:00:00.000Z</x:v>
      </x:c>
      <x:c r="C6518" s="13" t="n">
        <x:v>84</x:v>
      </x:c>
    </x:row>
    <x:row r="6519" ht="20" customHeight="1">
      <x:c r="A6519" s="1" t="str">
        <x:v>84879</x:v>
      </x:c>
      <x:c r="B6519" s="9" t="d">
        <x:v>2011-10-05T00:00:00.000Z</x:v>
      </x:c>
      <x:c r="C6519" s="13" t="n">
        <x:v>91</x:v>
      </x:c>
    </x:row>
    <x:row r="6520" ht="20" customHeight="1">
      <x:c r="A6520" s="1" t="str">
        <x:v>84879</x:v>
      </x:c>
      <x:c r="B6520" s="9" t="d">
        <x:v>2011-10-06T00:00:00.000Z</x:v>
      </x:c>
      <x:c r="C6520" s="13" t="n">
        <x:v>285</x:v>
      </x:c>
    </x:row>
    <x:row r="6521" ht="20" customHeight="1">
      <x:c r="A6521" s="1" t="str">
        <x:v>84879</x:v>
      </x:c>
      <x:c r="B6521" s="9" t="d">
        <x:v>2011-10-07T00:00:00.000Z</x:v>
      </x:c>
      <x:c r="C6521" s="13" t="n">
        <x:v>48</x:v>
      </x:c>
    </x:row>
    <x:row r="6522" ht="20" customHeight="1">
      <x:c r="A6522" s="1" t="str">
        <x:v>84879</x:v>
      </x:c>
      <x:c r="B6522" s="9" t="d">
        <x:v>2011-10-08T00:00:00.000Z</x:v>
      </x:c>
      <x:c r="C6522" s="13" t="n">
        <x:v>0</x:v>
      </x:c>
    </x:row>
    <x:row r="6523" ht="20" customHeight="1">
      <x:c r="A6523" s="1" t="str">
        <x:v>84879</x:v>
      </x:c>
      <x:c r="B6523" s="9" t="d">
        <x:v>2011-10-09T00:00:00.000Z</x:v>
      </x:c>
      <x:c r="C6523" s="13" t="n">
        <x:v>9</x:v>
      </x:c>
    </x:row>
    <x:row r="6524" ht="20" customHeight="1">
      <x:c r="A6524" s="1" t="str">
        <x:v>84879</x:v>
      </x:c>
      <x:c r="B6524" s="9" t="d">
        <x:v>2011-10-10T00:00:00.000Z</x:v>
      </x:c>
      <x:c r="C6524" s="13" t="n">
        <x:v>40</x:v>
      </x:c>
    </x:row>
    <x:row r="6525" ht="20" customHeight="1">
      <x:c r="A6525" s="1" t="str">
        <x:v>84879</x:v>
      </x:c>
      <x:c r="B6525" s="9" t="d">
        <x:v>2011-10-11T00:00:00.000Z</x:v>
      </x:c>
      <x:c r="C6525" s="13" t="n">
        <x:v>76</x:v>
      </x:c>
    </x:row>
    <x:row r="6526" ht="20" customHeight="1">
      <x:c r="A6526" s="1" t="str">
        <x:v>84879</x:v>
      </x:c>
      <x:c r="B6526" s="9" t="d">
        <x:v>2011-10-12T00:00:00.000Z</x:v>
      </x:c>
      <x:c r="C6526" s="13" t="n">
        <x:v>56</x:v>
      </x:c>
    </x:row>
    <x:row r="6527" ht="20" customHeight="1">
      <x:c r="A6527" s="1" t="str">
        <x:v>84879</x:v>
      </x:c>
      <x:c r="B6527" s="9" t="d">
        <x:v>2011-10-13T00:00:00.000Z</x:v>
      </x:c>
      <x:c r="C6527" s="13" t="n">
        <x:v>116</x:v>
      </x:c>
    </x:row>
    <x:row r="6528" ht="20" customHeight="1">
      <x:c r="A6528" s="1" t="str">
        <x:v>84879</x:v>
      </x:c>
      <x:c r="B6528" s="9" t="d">
        <x:v>2011-10-14T00:00:00.000Z</x:v>
      </x:c>
      <x:c r="C6528" s="13" t="n">
        <x:v>72</x:v>
      </x:c>
    </x:row>
    <x:row r="6529" ht="20" customHeight="1">
      <x:c r="A6529" s="1" t="str">
        <x:v>84879</x:v>
      </x:c>
      <x:c r="B6529" s="9" t="d">
        <x:v>2011-10-15T00:00:00.000Z</x:v>
      </x:c>
      <x:c r="C6529" s="13" t="n">
        <x:v>0</x:v>
      </x:c>
    </x:row>
    <x:row r="6530" ht="20" customHeight="1">
      <x:c r="A6530" s="1" t="str">
        <x:v>84879</x:v>
      </x:c>
      <x:c r="B6530" s="9" t="d">
        <x:v>2011-10-16T00:00:00.000Z</x:v>
      </x:c>
      <x:c r="C6530" s="13" t="n">
        <x:v>60</x:v>
      </x:c>
    </x:row>
    <x:row r="6531" ht="20" customHeight="1">
      <x:c r="A6531" s="1" t="str">
        <x:v>84879</x:v>
      </x:c>
      <x:c r="B6531" s="9" t="d">
        <x:v>2011-10-17T00:00:00.000Z</x:v>
      </x:c>
      <x:c r="C6531" s="13" t="n">
        <x:v>392</x:v>
      </x:c>
    </x:row>
    <x:row r="6532" ht="20" customHeight="1">
      <x:c r="A6532" s="1" t="str">
        <x:v>84879</x:v>
      </x:c>
      <x:c r="B6532" s="9" t="d">
        <x:v>2011-10-18T00:00:00.000Z</x:v>
      </x:c>
      <x:c r="C6532" s="13" t="n">
        <x:v>48</x:v>
      </x:c>
    </x:row>
    <x:row r="6533" ht="20" customHeight="1">
      <x:c r="A6533" s="1" t="str">
        <x:v>84879</x:v>
      </x:c>
      <x:c r="B6533" s="9" t="d">
        <x:v>2011-10-19T00:00:00.000Z</x:v>
      </x:c>
      <x:c r="C6533" s="13" t="n">
        <x:v>158</x:v>
      </x:c>
    </x:row>
    <x:row r="6534" ht="20" customHeight="1">
      <x:c r="A6534" s="1" t="str">
        <x:v>84879</x:v>
      </x:c>
      <x:c r="B6534" s="9" t="d">
        <x:v>2011-10-20T00:00:00.000Z</x:v>
      </x:c>
      <x:c r="C6534" s="13" t="n">
        <x:v>148</x:v>
      </x:c>
    </x:row>
    <x:row r="6535" ht="20" customHeight="1">
      <x:c r="A6535" s="1" t="str">
        <x:v>84879</x:v>
      </x:c>
      <x:c r="B6535" s="9" t="d">
        <x:v>2011-10-21T00:00:00.000Z</x:v>
      </x:c>
      <x:c r="C6535" s="13" t="n">
        <x:v>16</x:v>
      </x:c>
    </x:row>
    <x:row r="6536" ht="20" customHeight="1">
      <x:c r="A6536" s="1" t="str">
        <x:v>84879</x:v>
      </x:c>
      <x:c r="B6536" s="9" t="d">
        <x:v>2011-10-22T00:00:00.000Z</x:v>
      </x:c>
      <x:c r="C6536" s="13" t="n">
        <x:v>0</x:v>
      </x:c>
    </x:row>
    <x:row r="6537" ht="20" customHeight="1">
      <x:c r="A6537" s="1" t="str">
        <x:v>84879</x:v>
      </x:c>
      <x:c r="B6537" s="9" t="d">
        <x:v>2011-10-23T00:00:00.000Z</x:v>
      </x:c>
      <x:c r="C6537" s="13" t="n">
        <x:v>59</x:v>
      </x:c>
    </x:row>
    <x:row r="6538" ht="20" customHeight="1">
      <x:c r="A6538" s="1" t="str">
        <x:v>84879</x:v>
      </x:c>
      <x:c r="B6538" s="9" t="d">
        <x:v>2011-10-24T00:00:00.000Z</x:v>
      </x:c>
      <x:c r="C6538" s="13" t="n">
        <x:v>128</x:v>
      </x:c>
    </x:row>
    <x:row r="6539" ht="20" customHeight="1">
      <x:c r="A6539" s="1" t="str">
        <x:v>84879</x:v>
      </x:c>
      <x:c r="B6539" s="9" t="d">
        <x:v>2011-10-25T00:00:00.000Z</x:v>
      </x:c>
      <x:c r="C6539" s="13" t="n">
        <x:v>80</x:v>
      </x:c>
    </x:row>
    <x:row r="6540" ht="20" customHeight="1">
      <x:c r="A6540" s="1" t="str">
        <x:v>84879</x:v>
      </x:c>
      <x:c r="B6540" s="9" t="d">
        <x:v>2011-10-26T00:00:00.000Z</x:v>
      </x:c>
      <x:c r="C6540" s="13" t="n">
        <x:v>217</x:v>
      </x:c>
    </x:row>
    <x:row r="6541" ht="20" customHeight="1">
      <x:c r="A6541" s="1" t="str">
        <x:v>84879</x:v>
      </x:c>
      <x:c r="B6541" s="9" t="d">
        <x:v>2011-10-27T00:00:00.000Z</x:v>
      </x:c>
      <x:c r="C6541" s="13" t="n">
        <x:v>40</x:v>
      </x:c>
    </x:row>
    <x:row r="6542" ht="20" customHeight="1">
      <x:c r="A6542" s="1" t="str">
        <x:v>84879</x:v>
      </x:c>
      <x:c r="B6542" s="9" t="d">
        <x:v>2011-10-28T00:00:00.000Z</x:v>
      </x:c>
      <x:c r="C6542" s="13" t="n">
        <x:v>49</x:v>
      </x:c>
    </x:row>
    <x:row r="6543" ht="20" customHeight="1">
      <x:c r="A6543" s="1" t="str">
        <x:v>84879</x:v>
      </x:c>
      <x:c r="B6543" s="9" t="d">
        <x:v>2011-10-29T00:00:00.000Z</x:v>
      </x:c>
      <x:c r="C6543" s="13" t="n">
        <x:v>0</x:v>
      </x:c>
    </x:row>
    <x:row r="6544" ht="20" customHeight="1">
      <x:c r="A6544" s="1" t="str">
        <x:v>84879</x:v>
      </x:c>
      <x:c r="B6544" s="9" t="d">
        <x:v>2011-10-30T00:00:00.000Z</x:v>
      </x:c>
      <x:c r="C6544" s="13" t="n">
        <x:v>264</x:v>
      </x:c>
    </x:row>
    <x:row r="6545" ht="20" customHeight="1">
      <x:c r="A6545" s="1" t="str">
        <x:v>84879</x:v>
      </x:c>
      <x:c r="B6545" s="9" t="d">
        <x:v>2011-10-31T00:00:00.000Z</x:v>
      </x:c>
      <x:c r="C6545" s="13" t="n">
        <x:v>120</x:v>
      </x:c>
    </x:row>
    <x:row r="6546" ht="20" customHeight="1">
      <x:c r="A6546" s="1" t="str">
        <x:v>84879</x:v>
      </x:c>
      <x:c r="B6546" s="9" t="d">
        <x:v>2011-11-01T00:00:00.000Z</x:v>
      </x:c>
      <x:c r="C6546" s="13" t="n">
        <x:v>294</x:v>
      </x:c>
    </x:row>
    <x:row r="6547" ht="20" customHeight="1">
      <x:c r="A6547" s="1" t="str">
        <x:v>84879</x:v>
      </x:c>
      <x:c r="B6547" s="9" t="d">
        <x:v>2011-11-02T00:00:00.000Z</x:v>
      </x:c>
      <x:c r="C6547" s="13" t="n">
        <x:v>128</x:v>
      </x:c>
    </x:row>
    <x:row r="6548" ht="20" customHeight="1">
      <x:c r="A6548" s="1" t="str">
        <x:v>84879</x:v>
      </x:c>
      <x:c r="B6548" s="9" t="d">
        <x:v>2011-11-03T00:00:00.000Z</x:v>
      </x:c>
      <x:c r="C6548" s="13" t="n">
        <x:v>210</x:v>
      </x:c>
    </x:row>
    <x:row r="6549" ht="20" customHeight="1">
      <x:c r="A6549" s="1" t="str">
        <x:v>84879</x:v>
      </x:c>
      <x:c r="B6549" s="9" t="d">
        <x:v>2011-11-04T00:00:00.000Z</x:v>
      </x:c>
      <x:c r="C6549" s="13" t="n">
        <x:v>80</x:v>
      </x:c>
    </x:row>
    <x:row r="6550" ht="20" customHeight="1">
      <x:c r="A6550" s="1" t="str">
        <x:v>84879</x:v>
      </x:c>
      <x:c r="B6550" s="9" t="d">
        <x:v>2011-11-05T00:00:00.000Z</x:v>
      </x:c>
      <x:c r="C6550" s="13" t="n">
        <x:v>0</x:v>
      </x:c>
    </x:row>
    <x:row r="6551" ht="20" customHeight="1">
      <x:c r="A6551" s="1" t="str">
        <x:v>84879</x:v>
      </x:c>
      <x:c r="B6551" s="9" t="d">
        <x:v>2011-11-06T00:00:00.000Z</x:v>
      </x:c>
      <x:c r="C6551" s="13" t="n">
        <x:v>136</x:v>
      </x:c>
    </x:row>
    <x:row r="6552" ht="20" customHeight="1">
      <x:c r="A6552" s="1" t="str">
        <x:v>84879</x:v>
      </x:c>
      <x:c r="B6552" s="9" t="d">
        <x:v>2011-11-07T00:00:00.000Z</x:v>
      </x:c>
      <x:c r="C6552" s="13" t="n">
        <x:v>24</x:v>
      </x:c>
    </x:row>
    <x:row r="6553" ht="20" customHeight="1">
      <x:c r="A6553" s="1" t="str">
        <x:v>84879</x:v>
      </x:c>
      <x:c r="B6553" s="9" t="d">
        <x:v>2011-11-08T00:00:00.000Z</x:v>
      </x:c>
      <x:c r="C6553" s="13" t="n">
        <x:v>56</x:v>
      </x:c>
    </x:row>
    <x:row r="6554" ht="20" customHeight="1">
      <x:c r="A6554" s="1" t="str">
        <x:v>84879</x:v>
      </x:c>
      <x:c r="B6554" s="9" t="d">
        <x:v>2011-11-09T00:00:00.000Z</x:v>
      </x:c>
      <x:c r="C6554" s="13" t="n">
        <x:v>1312</x:v>
      </x:c>
    </x:row>
    <x:row r="6555" ht="20" customHeight="1">
      <x:c r="A6555" s="1" t="str">
        <x:v>84879</x:v>
      </x:c>
      <x:c r="B6555" s="9" t="d">
        <x:v>2011-11-10T00:00:00.000Z</x:v>
      </x:c>
      <x:c r="C6555" s="13" t="n">
        <x:v>200</x:v>
      </x:c>
    </x:row>
    <x:row r="6556" ht="20" customHeight="1">
      <x:c r="A6556" s="1" t="str">
        <x:v>84879</x:v>
      </x:c>
      <x:c r="B6556" s="9" t="d">
        <x:v>2011-11-11T00:00:00.000Z</x:v>
      </x:c>
      <x:c r="C6556" s="13" t="n">
        <x:v>92</x:v>
      </x:c>
    </x:row>
    <x:row r="6557" ht="20" customHeight="1">
      <x:c r="A6557" s="1" t="str">
        <x:v>84879</x:v>
      </x:c>
      <x:c r="B6557" s="9" t="d">
        <x:v>2011-11-12T00:00:00.000Z</x:v>
      </x:c>
      <x:c r="C6557" s="13" t="n">
        <x:v>0</x:v>
      </x:c>
    </x:row>
    <x:row r="6558" ht="20" customHeight="1">
      <x:c r="A6558" s="1" t="str">
        <x:v>84879</x:v>
      </x:c>
      <x:c r="B6558" s="9" t="d">
        <x:v>2011-11-13T00:00:00.000Z</x:v>
      </x:c>
      <x:c r="C6558" s="13" t="n">
        <x:v>56</x:v>
      </x:c>
    </x:row>
    <x:row r="6559" ht="20" customHeight="1">
      <x:c r="A6559" s="1" t="str">
        <x:v>84879</x:v>
      </x:c>
      <x:c r="B6559" s="9" t="d">
        <x:v>2011-11-14T00:00:00.000Z</x:v>
      </x:c>
      <x:c r="C6559" s="13" t="n">
        <x:v>303</x:v>
      </x:c>
    </x:row>
    <x:row r="6560" ht="20" customHeight="1">
      <x:c r="A6560" s="1" t="str">
        <x:v>84879</x:v>
      </x:c>
      <x:c r="B6560" s="9" t="d">
        <x:v>2011-11-15T00:00:00.000Z</x:v>
      </x:c>
      <x:c r="C6560" s="13" t="n">
        <x:v>107</x:v>
      </x:c>
    </x:row>
    <x:row r="6561" ht="20" customHeight="1">
      <x:c r="A6561" s="1" t="str">
        <x:v>84879</x:v>
      </x:c>
      <x:c r="B6561" s="9" t="d">
        <x:v>2011-11-16T00:00:00.000Z</x:v>
      </x:c>
      <x:c r="C6561" s="13" t="n">
        <x:v>289</x:v>
      </x:c>
    </x:row>
    <x:row r="6562" ht="20" customHeight="1">
      <x:c r="A6562" s="1" t="str">
        <x:v>84879</x:v>
      </x:c>
      <x:c r="B6562" s="9" t="d">
        <x:v>2011-11-17T00:00:00.000Z</x:v>
      </x:c>
      <x:c r="C6562" s="13" t="n">
        <x:v>94</x:v>
      </x:c>
    </x:row>
    <x:row r="6563" ht="20" customHeight="1">
      <x:c r="A6563" s="1" t="str">
        <x:v>84879</x:v>
      </x:c>
      <x:c r="B6563" s="9" t="d">
        <x:v>2011-11-18T00:00:00.000Z</x:v>
      </x:c>
      <x:c r="C6563" s="13" t="n">
        <x:v>368</x:v>
      </x:c>
    </x:row>
    <x:row r="6564" ht="20" customHeight="1">
      <x:c r="A6564" s="1" t="str">
        <x:v>84879</x:v>
      </x:c>
      <x:c r="B6564" s="9" t="d">
        <x:v>2011-11-19T00:00:00.000Z</x:v>
      </x:c>
      <x:c r="C6564" s="13" t="n">
        <x:v>0</x:v>
      </x:c>
    </x:row>
    <x:row r="6565" ht="20" customHeight="1">
      <x:c r="A6565" s="1" t="str">
        <x:v>84879</x:v>
      </x:c>
      <x:c r="B6565" s="9" t="d">
        <x:v>2011-11-20T00:00:00.000Z</x:v>
      </x:c>
      <x:c r="C6565" s="13" t="n">
        <x:v>149</x:v>
      </x:c>
    </x:row>
    <x:row r="6566" ht="20" customHeight="1">
      <x:c r="A6566" s="1" t="str">
        <x:v>84879</x:v>
      </x:c>
      <x:c r="B6566" s="9" t="d">
        <x:v>2011-11-21T00:00:00.000Z</x:v>
      </x:c>
      <x:c r="C6566" s="13" t="n">
        <x:v>179</x:v>
      </x:c>
    </x:row>
    <x:row r="6567" ht="20" customHeight="1">
      <x:c r="A6567" s="1" t="str">
        <x:v>84879</x:v>
      </x:c>
      <x:c r="B6567" s="9" t="d">
        <x:v>2011-11-22T00:00:00.000Z</x:v>
      </x:c>
      <x:c r="C6567" s="13" t="n">
        <x:v>132</x:v>
      </x:c>
    </x:row>
    <x:row r="6568" ht="20" customHeight="1">
      <x:c r="A6568" s="1" t="str">
        <x:v>84879</x:v>
      </x:c>
      <x:c r="B6568" s="9" t="d">
        <x:v>2011-11-23T00:00:00.000Z</x:v>
      </x:c>
      <x:c r="C6568" s="13" t="n">
        <x:v>80</x:v>
      </x:c>
    </x:row>
    <x:row r="6569" ht="20" customHeight="1">
      <x:c r="A6569" s="1" t="str">
        <x:v>84879</x:v>
      </x:c>
      <x:c r="B6569" s="9" t="d">
        <x:v>2011-11-24T00:00:00.000Z</x:v>
      </x:c>
      <x:c r="C6569" s="13" t="n">
        <x:v>355</x:v>
      </x:c>
    </x:row>
    <x:row r="6570" ht="20" customHeight="1">
      <x:c r="A6570" s="1" t="str">
        <x:v>84879</x:v>
      </x:c>
      <x:c r="B6570" s="9" t="d">
        <x:v>2011-11-25T00:00:00.000Z</x:v>
      </x:c>
      <x:c r="C6570" s="13" t="n">
        <x:v>272</x:v>
      </x:c>
    </x:row>
    <x:row r="6571" ht="20" customHeight="1">
      <x:c r="A6571" s="1" t="str">
        <x:v>84879</x:v>
      </x:c>
      <x:c r="B6571" s="9" t="d">
        <x:v>2011-11-26T00:00:00.000Z</x:v>
      </x:c>
      <x:c r="C6571" s="13" t="n">
        <x:v>0</x:v>
      </x:c>
    </x:row>
    <x:row r="6572" ht="20" customHeight="1">
      <x:c r="A6572" s="1" t="str">
        <x:v>84879</x:v>
      </x:c>
      <x:c r="B6572" s="9" t="d">
        <x:v>2011-11-27T00:00:00.000Z</x:v>
      </x:c>
      <x:c r="C6572" s="13" t="n">
        <x:v>8</x:v>
      </x:c>
    </x:row>
    <x:row r="6573" ht="20" customHeight="1">
      <x:c r="A6573" s="1" t="str">
        <x:v>84879</x:v>
      </x:c>
      <x:c r="B6573" s="9" t="d">
        <x:v>2011-11-28T00:00:00.000Z</x:v>
      </x:c>
      <x:c r="C6573" s="13" t="n">
        <x:v>56</x:v>
      </x:c>
    </x:row>
    <x:row r="6574" ht="20" customHeight="1">
      <x:c r="A6574" s="1" t="str">
        <x:v>84879</x:v>
      </x:c>
      <x:c r="B6574" s="9" t="d">
        <x:v>2011-11-29T00:00:00.000Z</x:v>
      </x:c>
      <x:c r="C6574" s="13" t="n">
        <x:v>127</x:v>
      </x:c>
    </x:row>
    <x:row r="6575" ht="20" customHeight="1">
      <x:c r="A6575" s="1" t="str">
        <x:v>84879</x:v>
      </x:c>
      <x:c r="B6575" s="9" t="d">
        <x:v>2011-11-30T00:00:00.000Z</x:v>
      </x:c>
      <x:c r="C6575" s="13" t="n">
        <x:v>112</x:v>
      </x:c>
    </x:row>
    <x:row r="6576" ht="20" customHeight="1">
      <x:c r="A6576" s="1" t="str">
        <x:v>85099B</x:v>
      </x:c>
      <x:c r="B6576" s="9" t="d">
        <x:v>2010-12-01T00:00:00.000Z</x:v>
      </x:c>
      <x:c r="C6576" s="13" t="n">
        <x:v>556</x:v>
      </x:c>
    </x:row>
    <x:row r="6577" ht="20" customHeight="1">
      <x:c r="A6577" s="1" t="str">
        <x:v>85099B</x:v>
      </x:c>
      <x:c r="B6577" s="9" t="d">
        <x:v>2010-12-02T00:00:00.000Z</x:v>
      </x:c>
      <x:c r="C6577" s="13" t="n">
        <x:v>48</x:v>
      </x:c>
    </x:row>
    <x:row r="6578" ht="20" customHeight="1">
      <x:c r="A6578" s="1" t="str">
        <x:v>85099B</x:v>
      </x:c>
      <x:c r="B6578" s="9" t="d">
        <x:v>2010-12-03T00:00:00.000Z</x:v>
      </x:c>
      <x:c r="C6578" s="13" t="n">
        <x:v>49</x:v>
      </x:c>
    </x:row>
    <x:row r="6579" ht="20" customHeight="1">
      <x:c r="A6579" s="1" t="str">
        <x:v>85099B</x:v>
      </x:c>
      <x:c r="B6579" s="9" t="d">
        <x:v>2010-12-04T00:00:00.000Z</x:v>
      </x:c>
      <x:c r="C6579" s="13" t="n">
        <x:v>0</x:v>
      </x:c>
    </x:row>
    <x:row r="6580" ht="20" customHeight="1">
      <x:c r="A6580" s="1" t="str">
        <x:v>85099B</x:v>
      </x:c>
      <x:c r="B6580" s="9" t="d">
        <x:v>2010-12-05T00:00:00.000Z</x:v>
      </x:c>
      <x:c r="C6580" s="13" t="n">
        <x:v>39</x:v>
      </x:c>
    </x:row>
    <x:row r="6581" ht="20" customHeight="1">
      <x:c r="A6581" s="1" t="str">
        <x:v>85099B</x:v>
      </x:c>
      <x:c r="B6581" s="9" t="d">
        <x:v>2010-12-06T00:00:00.000Z</x:v>
      </x:c>
      <x:c r="C6581" s="13" t="n">
        <x:v>157</x:v>
      </x:c>
    </x:row>
    <x:row r="6582" ht="20" customHeight="1">
      <x:c r="A6582" s="1" t="str">
        <x:v>85099B</x:v>
      </x:c>
      <x:c r="B6582" s="9" t="d">
        <x:v>2010-12-07T00:00:00.000Z</x:v>
      </x:c>
      <x:c r="C6582" s="13" t="n">
        <x:v>343</x:v>
      </x:c>
    </x:row>
    <x:row r="6583" ht="20" customHeight="1">
      <x:c r="A6583" s="1" t="str">
        <x:v>85099B</x:v>
      </x:c>
      <x:c r="B6583" s="9" t="d">
        <x:v>2010-12-08T00:00:00.000Z</x:v>
      </x:c>
      <x:c r="C6583" s="13" t="n">
        <x:v>205</x:v>
      </x:c>
    </x:row>
    <x:row r="6584" ht="20" customHeight="1">
      <x:c r="A6584" s="1" t="str">
        <x:v>85099B</x:v>
      </x:c>
      <x:c r="B6584" s="9" t="d">
        <x:v>2010-12-09T00:00:00.000Z</x:v>
      </x:c>
      <x:c r="C6584" s="13" t="n">
        <x:v>21</x:v>
      </x:c>
    </x:row>
    <x:row r="6585" ht="20" customHeight="1">
      <x:c r="A6585" s="1" t="str">
        <x:v>85099B</x:v>
      </x:c>
      <x:c r="B6585" s="9" t="d">
        <x:v>2010-12-10T00:00:00.000Z</x:v>
      </x:c>
      <x:c r="C6585" s="13" t="n">
        <x:v>125</x:v>
      </x:c>
    </x:row>
    <x:row r="6586" ht="20" customHeight="1">
      <x:c r="A6586" s="1" t="str">
        <x:v>85099B</x:v>
      </x:c>
      <x:c r="B6586" s="9" t="d">
        <x:v>2010-12-11T00:00:00.000Z</x:v>
      </x:c>
      <x:c r="C6586" s="13" t="n">
        <x:v>0</x:v>
      </x:c>
    </x:row>
    <x:row r="6587" ht="20" customHeight="1">
      <x:c r="A6587" s="1" t="str">
        <x:v>85099B</x:v>
      </x:c>
      <x:c r="B6587" s="9" t="d">
        <x:v>2010-12-12T00:00:00.000Z</x:v>
      </x:c>
      <x:c r="C6587" s="13" t="n">
        <x:v>1</x:v>
      </x:c>
    </x:row>
    <x:row r="6588" ht="20" customHeight="1">
      <x:c r="A6588" s="1" t="str">
        <x:v>85099B</x:v>
      </x:c>
      <x:c r="B6588" s="9" t="d">
        <x:v>2010-12-13T00:00:00.000Z</x:v>
      </x:c>
      <x:c r="C6588" s="13" t="n">
        <x:v>28</x:v>
      </x:c>
    </x:row>
    <x:row r="6589" ht="20" customHeight="1">
      <x:c r="A6589" s="1" t="str">
        <x:v>85099B</x:v>
      </x:c>
      <x:c r="B6589" s="9" t="d">
        <x:v>2010-12-14T00:00:00.000Z</x:v>
      </x:c>
      <x:c r="C6589" s="13" t="n">
        <x:v>63</x:v>
      </x:c>
    </x:row>
    <x:row r="6590" ht="20" customHeight="1">
      <x:c r="A6590" s="1" t="str">
        <x:v>85099B</x:v>
      </x:c>
      <x:c r="B6590" s="9" t="d">
        <x:v>2010-12-15T00:00:00.000Z</x:v>
      </x:c>
      <x:c r="C6590" s="13" t="n">
        <x:v>80</x:v>
      </x:c>
    </x:row>
    <x:row r="6591" ht="20" customHeight="1">
      <x:c r="A6591" s="1" t="str">
        <x:v>85099B</x:v>
      </x:c>
      <x:c r="B6591" s="9" t="d">
        <x:v>2010-12-16T00:00:00.000Z</x:v>
      </x:c>
      <x:c r="C6591" s="13" t="n">
        <x:v>210</x:v>
      </x:c>
    </x:row>
    <x:row r="6592" ht="20" customHeight="1">
      <x:c r="A6592" s="1" t="str">
        <x:v>85099B</x:v>
      </x:c>
      <x:c r="B6592" s="9" t="d">
        <x:v>2010-12-17T00:00:00.000Z</x:v>
      </x:c>
      <x:c r="C6592" s="13" t="n">
        <x:v>45</x:v>
      </x:c>
    </x:row>
    <x:row r="6593" ht="20" customHeight="1">
      <x:c r="A6593" s="1" t="str">
        <x:v>85099B</x:v>
      </x:c>
      <x:c r="B6593" s="9" t="d">
        <x:v>2010-12-18T00:00:00.000Z</x:v>
      </x:c>
      <x:c r="C6593" s="13" t="n">
        <x:v>0</x:v>
      </x:c>
    </x:row>
    <x:row r="6594" ht="20" customHeight="1">
      <x:c r="A6594" s="1" t="str">
        <x:v>85099B</x:v>
      </x:c>
      <x:c r="B6594" s="9" t="d">
        <x:v>2010-12-19T00:00:00.000Z</x:v>
      </x:c>
      <x:c r="C6594" s="13" t="n">
        <x:v>1</x:v>
      </x:c>
    </x:row>
    <x:row r="6595" ht="20" customHeight="1">
      <x:c r="A6595" s="1" t="str">
        <x:v>85099B</x:v>
      </x:c>
      <x:c r="B6595" s="9" t="d">
        <x:v>2010-12-20T00:00:00.000Z</x:v>
      </x:c>
      <x:c r="C6595" s="13" t="n">
        <x:v>47</x:v>
      </x:c>
    </x:row>
    <x:row r="6596" ht="20" customHeight="1">
      <x:c r="A6596" s="1" t="str">
        <x:v>85099B</x:v>
      </x:c>
      <x:c r="B6596" s="9" t="d">
        <x:v>2010-12-21T00:00:00.000Z</x:v>
      </x:c>
      <x:c r="C6596" s="13" t="n">
        <x:v>122</x:v>
      </x:c>
    </x:row>
    <x:row r="6597" ht="20" customHeight="1">
      <x:c r="A6597" s="1" t="str">
        <x:v>85099B</x:v>
      </x:c>
      <x:c r="B6597" s="9" t="d">
        <x:v>2010-12-22T00:00:00.000Z</x:v>
      </x:c>
      <x:c r="C6597" s="13" t="n">
        <x:v>0</x:v>
      </x:c>
    </x:row>
    <x:row r="6598" ht="20" customHeight="1">
      <x:c r="A6598" s="1" t="str">
        <x:v>85099B</x:v>
      </x:c>
      <x:c r="B6598" s="9" t="d">
        <x:v>2010-12-23T00:00:00.000Z</x:v>
      </x:c>
      <x:c r="C6598" s="13" t="n">
        <x:v>11</x:v>
      </x:c>
    </x:row>
    <x:row r="6599" ht="20" customHeight="1">
      <x:c r="A6599" s="1" t="str">
        <x:v>85099B</x:v>
      </x:c>
      <x:c r="B6599" s="9" t="d">
        <x:v>2010-12-24T00:00:00.000Z</x:v>
      </x:c>
      <x:c r="C6599" s="13" t="n">
        <x:v>0</x:v>
      </x:c>
    </x:row>
    <x:row r="6600" ht="20" customHeight="1">
      <x:c r="A6600" s="1" t="str">
        <x:v>85099B</x:v>
      </x:c>
      <x:c r="B6600" s="9" t="d">
        <x:v>2010-12-25T00:00:00.000Z</x:v>
      </x:c>
      <x:c r="C6600" s="13" t="n">
        <x:v>0</x:v>
      </x:c>
    </x:row>
    <x:row r="6601" ht="20" customHeight="1">
      <x:c r="A6601" s="1" t="str">
        <x:v>85099B</x:v>
      </x:c>
      <x:c r="B6601" s="9" t="d">
        <x:v>2010-12-26T00:00:00.000Z</x:v>
      </x:c>
      <x:c r="C6601" s="13" t="n">
        <x:v>0</x:v>
      </x:c>
    </x:row>
    <x:row r="6602" ht="20" customHeight="1">
      <x:c r="A6602" s="1" t="str">
        <x:v>85099B</x:v>
      </x:c>
      <x:c r="B6602" s="9" t="d">
        <x:v>2010-12-27T00:00:00.000Z</x:v>
      </x:c>
      <x:c r="C6602" s="13" t="n">
        <x:v>0</x:v>
      </x:c>
    </x:row>
    <x:row r="6603" ht="20" customHeight="1">
      <x:c r="A6603" s="1" t="str">
        <x:v>85099B</x:v>
      </x:c>
      <x:c r="B6603" s="9" t="d">
        <x:v>2010-12-28T00:00:00.000Z</x:v>
      </x:c>
      <x:c r="C6603" s="13" t="n">
        <x:v>0</x:v>
      </x:c>
    </x:row>
    <x:row r="6604" ht="20" customHeight="1">
      <x:c r="A6604" s="1" t="str">
        <x:v>85099B</x:v>
      </x:c>
      <x:c r="B6604" s="9" t="d">
        <x:v>2010-12-29T00:00:00.000Z</x:v>
      </x:c>
      <x:c r="C6604" s="13" t="n">
        <x:v>0</x:v>
      </x:c>
    </x:row>
    <x:row r="6605" ht="20" customHeight="1">
      <x:c r="A6605" s="1" t="str">
        <x:v>85099B</x:v>
      </x:c>
      <x:c r="B6605" s="9" t="d">
        <x:v>2010-12-30T00:00:00.000Z</x:v>
      </x:c>
      <x:c r="C6605" s="13" t="n">
        <x:v>0</x:v>
      </x:c>
    </x:row>
    <x:row r="6606" ht="20" customHeight="1">
      <x:c r="A6606" s="1" t="str">
        <x:v>85099B</x:v>
      </x:c>
      <x:c r="B6606" s="9" t="d">
        <x:v>2010-12-31T00:00:00.000Z</x:v>
      </x:c>
      <x:c r="C6606" s="13" t="n">
        <x:v>0</x:v>
      </x:c>
    </x:row>
    <x:row r="6607" ht="20" customHeight="1">
      <x:c r="A6607" s="1" t="str">
        <x:v>85099B</x:v>
      </x:c>
      <x:c r="B6607" s="9" t="d">
        <x:v>2011-01-01T00:00:00.000Z</x:v>
      </x:c>
      <x:c r="C6607" s="13" t="n">
        <x:v>0</x:v>
      </x:c>
    </x:row>
    <x:row r="6608" ht="20" customHeight="1">
      <x:c r="A6608" s="1" t="str">
        <x:v>85099B</x:v>
      </x:c>
      <x:c r="B6608" s="9" t="d">
        <x:v>2011-01-02T00:00:00.000Z</x:v>
      </x:c>
      <x:c r="C6608" s="13" t="n">
        <x:v>0</x:v>
      </x:c>
    </x:row>
    <x:row r="6609" ht="20" customHeight="1">
      <x:c r="A6609" s="1" t="str">
        <x:v>85099B</x:v>
      </x:c>
      <x:c r="B6609" s="9" t="d">
        <x:v>2011-01-03T00:00:00.000Z</x:v>
      </x:c>
      <x:c r="C6609" s="13" t="n">
        <x:v>0</x:v>
      </x:c>
    </x:row>
    <x:row r="6610" ht="20" customHeight="1">
      <x:c r="A6610" s="1" t="str">
        <x:v>85099B</x:v>
      </x:c>
      <x:c r="B6610" s="9" t="d">
        <x:v>2011-01-04T00:00:00.000Z</x:v>
      </x:c>
      <x:c r="C6610" s="13" t="n">
        <x:v>27</x:v>
      </x:c>
    </x:row>
    <x:row r="6611" ht="20" customHeight="1">
      <x:c r="A6611" s="1" t="str">
        <x:v>85099B</x:v>
      </x:c>
      <x:c r="B6611" s="9" t="d">
        <x:v>2011-01-05T00:00:00.000Z</x:v>
      </x:c>
      <x:c r="C6611" s="13" t="n">
        <x:v>436</x:v>
      </x:c>
    </x:row>
    <x:row r="6612" ht="20" customHeight="1">
      <x:c r="A6612" s="1" t="str">
        <x:v>85099B</x:v>
      </x:c>
      <x:c r="B6612" s="9" t="d">
        <x:v>2011-01-06T00:00:00.000Z</x:v>
      </x:c>
      <x:c r="C6612" s="13" t="n">
        <x:v>354</x:v>
      </x:c>
    </x:row>
    <x:row r="6613" ht="20" customHeight="1">
      <x:c r="A6613" s="1" t="str">
        <x:v>85099B</x:v>
      </x:c>
      <x:c r="B6613" s="9" t="d">
        <x:v>2011-01-07T00:00:00.000Z</x:v>
      </x:c>
      <x:c r="C6613" s="13" t="n">
        <x:v>514</x:v>
      </x:c>
    </x:row>
    <x:row r="6614" ht="20" customHeight="1">
      <x:c r="A6614" s="1" t="str">
        <x:v>85099B</x:v>
      </x:c>
      <x:c r="B6614" s="9" t="d">
        <x:v>2011-01-08T00:00:00.000Z</x:v>
      </x:c>
      <x:c r="C6614" s="13" t="n">
        <x:v>0</x:v>
      </x:c>
    </x:row>
    <x:row r="6615" ht="20" customHeight="1">
      <x:c r="A6615" s="1" t="str">
        <x:v>85099B</x:v>
      </x:c>
      <x:c r="B6615" s="9" t="d">
        <x:v>2011-01-09T00:00:00.000Z</x:v>
      </x:c>
      <x:c r="C6615" s="13" t="n">
        <x:v>43</x:v>
      </x:c>
    </x:row>
    <x:row r="6616" ht="20" customHeight="1">
      <x:c r="A6616" s="1" t="str">
        <x:v>85099B</x:v>
      </x:c>
      <x:c r="B6616" s="9" t="d">
        <x:v>2011-01-10T00:00:00.000Z</x:v>
      </x:c>
      <x:c r="C6616" s="13" t="n">
        <x:v>57</x:v>
      </x:c>
    </x:row>
    <x:row r="6617" ht="20" customHeight="1">
      <x:c r="A6617" s="1" t="str">
        <x:v>85099B</x:v>
      </x:c>
      <x:c r="B6617" s="9" t="d">
        <x:v>2011-01-11T00:00:00.000Z</x:v>
      </x:c>
      <x:c r="C6617" s="13" t="n">
        <x:v>1</x:v>
      </x:c>
    </x:row>
    <x:row r="6618" ht="20" customHeight="1">
      <x:c r="A6618" s="1" t="str">
        <x:v>85099B</x:v>
      </x:c>
      <x:c r="B6618" s="9" t="d">
        <x:v>2011-01-12T00:00:00.000Z</x:v>
      </x:c>
      <x:c r="C6618" s="13" t="n">
        <x:v>4</x:v>
      </x:c>
    </x:row>
    <x:row r="6619" ht="20" customHeight="1">
      <x:c r="A6619" s="1" t="str">
        <x:v>85099B</x:v>
      </x:c>
      <x:c r="B6619" s="9" t="d">
        <x:v>2011-01-13T00:00:00.000Z</x:v>
      </x:c>
      <x:c r="C6619" s="13" t="n">
        <x:v>33</x:v>
      </x:c>
    </x:row>
    <x:row r="6620" ht="20" customHeight="1">
      <x:c r="A6620" s="1" t="str">
        <x:v>85099B</x:v>
      </x:c>
      <x:c r="B6620" s="9" t="d">
        <x:v>2011-01-14T00:00:00.000Z</x:v>
      </x:c>
      <x:c r="C6620" s="13" t="n">
        <x:v>120</x:v>
      </x:c>
    </x:row>
    <x:row r="6621" ht="20" customHeight="1">
      <x:c r="A6621" s="1" t="str">
        <x:v>85099B</x:v>
      </x:c>
      <x:c r="B6621" s="9" t="d">
        <x:v>2011-01-15T00:00:00.000Z</x:v>
      </x:c>
      <x:c r="C6621" s="13" t="n">
        <x:v>0</x:v>
      </x:c>
    </x:row>
    <x:row r="6622" ht="20" customHeight="1">
      <x:c r="A6622" s="1" t="str">
        <x:v>85099B</x:v>
      </x:c>
      <x:c r="B6622" s="9" t="d">
        <x:v>2011-01-16T00:00:00.000Z</x:v>
      </x:c>
      <x:c r="C6622" s="13" t="n">
        <x:v>10</x:v>
      </x:c>
    </x:row>
    <x:row r="6623" ht="20" customHeight="1">
      <x:c r="A6623" s="1" t="str">
        <x:v>85099B</x:v>
      </x:c>
      <x:c r="B6623" s="9" t="d">
        <x:v>2011-01-17T00:00:00.000Z</x:v>
      </x:c>
      <x:c r="C6623" s="13" t="n">
        <x:v>37</x:v>
      </x:c>
    </x:row>
    <x:row r="6624" ht="20" customHeight="1">
      <x:c r="A6624" s="1" t="str">
        <x:v>85099B</x:v>
      </x:c>
      <x:c r="B6624" s="9" t="d">
        <x:v>2011-01-18T00:00:00.000Z</x:v>
      </x:c>
      <x:c r="C6624" s="13" t="n">
        <x:v>87</x:v>
      </x:c>
    </x:row>
    <x:row r="6625" ht="20" customHeight="1">
      <x:c r="A6625" s="1" t="str">
        <x:v>85099B</x:v>
      </x:c>
      <x:c r="B6625" s="9" t="d">
        <x:v>2011-01-19T00:00:00.000Z</x:v>
      </x:c>
      <x:c r="C6625" s="13" t="n">
        <x:v>242</x:v>
      </x:c>
    </x:row>
    <x:row r="6626" ht="20" customHeight="1">
      <x:c r="A6626" s="1" t="str">
        <x:v>85099B</x:v>
      </x:c>
      <x:c r="B6626" s="9" t="d">
        <x:v>2011-01-20T00:00:00.000Z</x:v>
      </x:c>
      <x:c r="C6626" s="13" t="n">
        <x:v>4</x:v>
      </x:c>
    </x:row>
    <x:row r="6627" ht="20" customHeight="1">
      <x:c r="A6627" s="1" t="str">
        <x:v>85099B</x:v>
      </x:c>
      <x:c r="B6627" s="9" t="d">
        <x:v>2011-01-21T00:00:00.000Z</x:v>
      </x:c>
      <x:c r="C6627" s="13" t="n">
        <x:v>124</x:v>
      </x:c>
    </x:row>
    <x:row r="6628" ht="20" customHeight="1">
      <x:c r="A6628" s="1" t="str">
        <x:v>85099B</x:v>
      </x:c>
      <x:c r="B6628" s="9" t="d">
        <x:v>2011-01-22T00:00:00.000Z</x:v>
      </x:c>
      <x:c r="C6628" s="13" t="n">
        <x:v>0</x:v>
      </x:c>
    </x:row>
    <x:row r="6629" ht="20" customHeight="1">
      <x:c r="A6629" s="1" t="str">
        <x:v>85099B</x:v>
      </x:c>
      <x:c r="B6629" s="9" t="d">
        <x:v>2011-01-23T00:00:00.000Z</x:v>
      </x:c>
      <x:c r="C6629" s="13" t="n">
        <x:v>100</x:v>
      </x:c>
    </x:row>
    <x:row r="6630" ht="20" customHeight="1">
      <x:c r="A6630" s="1" t="str">
        <x:v>85099B</x:v>
      </x:c>
      <x:c r="B6630" s="9" t="d">
        <x:v>2011-01-24T00:00:00.000Z</x:v>
      </x:c>
      <x:c r="C6630" s="13" t="n">
        <x:v>56</x:v>
      </x:c>
    </x:row>
    <x:row r="6631" ht="20" customHeight="1">
      <x:c r="A6631" s="1" t="str">
        <x:v>85099B</x:v>
      </x:c>
      <x:c r="B6631" s="9" t="d">
        <x:v>2011-01-25T00:00:00.000Z</x:v>
      </x:c>
      <x:c r="C6631" s="13" t="n">
        <x:v>393</x:v>
      </x:c>
    </x:row>
    <x:row r="6632" ht="20" customHeight="1">
      <x:c r="A6632" s="1" t="str">
        <x:v>85099B</x:v>
      </x:c>
      <x:c r="B6632" s="9" t="d">
        <x:v>2011-01-26T00:00:00.000Z</x:v>
      </x:c>
      <x:c r="C6632" s="13" t="n">
        <x:v>1</x:v>
      </x:c>
    </x:row>
    <x:row r="6633" ht="20" customHeight="1">
      <x:c r="A6633" s="1" t="str">
        <x:v>85099B</x:v>
      </x:c>
      <x:c r="B6633" s="9" t="d">
        <x:v>2011-01-27T00:00:00.000Z</x:v>
      </x:c>
      <x:c r="C6633" s="13" t="n">
        <x:v>51</x:v>
      </x:c>
    </x:row>
    <x:row r="6634" ht="20" customHeight="1">
      <x:c r="A6634" s="1" t="str">
        <x:v>85099B</x:v>
      </x:c>
      <x:c r="B6634" s="9" t="d">
        <x:v>2011-01-28T00:00:00.000Z</x:v>
      </x:c>
      <x:c r="C6634" s="13" t="n">
        <x:v>1</x:v>
      </x:c>
    </x:row>
    <x:row r="6635" ht="20" customHeight="1">
      <x:c r="A6635" s="1" t="str">
        <x:v>85099B</x:v>
      </x:c>
      <x:c r="B6635" s="9" t="d">
        <x:v>2011-01-29T00:00:00.000Z</x:v>
      </x:c>
      <x:c r="C6635" s="13" t="n">
        <x:v>0</x:v>
      </x:c>
    </x:row>
    <x:row r="6636" ht="20" customHeight="1">
      <x:c r="A6636" s="1" t="str">
        <x:v>85099B</x:v>
      </x:c>
      <x:c r="B6636" s="9" t="d">
        <x:v>2011-01-30T00:00:00.000Z</x:v>
      </x:c>
      <x:c r="C6636" s="13" t="n">
        <x:v>0</x:v>
      </x:c>
    </x:row>
    <x:row r="6637" ht="20" customHeight="1">
      <x:c r="A6637" s="1" t="str">
        <x:v>85099B</x:v>
      </x:c>
      <x:c r="B6637" s="9" t="d">
        <x:v>2011-01-31T00:00:00.000Z</x:v>
      </x:c>
      <x:c r="C6637" s="13" t="n">
        <x:v>52</x:v>
      </x:c>
    </x:row>
    <x:row r="6638" ht="20" customHeight="1">
      <x:c r="A6638" s="1" t="str">
        <x:v>85099B</x:v>
      </x:c>
      <x:c r="B6638" s="9" t="d">
        <x:v>2011-02-01T00:00:00.000Z</x:v>
      </x:c>
      <x:c r="C6638" s="13" t="n">
        <x:v>390</x:v>
      </x:c>
    </x:row>
    <x:row r="6639" ht="20" customHeight="1">
      <x:c r="A6639" s="1" t="str">
        <x:v>85099B</x:v>
      </x:c>
      <x:c r="B6639" s="9" t="d">
        <x:v>2011-02-02T00:00:00.000Z</x:v>
      </x:c>
      <x:c r="C6639" s="13" t="n">
        <x:v>310</x:v>
      </x:c>
    </x:row>
    <x:row r="6640" ht="20" customHeight="1">
      <x:c r="A6640" s="1" t="str">
        <x:v>85099B</x:v>
      </x:c>
      <x:c r="B6640" s="9" t="d">
        <x:v>2011-02-03T00:00:00.000Z</x:v>
      </x:c>
      <x:c r="C6640" s="13" t="n">
        <x:v>126</x:v>
      </x:c>
    </x:row>
    <x:row r="6641" ht="20" customHeight="1">
      <x:c r="A6641" s="1" t="str">
        <x:v>85099B</x:v>
      </x:c>
      <x:c r="B6641" s="9" t="d">
        <x:v>2011-02-04T00:00:00.000Z</x:v>
      </x:c>
      <x:c r="C6641" s="13" t="n">
        <x:v>23</x:v>
      </x:c>
    </x:row>
    <x:row r="6642" ht="20" customHeight="1">
      <x:c r="A6642" s="1" t="str">
        <x:v>85099B</x:v>
      </x:c>
      <x:c r="B6642" s="9" t="d">
        <x:v>2011-02-05T00:00:00.000Z</x:v>
      </x:c>
      <x:c r="C6642" s="13" t="n">
        <x:v>0</x:v>
      </x:c>
    </x:row>
    <x:row r="6643" ht="20" customHeight="1">
      <x:c r="A6643" s="1" t="str">
        <x:v>85099B</x:v>
      </x:c>
      <x:c r="B6643" s="9" t="d">
        <x:v>2011-02-06T00:00:00.000Z</x:v>
      </x:c>
      <x:c r="C6643" s="13" t="n">
        <x:v>64</x:v>
      </x:c>
    </x:row>
    <x:row r="6644" ht="20" customHeight="1">
      <x:c r="A6644" s="1" t="str">
        <x:v>85099B</x:v>
      </x:c>
      <x:c r="B6644" s="9" t="d">
        <x:v>2011-02-07T00:00:00.000Z</x:v>
      </x:c>
      <x:c r="C6644" s="13" t="n">
        <x:v>30</x:v>
      </x:c>
    </x:row>
    <x:row r="6645" ht="20" customHeight="1">
      <x:c r="A6645" s="1" t="str">
        <x:v>85099B</x:v>
      </x:c>
      <x:c r="B6645" s="9" t="d">
        <x:v>2011-02-08T00:00:00.000Z</x:v>
      </x:c>
      <x:c r="C6645" s="13" t="n">
        <x:v>139</x:v>
      </x:c>
    </x:row>
    <x:row r="6646" ht="20" customHeight="1">
      <x:c r="A6646" s="1" t="str">
        <x:v>85099B</x:v>
      </x:c>
      <x:c r="B6646" s="9" t="d">
        <x:v>2011-02-09T00:00:00.000Z</x:v>
      </x:c>
      <x:c r="C6646" s="13" t="n">
        <x:v>36</x:v>
      </x:c>
    </x:row>
    <x:row r="6647" ht="20" customHeight="1">
      <x:c r="A6647" s="1" t="str">
        <x:v>85099B</x:v>
      </x:c>
      <x:c r="B6647" s="9" t="d">
        <x:v>2011-02-10T00:00:00.000Z</x:v>
      </x:c>
      <x:c r="C6647" s="13" t="n">
        <x:v>0</x:v>
      </x:c>
    </x:row>
    <x:row r="6648" ht="20" customHeight="1">
      <x:c r="A6648" s="1" t="str">
        <x:v>85099B</x:v>
      </x:c>
      <x:c r="B6648" s="9" t="d">
        <x:v>2011-02-11T00:00:00.000Z</x:v>
      </x:c>
      <x:c r="C6648" s="13" t="n">
        <x:v>43</x:v>
      </x:c>
    </x:row>
    <x:row r="6649" ht="20" customHeight="1">
      <x:c r="A6649" s="1" t="str">
        <x:v>85099B</x:v>
      </x:c>
      <x:c r="B6649" s="9" t="d">
        <x:v>2011-02-12T00:00:00.000Z</x:v>
      </x:c>
      <x:c r="C6649" s="13" t="n">
        <x:v>0</x:v>
      </x:c>
    </x:row>
    <x:row r="6650" ht="20" customHeight="1">
      <x:c r="A6650" s="1" t="str">
        <x:v>85099B</x:v>
      </x:c>
      <x:c r="B6650" s="9" t="d">
        <x:v>2011-02-13T00:00:00.000Z</x:v>
      </x:c>
      <x:c r="C6650" s="13" t="n">
        <x:v>40</x:v>
      </x:c>
    </x:row>
    <x:row r="6651" ht="20" customHeight="1">
      <x:c r="A6651" s="1" t="str">
        <x:v>85099B</x:v>
      </x:c>
      <x:c r="B6651" s="9" t="d">
        <x:v>2011-02-14T00:00:00.000Z</x:v>
      </x:c>
      <x:c r="C6651" s="13" t="n">
        <x:v>426</x:v>
      </x:c>
    </x:row>
    <x:row r="6652" ht="20" customHeight="1">
      <x:c r="A6652" s="1" t="str">
        <x:v>85099B</x:v>
      </x:c>
      <x:c r="B6652" s="9" t="d">
        <x:v>2011-02-15T00:00:00.000Z</x:v>
      </x:c>
      <x:c r="C6652" s="13" t="n">
        <x:v>54</x:v>
      </x:c>
    </x:row>
    <x:row r="6653" ht="20" customHeight="1">
      <x:c r="A6653" s="1" t="str">
        <x:v>85099B</x:v>
      </x:c>
      <x:c r="B6653" s="9" t="d">
        <x:v>2011-02-16T00:00:00.000Z</x:v>
      </x:c>
      <x:c r="C6653" s="13" t="n">
        <x:v>30</x:v>
      </x:c>
    </x:row>
    <x:row r="6654" ht="20" customHeight="1">
      <x:c r="A6654" s="1" t="str">
        <x:v>85099B</x:v>
      </x:c>
      <x:c r="B6654" s="9" t="d">
        <x:v>2011-02-17T00:00:00.000Z</x:v>
      </x:c>
      <x:c r="C6654" s="13" t="n">
        <x:v>131</x:v>
      </x:c>
    </x:row>
    <x:row r="6655" ht="20" customHeight="1">
      <x:c r="A6655" s="1" t="str">
        <x:v>85099B</x:v>
      </x:c>
      <x:c r="B6655" s="9" t="d">
        <x:v>2011-02-18T00:00:00.000Z</x:v>
      </x:c>
      <x:c r="C6655" s="13" t="n">
        <x:v>314</x:v>
      </x:c>
    </x:row>
    <x:row r="6656" ht="20" customHeight="1">
      <x:c r="A6656" s="1" t="str">
        <x:v>85099B</x:v>
      </x:c>
      <x:c r="B6656" s="9" t="d">
        <x:v>2011-02-19T00:00:00.000Z</x:v>
      </x:c>
      <x:c r="C6656" s="13" t="n">
        <x:v>0</x:v>
      </x:c>
    </x:row>
    <x:row r="6657" ht="20" customHeight="1">
      <x:c r="A6657" s="1" t="str">
        <x:v>85099B</x:v>
      </x:c>
      <x:c r="B6657" s="9" t="d">
        <x:v>2011-02-20T00:00:00.000Z</x:v>
      </x:c>
      <x:c r="C6657" s="13" t="n">
        <x:v>30</x:v>
      </x:c>
    </x:row>
    <x:row r="6658" ht="20" customHeight="1">
      <x:c r="A6658" s="1" t="str">
        <x:v>85099B</x:v>
      </x:c>
      <x:c r="B6658" s="9" t="d">
        <x:v>2011-02-21T00:00:00.000Z</x:v>
      </x:c>
      <x:c r="C6658" s="13" t="n">
        <x:v>102</x:v>
      </x:c>
    </x:row>
    <x:row r="6659" ht="20" customHeight="1">
      <x:c r="A6659" s="1" t="str">
        <x:v>85099B</x:v>
      </x:c>
      <x:c r="B6659" s="9" t="d">
        <x:v>2011-02-22T00:00:00.000Z</x:v>
      </x:c>
      <x:c r="C6659" s="13" t="n">
        <x:v>324</x:v>
      </x:c>
    </x:row>
    <x:row r="6660" ht="20" customHeight="1">
      <x:c r="A6660" s="1" t="str">
        <x:v>85099B</x:v>
      </x:c>
      <x:c r="B6660" s="9" t="d">
        <x:v>2011-02-23T00:00:00.000Z</x:v>
      </x:c>
      <x:c r="C6660" s="13" t="n">
        <x:v>48</x:v>
      </x:c>
    </x:row>
    <x:row r="6661" ht="20" customHeight="1">
      <x:c r="A6661" s="1" t="str">
        <x:v>85099B</x:v>
      </x:c>
      <x:c r="B6661" s="9" t="d">
        <x:v>2011-02-24T00:00:00.000Z</x:v>
      </x:c>
      <x:c r="C6661" s="13" t="n">
        <x:v>161</x:v>
      </x:c>
    </x:row>
    <x:row r="6662" ht="20" customHeight="1">
      <x:c r="A6662" s="1" t="str">
        <x:v>85099B</x:v>
      </x:c>
      <x:c r="B6662" s="9" t="d">
        <x:v>2011-02-25T00:00:00.000Z</x:v>
      </x:c>
      <x:c r="C6662" s="13" t="n">
        <x:v>169</x:v>
      </x:c>
    </x:row>
    <x:row r="6663" ht="20" customHeight="1">
      <x:c r="A6663" s="1" t="str">
        <x:v>85099B</x:v>
      </x:c>
      <x:c r="B6663" s="9" t="d">
        <x:v>2011-02-26T00:00:00.000Z</x:v>
      </x:c>
      <x:c r="C6663" s="13" t="n">
        <x:v>0</x:v>
      </x:c>
    </x:row>
    <x:row r="6664" ht="20" customHeight="1">
      <x:c r="A6664" s="1" t="str">
        <x:v>85099B</x:v>
      </x:c>
      <x:c r="B6664" s="9" t="d">
        <x:v>2011-02-27T00:00:00.000Z</x:v>
      </x:c>
      <x:c r="C6664" s="13" t="n">
        <x:v>6</x:v>
      </x:c>
    </x:row>
    <x:row r="6665" ht="20" customHeight="1">
      <x:c r="A6665" s="1" t="str">
        <x:v>85099B</x:v>
      </x:c>
      <x:c r="B6665" s="9" t="d">
        <x:v>2011-02-28T00:00:00.000Z</x:v>
      </x:c>
      <x:c r="C6665" s="13" t="n">
        <x:v>84</x:v>
      </x:c>
    </x:row>
    <x:row r="6666" ht="20" customHeight="1">
      <x:c r="A6666" s="1" t="str">
        <x:v>85099B</x:v>
      </x:c>
      <x:c r="B6666" s="9" t="d">
        <x:v>2011-03-01T00:00:00.000Z</x:v>
      </x:c>
      <x:c r="C6666" s="13" t="n">
        <x:v>288</x:v>
      </x:c>
    </x:row>
    <x:row r="6667" ht="20" customHeight="1">
      <x:c r="A6667" s="1" t="str">
        <x:v>85099B</x:v>
      </x:c>
      <x:c r="B6667" s="9" t="d">
        <x:v>2011-03-02T00:00:00.000Z</x:v>
      </x:c>
      <x:c r="C6667" s="13" t="n">
        <x:v>16</x:v>
      </x:c>
    </x:row>
    <x:row r="6668" ht="20" customHeight="1">
      <x:c r="A6668" s="1" t="str">
        <x:v>85099B</x:v>
      </x:c>
      <x:c r="B6668" s="9" t="d">
        <x:v>2011-03-03T00:00:00.000Z</x:v>
      </x:c>
      <x:c r="C6668" s="13" t="n">
        <x:v>30</x:v>
      </x:c>
    </x:row>
    <x:row r="6669" ht="20" customHeight="1">
      <x:c r="A6669" s="1" t="str">
        <x:v>85099B</x:v>
      </x:c>
      <x:c r="B6669" s="9" t="d">
        <x:v>2011-03-04T00:00:00.000Z</x:v>
      </x:c>
      <x:c r="C6669" s="13" t="n">
        <x:v>181</x:v>
      </x:c>
    </x:row>
    <x:row r="6670" ht="20" customHeight="1">
      <x:c r="A6670" s="1" t="str">
        <x:v>85099B</x:v>
      </x:c>
      <x:c r="B6670" s="9" t="d">
        <x:v>2011-03-05T00:00:00.000Z</x:v>
      </x:c>
      <x:c r="C6670" s="13" t="n">
        <x:v>0</x:v>
      </x:c>
    </x:row>
    <x:row r="6671" ht="20" customHeight="1">
      <x:c r="A6671" s="1" t="str">
        <x:v>85099B</x:v>
      </x:c>
      <x:c r="B6671" s="9" t="d">
        <x:v>2011-03-06T00:00:00.000Z</x:v>
      </x:c>
      <x:c r="C6671" s="13" t="n">
        <x:v>25</x:v>
      </x:c>
    </x:row>
    <x:row r="6672" ht="20" customHeight="1">
      <x:c r="A6672" s="1" t="str">
        <x:v>85099B</x:v>
      </x:c>
      <x:c r="B6672" s="9" t="d">
        <x:v>2011-03-07T00:00:00.000Z</x:v>
      </x:c>
      <x:c r="C6672" s="13" t="n">
        <x:v>453</x:v>
      </x:c>
    </x:row>
    <x:row r="6673" ht="20" customHeight="1">
      <x:c r="A6673" s="1" t="str">
        <x:v>85099B</x:v>
      </x:c>
      <x:c r="B6673" s="9" t="d">
        <x:v>2011-03-08T00:00:00.000Z</x:v>
      </x:c>
      <x:c r="C6673" s="13" t="n">
        <x:v>117</x:v>
      </x:c>
    </x:row>
    <x:row r="6674" ht="20" customHeight="1">
      <x:c r="A6674" s="1" t="str">
        <x:v>85099B</x:v>
      </x:c>
      <x:c r="B6674" s="9" t="d">
        <x:v>2011-03-09T00:00:00.000Z</x:v>
      </x:c>
      <x:c r="C6674" s="13" t="n">
        <x:v>26</x:v>
      </x:c>
    </x:row>
    <x:row r="6675" ht="20" customHeight="1">
      <x:c r="A6675" s="1" t="str">
        <x:v>85099B</x:v>
      </x:c>
      <x:c r="B6675" s="9" t="d">
        <x:v>2011-03-10T00:00:00.000Z</x:v>
      </x:c>
      <x:c r="C6675" s="13" t="n">
        <x:v>41</x:v>
      </x:c>
    </x:row>
    <x:row r="6676" ht="20" customHeight="1">
      <x:c r="A6676" s="1" t="str">
        <x:v>85099B</x:v>
      </x:c>
      <x:c r="B6676" s="9" t="d">
        <x:v>2011-03-11T00:00:00.000Z</x:v>
      </x:c>
      <x:c r="C6676" s="13" t="n">
        <x:v>101</x:v>
      </x:c>
    </x:row>
    <x:row r="6677" ht="20" customHeight="1">
      <x:c r="A6677" s="1" t="str">
        <x:v>85099B</x:v>
      </x:c>
      <x:c r="B6677" s="9" t="d">
        <x:v>2011-03-12T00:00:00.000Z</x:v>
      </x:c>
      <x:c r="C6677" s="13" t="n">
        <x:v>0</x:v>
      </x:c>
    </x:row>
    <x:row r="6678" ht="20" customHeight="1">
      <x:c r="A6678" s="1" t="str">
        <x:v>85099B</x:v>
      </x:c>
      <x:c r="B6678" s="9" t="d">
        <x:v>2011-03-13T00:00:00.000Z</x:v>
      </x:c>
      <x:c r="C6678" s="13" t="n">
        <x:v>0</x:v>
      </x:c>
    </x:row>
    <x:row r="6679" ht="20" customHeight="1">
      <x:c r="A6679" s="1" t="str">
        <x:v>85099B</x:v>
      </x:c>
      <x:c r="B6679" s="9" t="d">
        <x:v>2011-03-14T00:00:00.000Z</x:v>
      </x:c>
      <x:c r="C6679" s="13" t="n">
        <x:v>141</x:v>
      </x:c>
    </x:row>
    <x:row r="6680" ht="20" customHeight="1">
      <x:c r="A6680" s="1" t="str">
        <x:v>85099B</x:v>
      </x:c>
      <x:c r="B6680" s="9" t="d">
        <x:v>2011-03-15T00:00:00.000Z</x:v>
      </x:c>
      <x:c r="C6680" s="13" t="n">
        <x:v>45</x:v>
      </x:c>
    </x:row>
    <x:row r="6681" ht="20" customHeight="1">
      <x:c r="A6681" s="1" t="str">
        <x:v>85099B</x:v>
      </x:c>
      <x:c r="B6681" s="9" t="d">
        <x:v>2011-03-16T00:00:00.000Z</x:v>
      </x:c>
      <x:c r="C6681" s="13" t="n">
        <x:v>10</x:v>
      </x:c>
    </x:row>
    <x:row r="6682" ht="20" customHeight="1">
      <x:c r="A6682" s="1" t="str">
        <x:v>85099B</x:v>
      </x:c>
      <x:c r="B6682" s="9" t="d">
        <x:v>2011-03-17T00:00:00.000Z</x:v>
      </x:c>
      <x:c r="C6682" s="13" t="n">
        <x:v>1246</x:v>
      </x:c>
    </x:row>
    <x:row r="6683" ht="20" customHeight="1">
      <x:c r="A6683" s="1" t="str">
        <x:v>85099B</x:v>
      </x:c>
      <x:c r="B6683" s="9" t="d">
        <x:v>2011-03-18T00:00:00.000Z</x:v>
      </x:c>
      <x:c r="C6683" s="13" t="n">
        <x:v>33</x:v>
      </x:c>
    </x:row>
    <x:row r="6684" ht="20" customHeight="1">
      <x:c r="A6684" s="1" t="str">
        <x:v>85099B</x:v>
      </x:c>
      <x:c r="B6684" s="9" t="d">
        <x:v>2011-03-19T00:00:00.000Z</x:v>
      </x:c>
      <x:c r="C6684" s="13" t="n">
        <x:v>0</x:v>
      </x:c>
    </x:row>
    <x:row r="6685" ht="20" customHeight="1">
      <x:c r="A6685" s="1" t="str">
        <x:v>85099B</x:v>
      </x:c>
      <x:c r="B6685" s="9" t="d">
        <x:v>2011-03-20T00:00:00.000Z</x:v>
      </x:c>
      <x:c r="C6685" s="13" t="n">
        <x:v>71</x:v>
      </x:c>
    </x:row>
    <x:row r="6686" ht="20" customHeight="1">
      <x:c r="A6686" s="1" t="str">
        <x:v>85099B</x:v>
      </x:c>
      <x:c r="B6686" s="9" t="d">
        <x:v>2011-03-21T00:00:00.000Z</x:v>
      </x:c>
      <x:c r="C6686" s="13" t="n">
        <x:v>161</x:v>
      </x:c>
    </x:row>
    <x:row r="6687" ht="20" customHeight="1">
      <x:c r="A6687" s="1" t="str">
        <x:v>85099B</x:v>
      </x:c>
      <x:c r="B6687" s="9" t="d">
        <x:v>2011-03-22T00:00:00.000Z</x:v>
      </x:c>
      <x:c r="C6687" s="13" t="n">
        <x:v>45</x:v>
      </x:c>
    </x:row>
    <x:row r="6688" ht="20" customHeight="1">
      <x:c r="A6688" s="1" t="str">
        <x:v>85099B</x:v>
      </x:c>
      <x:c r="B6688" s="9" t="d">
        <x:v>2011-03-23T00:00:00.000Z</x:v>
      </x:c>
      <x:c r="C6688" s="13" t="n">
        <x:v>337</x:v>
      </x:c>
    </x:row>
    <x:row r="6689" ht="20" customHeight="1">
      <x:c r="A6689" s="1" t="str">
        <x:v>85099B</x:v>
      </x:c>
      <x:c r="B6689" s="9" t="d">
        <x:v>2011-03-24T00:00:00.000Z</x:v>
      </x:c>
      <x:c r="C6689" s="13" t="n">
        <x:v>315</x:v>
      </x:c>
    </x:row>
    <x:row r="6690" ht="20" customHeight="1">
      <x:c r="A6690" s="1" t="str">
        <x:v>85099B</x:v>
      </x:c>
      <x:c r="B6690" s="9" t="d">
        <x:v>2011-03-25T00:00:00.000Z</x:v>
      </x:c>
      <x:c r="C6690" s="13" t="n">
        <x:v>521</x:v>
      </x:c>
    </x:row>
    <x:row r="6691" ht="20" customHeight="1">
      <x:c r="A6691" s="1" t="str">
        <x:v>85099B</x:v>
      </x:c>
      <x:c r="B6691" s="9" t="d">
        <x:v>2011-03-26T00:00:00.000Z</x:v>
      </x:c>
      <x:c r="C6691" s="13" t="n">
        <x:v>0</x:v>
      </x:c>
    </x:row>
    <x:row r="6692" ht="20" customHeight="1">
      <x:c r="A6692" s="1" t="str">
        <x:v>85099B</x:v>
      </x:c>
      <x:c r="B6692" s="9" t="d">
        <x:v>2011-03-27T00:00:00.000Z</x:v>
      </x:c>
      <x:c r="C6692" s="13" t="n">
        <x:v>0</x:v>
      </x:c>
    </x:row>
    <x:row r="6693" ht="20" customHeight="1">
      <x:c r="A6693" s="1" t="str">
        <x:v>85099B</x:v>
      </x:c>
      <x:c r="B6693" s="9" t="d">
        <x:v>2011-03-28T00:00:00.000Z</x:v>
      </x:c>
      <x:c r="C6693" s="13" t="n">
        <x:v>143</x:v>
      </x:c>
    </x:row>
    <x:row r="6694" ht="20" customHeight="1">
      <x:c r="A6694" s="1" t="str">
        <x:v>85099B</x:v>
      </x:c>
      <x:c r="B6694" s="9" t="d">
        <x:v>2011-03-29T00:00:00.000Z</x:v>
      </x:c>
      <x:c r="C6694" s="13" t="n">
        <x:v>563</x:v>
      </x:c>
    </x:row>
    <x:row r="6695" ht="20" customHeight="1">
      <x:c r="A6695" s="1" t="str">
        <x:v>85099B</x:v>
      </x:c>
      <x:c r="B6695" s="9" t="d">
        <x:v>2011-03-30T00:00:00.000Z</x:v>
      </x:c>
      <x:c r="C6695" s="13" t="n">
        <x:v>331</x:v>
      </x:c>
    </x:row>
    <x:row r="6696" ht="20" customHeight="1">
      <x:c r="A6696" s="1" t="str">
        <x:v>85099B</x:v>
      </x:c>
      <x:c r="B6696" s="9" t="d">
        <x:v>2011-03-31T00:00:00.000Z</x:v>
      </x:c>
      <x:c r="C6696" s="13" t="n">
        <x:v>40</x:v>
      </x:c>
    </x:row>
    <x:row r="6697" ht="20" customHeight="1">
      <x:c r="A6697" s="1" t="str">
        <x:v>85099B</x:v>
      </x:c>
      <x:c r="B6697" s="9" t="d">
        <x:v>2011-04-01T00:00:00.000Z</x:v>
      </x:c>
      <x:c r="C6697" s="13" t="n">
        <x:v>16</x:v>
      </x:c>
    </x:row>
    <x:row r="6698" ht="20" customHeight="1">
      <x:c r="A6698" s="1" t="str">
        <x:v>85099B</x:v>
      </x:c>
      <x:c r="B6698" s="9" t="d">
        <x:v>2011-04-02T00:00:00.000Z</x:v>
      </x:c>
      <x:c r="C6698" s="13" t="n">
        <x:v>0</x:v>
      </x:c>
    </x:row>
    <x:row r="6699" ht="20" customHeight="1">
      <x:c r="A6699" s="1" t="str">
        <x:v>85099B</x:v>
      </x:c>
      <x:c r="B6699" s="9" t="d">
        <x:v>2011-04-03T00:00:00.000Z</x:v>
      </x:c>
      <x:c r="C6699" s="13" t="n">
        <x:v>10</x:v>
      </x:c>
    </x:row>
    <x:row r="6700" ht="20" customHeight="1">
      <x:c r="A6700" s="1" t="str">
        <x:v>85099B</x:v>
      </x:c>
      <x:c r="B6700" s="9" t="d">
        <x:v>2011-04-04T00:00:00.000Z</x:v>
      </x:c>
      <x:c r="C6700" s="13" t="n">
        <x:v>329</x:v>
      </x:c>
    </x:row>
    <x:row r="6701" ht="20" customHeight="1">
      <x:c r="A6701" s="1" t="str">
        <x:v>85099B</x:v>
      </x:c>
      <x:c r="B6701" s="9" t="d">
        <x:v>2011-04-05T00:00:00.000Z</x:v>
      </x:c>
      <x:c r="C6701" s="13" t="n">
        <x:v>333</x:v>
      </x:c>
    </x:row>
    <x:row r="6702" ht="20" customHeight="1">
      <x:c r="A6702" s="1" t="str">
        <x:v>85099B</x:v>
      </x:c>
      <x:c r="B6702" s="9" t="d">
        <x:v>2011-04-06T00:00:00.000Z</x:v>
      </x:c>
      <x:c r="C6702" s="13" t="n">
        <x:v>118</x:v>
      </x:c>
    </x:row>
    <x:row r="6703" ht="20" customHeight="1">
      <x:c r="A6703" s="1" t="str">
        <x:v>85099B</x:v>
      </x:c>
      <x:c r="B6703" s="9" t="d">
        <x:v>2011-04-07T00:00:00.000Z</x:v>
      </x:c>
      <x:c r="C6703" s="13" t="n">
        <x:v>43</x:v>
      </x:c>
    </x:row>
    <x:row r="6704" ht="20" customHeight="1">
      <x:c r="A6704" s="1" t="str">
        <x:v>85099B</x:v>
      </x:c>
      <x:c r="B6704" s="9" t="d">
        <x:v>2011-04-08T00:00:00.000Z</x:v>
      </x:c>
      <x:c r="C6704" s="13" t="n">
        <x:v>118</x:v>
      </x:c>
    </x:row>
    <x:row r="6705" ht="20" customHeight="1">
      <x:c r="A6705" s="1" t="str">
        <x:v>85099B</x:v>
      </x:c>
      <x:c r="B6705" s="9" t="d">
        <x:v>2011-04-09T00:00:00.000Z</x:v>
      </x:c>
      <x:c r="C6705" s="13" t="n">
        <x:v>0</x:v>
      </x:c>
    </x:row>
    <x:row r="6706" ht="20" customHeight="1">
      <x:c r="A6706" s="1" t="str">
        <x:v>85099B</x:v>
      </x:c>
      <x:c r="B6706" s="9" t="d">
        <x:v>2011-04-10T00:00:00.000Z</x:v>
      </x:c>
      <x:c r="C6706" s="13" t="n">
        <x:v>34</x:v>
      </x:c>
    </x:row>
    <x:row r="6707" ht="20" customHeight="1">
      <x:c r="A6707" s="1" t="str">
        <x:v>85099B</x:v>
      </x:c>
      <x:c r="B6707" s="9" t="d">
        <x:v>2011-04-11T00:00:00.000Z</x:v>
      </x:c>
      <x:c r="C6707" s="13" t="n">
        <x:v>22</x:v>
      </x:c>
    </x:row>
    <x:row r="6708" ht="20" customHeight="1">
      <x:c r="A6708" s="1" t="str">
        <x:v>85099B</x:v>
      </x:c>
      <x:c r="B6708" s="9" t="d">
        <x:v>2011-04-12T00:00:00.000Z</x:v>
      </x:c>
      <x:c r="C6708" s="13" t="n">
        <x:v>120</x:v>
      </x:c>
    </x:row>
    <x:row r="6709" ht="20" customHeight="1">
      <x:c r="A6709" s="1" t="str">
        <x:v>85099B</x:v>
      </x:c>
      <x:c r="B6709" s="9" t="d">
        <x:v>2011-04-13T00:00:00.000Z</x:v>
      </x:c>
      <x:c r="C6709" s="13" t="n">
        <x:v>40</x:v>
      </x:c>
    </x:row>
    <x:row r="6710" ht="20" customHeight="1">
      <x:c r="A6710" s="1" t="str">
        <x:v>85099B</x:v>
      </x:c>
      <x:c r="B6710" s="9" t="d">
        <x:v>2011-04-14T00:00:00.000Z</x:v>
      </x:c>
      <x:c r="C6710" s="13" t="n">
        <x:v>148</x:v>
      </x:c>
    </x:row>
    <x:row r="6711" ht="20" customHeight="1">
      <x:c r="A6711" s="1" t="str">
        <x:v>85099B</x:v>
      </x:c>
      <x:c r="B6711" s="9" t="d">
        <x:v>2011-04-15T00:00:00.000Z</x:v>
      </x:c>
      <x:c r="C6711" s="13" t="n">
        <x:v>66</x:v>
      </x:c>
    </x:row>
    <x:row r="6712" ht="20" customHeight="1">
      <x:c r="A6712" s="1" t="str">
        <x:v>85099B</x:v>
      </x:c>
      <x:c r="B6712" s="9" t="d">
        <x:v>2011-04-16T00:00:00.000Z</x:v>
      </x:c>
      <x:c r="C6712" s="13" t="n">
        <x:v>0</x:v>
      </x:c>
    </x:row>
    <x:row r="6713" ht="20" customHeight="1">
      <x:c r="A6713" s="1" t="str">
        <x:v>85099B</x:v>
      </x:c>
      <x:c r="B6713" s="9" t="d">
        <x:v>2011-04-17T00:00:00.000Z</x:v>
      </x:c>
      <x:c r="C6713" s="13" t="n">
        <x:v>220</x:v>
      </x:c>
    </x:row>
    <x:row r="6714" ht="20" customHeight="1">
      <x:c r="A6714" s="1" t="str">
        <x:v>85099B</x:v>
      </x:c>
      <x:c r="B6714" s="9" t="d">
        <x:v>2011-04-18T00:00:00.000Z</x:v>
      </x:c>
      <x:c r="C6714" s="13" t="n">
        <x:v>169</x:v>
      </x:c>
    </x:row>
    <x:row r="6715" ht="20" customHeight="1">
      <x:c r="A6715" s="1" t="str">
        <x:v>85099B</x:v>
      </x:c>
      <x:c r="B6715" s="9" t="d">
        <x:v>2011-04-19T00:00:00.000Z</x:v>
      </x:c>
      <x:c r="C6715" s="13" t="n">
        <x:v>146</x:v>
      </x:c>
    </x:row>
    <x:row r="6716" ht="20" customHeight="1">
      <x:c r="A6716" s="1" t="str">
        <x:v>85099B</x:v>
      </x:c>
      <x:c r="B6716" s="9" t="d">
        <x:v>2011-04-20T00:00:00.000Z</x:v>
      </x:c>
      <x:c r="C6716" s="13" t="n">
        <x:v>110</x:v>
      </x:c>
    </x:row>
    <x:row r="6717" ht="20" customHeight="1">
      <x:c r="A6717" s="1" t="str">
        <x:v>85099B</x:v>
      </x:c>
      <x:c r="B6717" s="9" t="d">
        <x:v>2011-04-21T00:00:00.000Z</x:v>
      </x:c>
      <x:c r="C6717" s="13" t="n">
        <x:v>124</x:v>
      </x:c>
    </x:row>
    <x:row r="6718" ht="20" customHeight="1">
      <x:c r="A6718" s="1" t="str">
        <x:v>85099B</x:v>
      </x:c>
      <x:c r="B6718" s="9" t="d">
        <x:v>2011-04-22T00:00:00.000Z</x:v>
      </x:c>
      <x:c r="C6718" s="13" t="n">
        <x:v>0</x:v>
      </x:c>
    </x:row>
    <x:row r="6719" ht="20" customHeight="1">
      <x:c r="A6719" s="1" t="str">
        <x:v>85099B</x:v>
      </x:c>
      <x:c r="B6719" s="9" t="d">
        <x:v>2011-04-23T00:00:00.000Z</x:v>
      </x:c>
      <x:c r="C6719" s="13" t="n">
        <x:v>0</x:v>
      </x:c>
    </x:row>
    <x:row r="6720" ht="20" customHeight="1">
      <x:c r="A6720" s="1" t="str">
        <x:v>85099B</x:v>
      </x:c>
      <x:c r="B6720" s="9" t="d">
        <x:v>2011-04-24T00:00:00.000Z</x:v>
      </x:c>
      <x:c r="C6720" s="13" t="n">
        <x:v>0</x:v>
      </x:c>
    </x:row>
    <x:row r="6721" ht="20" customHeight="1">
      <x:c r="A6721" s="1" t="str">
        <x:v>85099B</x:v>
      </x:c>
      <x:c r="B6721" s="9" t="d">
        <x:v>2011-04-25T00:00:00.000Z</x:v>
      </x:c>
      <x:c r="C6721" s="13" t="n">
        <x:v>0</x:v>
      </x:c>
    </x:row>
    <x:row r="6722" ht="20" customHeight="1">
      <x:c r="A6722" s="1" t="str">
        <x:v>85099B</x:v>
      </x:c>
      <x:c r="B6722" s="9" t="d">
        <x:v>2011-04-26T00:00:00.000Z</x:v>
      </x:c>
      <x:c r="C6722" s="13" t="n">
        <x:v>190</x:v>
      </x:c>
    </x:row>
    <x:row r="6723" ht="20" customHeight="1">
      <x:c r="A6723" s="1" t="str">
        <x:v>85099B</x:v>
      </x:c>
      <x:c r="B6723" s="9" t="d">
        <x:v>2011-04-27T00:00:00.000Z</x:v>
      </x:c>
      <x:c r="C6723" s="13" t="n">
        <x:v>67</x:v>
      </x:c>
    </x:row>
    <x:row r="6724" ht="20" customHeight="1">
      <x:c r="A6724" s="1" t="str">
        <x:v>85099B</x:v>
      </x:c>
      <x:c r="B6724" s="9" t="d">
        <x:v>2011-04-28T00:00:00.000Z</x:v>
      </x:c>
      <x:c r="C6724" s="13" t="n">
        <x:v>33</x:v>
      </x:c>
    </x:row>
    <x:row r="6725" ht="20" customHeight="1">
      <x:c r="A6725" s="1" t="str">
        <x:v>85099B</x:v>
      </x:c>
      <x:c r="B6725" s="9" t="d">
        <x:v>2011-04-29T00:00:00.000Z</x:v>
      </x:c>
      <x:c r="C6725" s="13" t="n">
        <x:v>0</x:v>
      </x:c>
    </x:row>
    <x:row r="6726" ht="20" customHeight="1">
      <x:c r="A6726" s="1" t="str">
        <x:v>85099B</x:v>
      </x:c>
      <x:c r="B6726" s="9" t="d">
        <x:v>2011-04-30T00:00:00.000Z</x:v>
      </x:c>
      <x:c r="C6726" s="13" t="n">
        <x:v>0</x:v>
      </x:c>
    </x:row>
    <x:row r="6727" ht="20" customHeight="1">
      <x:c r="A6727" s="1" t="str">
        <x:v>85099B</x:v>
      </x:c>
      <x:c r="B6727" s="9" t="d">
        <x:v>2011-05-01T00:00:00.000Z</x:v>
      </x:c>
      <x:c r="C6727" s="13" t="n">
        <x:v>95</x:v>
      </x:c>
    </x:row>
    <x:row r="6728" ht="20" customHeight="1">
      <x:c r="A6728" s="1" t="str">
        <x:v>85099B</x:v>
      </x:c>
      <x:c r="B6728" s="9" t="d">
        <x:v>2011-05-02T00:00:00.000Z</x:v>
      </x:c>
      <x:c r="C6728" s="13" t="n">
        <x:v>0</x:v>
      </x:c>
    </x:row>
    <x:row r="6729" ht="20" customHeight="1">
      <x:c r="A6729" s="1" t="str">
        <x:v>85099B</x:v>
      </x:c>
      <x:c r="B6729" s="9" t="d">
        <x:v>2011-05-03T00:00:00.000Z</x:v>
      </x:c>
      <x:c r="C6729" s="13" t="n">
        <x:v>51</x:v>
      </x:c>
    </x:row>
    <x:row r="6730" ht="20" customHeight="1">
      <x:c r="A6730" s="1" t="str">
        <x:v>85099B</x:v>
      </x:c>
      <x:c r="B6730" s="9" t="d">
        <x:v>2011-05-04T00:00:00.000Z</x:v>
      </x:c>
      <x:c r="C6730" s="13" t="n">
        <x:v>48</x:v>
      </x:c>
    </x:row>
    <x:row r="6731" ht="20" customHeight="1">
      <x:c r="A6731" s="1" t="str">
        <x:v>85099B</x:v>
      </x:c>
      <x:c r="B6731" s="9" t="d">
        <x:v>2011-05-05T00:00:00.000Z</x:v>
      </x:c>
      <x:c r="C6731" s="13" t="n">
        <x:v>77</x:v>
      </x:c>
    </x:row>
    <x:row r="6732" ht="20" customHeight="1">
      <x:c r="A6732" s="1" t="str">
        <x:v>85099B</x:v>
      </x:c>
      <x:c r="B6732" s="9" t="d">
        <x:v>2011-05-06T00:00:00.000Z</x:v>
      </x:c>
      <x:c r="C6732" s="13" t="n">
        <x:v>94</x:v>
      </x:c>
    </x:row>
    <x:row r="6733" ht="20" customHeight="1">
      <x:c r="A6733" s="1" t="str">
        <x:v>85099B</x:v>
      </x:c>
      <x:c r="B6733" s="9" t="d">
        <x:v>2011-05-07T00:00:00.000Z</x:v>
      </x:c>
      <x:c r="C6733" s="13" t="n">
        <x:v>0</x:v>
      </x:c>
    </x:row>
    <x:row r="6734" ht="20" customHeight="1">
      <x:c r="A6734" s="1" t="str">
        <x:v>85099B</x:v>
      </x:c>
      <x:c r="B6734" s="9" t="d">
        <x:v>2011-05-08T00:00:00.000Z</x:v>
      </x:c>
      <x:c r="C6734" s="13" t="n">
        <x:v>110</x:v>
      </x:c>
    </x:row>
    <x:row r="6735" ht="20" customHeight="1">
      <x:c r="A6735" s="1" t="str">
        <x:v>85099B</x:v>
      </x:c>
      <x:c r="B6735" s="9" t="d">
        <x:v>2011-05-09T00:00:00.000Z</x:v>
      </x:c>
      <x:c r="C6735" s="13" t="n">
        <x:v>76</x:v>
      </x:c>
    </x:row>
    <x:row r="6736" ht="20" customHeight="1">
      <x:c r="A6736" s="1" t="str">
        <x:v>85099B</x:v>
      </x:c>
      <x:c r="B6736" s="9" t="d">
        <x:v>2011-05-10T00:00:00.000Z</x:v>
      </x:c>
      <x:c r="C6736" s="13" t="n">
        <x:v>396</x:v>
      </x:c>
    </x:row>
    <x:row r="6737" ht="20" customHeight="1">
      <x:c r="A6737" s="1" t="str">
        <x:v>85099B</x:v>
      </x:c>
      <x:c r="B6737" s="9" t="d">
        <x:v>2011-05-11T00:00:00.000Z</x:v>
      </x:c>
      <x:c r="C6737" s="13" t="n">
        <x:v>154</x:v>
      </x:c>
    </x:row>
    <x:row r="6738" ht="20" customHeight="1">
      <x:c r="A6738" s="1" t="str">
        <x:v>85099B</x:v>
      </x:c>
      <x:c r="B6738" s="9" t="d">
        <x:v>2011-05-12T00:00:00.000Z</x:v>
      </x:c>
      <x:c r="C6738" s="13" t="n">
        <x:v>237</x:v>
      </x:c>
    </x:row>
    <x:row r="6739" ht="20" customHeight="1">
      <x:c r="A6739" s="1" t="str">
        <x:v>85099B</x:v>
      </x:c>
      <x:c r="B6739" s="9" t="d">
        <x:v>2011-05-13T00:00:00.000Z</x:v>
      </x:c>
      <x:c r="C6739" s="13" t="n">
        <x:v>340</x:v>
      </x:c>
    </x:row>
    <x:row r="6740" ht="20" customHeight="1">
      <x:c r="A6740" s="1" t="str">
        <x:v>85099B</x:v>
      </x:c>
      <x:c r="B6740" s="9" t="d">
        <x:v>2011-05-14T00:00:00.000Z</x:v>
      </x:c>
      <x:c r="C6740" s="13" t="n">
        <x:v>0</x:v>
      </x:c>
    </x:row>
    <x:row r="6741" ht="20" customHeight="1">
      <x:c r="A6741" s="1" t="str">
        <x:v>85099B</x:v>
      </x:c>
      <x:c r="B6741" s="9" t="d">
        <x:v>2011-05-15T00:00:00.000Z</x:v>
      </x:c>
      <x:c r="C6741" s="13" t="n">
        <x:v>3</x:v>
      </x:c>
    </x:row>
    <x:row r="6742" ht="20" customHeight="1">
      <x:c r="A6742" s="1" t="str">
        <x:v>85099B</x:v>
      </x:c>
      <x:c r="B6742" s="9" t="d">
        <x:v>2011-05-16T00:00:00.000Z</x:v>
      </x:c>
      <x:c r="C6742" s="13" t="n">
        <x:v>133</x:v>
      </x:c>
    </x:row>
    <x:row r="6743" ht="20" customHeight="1">
      <x:c r="A6743" s="1" t="str">
        <x:v>85099B</x:v>
      </x:c>
      <x:c r="B6743" s="9" t="d">
        <x:v>2011-05-17T00:00:00.000Z</x:v>
      </x:c>
      <x:c r="C6743" s="13" t="n">
        <x:v>161</x:v>
      </x:c>
    </x:row>
    <x:row r="6744" ht="20" customHeight="1">
      <x:c r="A6744" s="1" t="str">
        <x:v>85099B</x:v>
      </x:c>
      <x:c r="B6744" s="9" t="d">
        <x:v>2011-05-18T00:00:00.000Z</x:v>
      </x:c>
      <x:c r="C6744" s="13" t="n">
        <x:v>178</x:v>
      </x:c>
    </x:row>
    <x:row r="6745" ht="20" customHeight="1">
      <x:c r="A6745" s="1" t="str">
        <x:v>85099B</x:v>
      </x:c>
      <x:c r="B6745" s="9" t="d">
        <x:v>2011-05-19T00:00:00.000Z</x:v>
      </x:c>
      <x:c r="C6745" s="13" t="n">
        <x:v>162</x:v>
      </x:c>
    </x:row>
    <x:row r="6746" ht="20" customHeight="1">
      <x:c r="A6746" s="1" t="str">
        <x:v>85099B</x:v>
      </x:c>
      <x:c r="B6746" s="9" t="d">
        <x:v>2011-05-20T00:00:00.000Z</x:v>
      </x:c>
      <x:c r="C6746" s="13" t="n">
        <x:v>273</x:v>
      </x:c>
    </x:row>
    <x:row r="6747" ht="20" customHeight="1">
      <x:c r="A6747" s="1" t="str">
        <x:v>85099B</x:v>
      </x:c>
      <x:c r="B6747" s="9" t="d">
        <x:v>2011-05-21T00:00:00.000Z</x:v>
      </x:c>
      <x:c r="C6747" s="13" t="n">
        <x:v>0</x:v>
      </x:c>
    </x:row>
    <x:row r="6748" ht="20" customHeight="1">
      <x:c r="A6748" s="1" t="str">
        <x:v>85099B</x:v>
      </x:c>
      <x:c r="B6748" s="9" t="d">
        <x:v>2011-05-22T00:00:00.000Z</x:v>
      </x:c>
      <x:c r="C6748" s="13" t="n">
        <x:v>71</x:v>
      </x:c>
    </x:row>
    <x:row r="6749" ht="20" customHeight="1">
      <x:c r="A6749" s="1" t="str">
        <x:v>85099B</x:v>
      </x:c>
      <x:c r="B6749" s="9" t="d">
        <x:v>2011-05-23T00:00:00.000Z</x:v>
      </x:c>
      <x:c r="C6749" s="13" t="n">
        <x:v>365</x:v>
      </x:c>
    </x:row>
    <x:row r="6750" ht="20" customHeight="1">
      <x:c r="A6750" s="1" t="str">
        <x:v>85099B</x:v>
      </x:c>
      <x:c r="B6750" s="9" t="d">
        <x:v>2011-05-24T00:00:00.000Z</x:v>
      </x:c>
      <x:c r="C6750" s="13" t="n">
        <x:v>251</x:v>
      </x:c>
    </x:row>
    <x:row r="6751" ht="20" customHeight="1">
      <x:c r="A6751" s="1" t="str">
        <x:v>85099B</x:v>
      </x:c>
      <x:c r="B6751" s="9" t="d">
        <x:v>2011-05-25T00:00:00.000Z</x:v>
      </x:c>
      <x:c r="C6751" s="13" t="n">
        <x:v>255</x:v>
      </x:c>
    </x:row>
    <x:row r="6752" ht="20" customHeight="1">
      <x:c r="A6752" s="1" t="str">
        <x:v>85099B</x:v>
      </x:c>
      <x:c r="B6752" s="9" t="d">
        <x:v>2011-05-26T00:00:00.000Z</x:v>
      </x:c>
      <x:c r="C6752" s="13" t="n">
        <x:v>6</x:v>
      </x:c>
    </x:row>
    <x:row r="6753" ht="20" customHeight="1">
      <x:c r="A6753" s="1" t="str">
        <x:v>85099B</x:v>
      </x:c>
      <x:c r="B6753" s="9" t="d">
        <x:v>2011-05-27T00:00:00.000Z</x:v>
      </x:c>
      <x:c r="C6753" s="13" t="n">
        <x:v>44</x:v>
      </x:c>
    </x:row>
    <x:row r="6754" ht="20" customHeight="1">
      <x:c r="A6754" s="1" t="str">
        <x:v>85099B</x:v>
      </x:c>
      <x:c r="B6754" s="9" t="d">
        <x:v>2011-05-28T00:00:00.000Z</x:v>
      </x:c>
      <x:c r="C6754" s="13" t="n">
        <x:v>0</x:v>
      </x:c>
    </x:row>
    <x:row r="6755" ht="20" customHeight="1">
      <x:c r="A6755" s="1" t="str">
        <x:v>85099B</x:v>
      </x:c>
      <x:c r="B6755" s="9" t="d">
        <x:v>2011-05-29T00:00:00.000Z</x:v>
      </x:c>
      <x:c r="C6755" s="13" t="n">
        <x:v>12</x:v>
      </x:c>
    </x:row>
    <x:row r="6756" ht="20" customHeight="1">
      <x:c r="A6756" s="1" t="str">
        <x:v>85099B</x:v>
      </x:c>
      <x:c r="B6756" s="9" t="d">
        <x:v>2011-05-30T00:00:00.000Z</x:v>
      </x:c>
      <x:c r="C6756" s="13" t="n">
        <x:v>0</x:v>
      </x:c>
    </x:row>
    <x:row r="6757" ht="20" customHeight="1">
      <x:c r="A6757" s="1" t="str">
        <x:v>85099B</x:v>
      </x:c>
      <x:c r="B6757" s="9" t="d">
        <x:v>2011-05-31T00:00:00.000Z</x:v>
      </x:c>
      <x:c r="C6757" s="13" t="n">
        <x:v>29</x:v>
      </x:c>
    </x:row>
    <x:row r="6758" ht="20" customHeight="1">
      <x:c r="A6758" s="1" t="str">
        <x:v>85099B</x:v>
      </x:c>
      <x:c r="B6758" s="9" t="d">
        <x:v>2011-06-01T00:00:00.000Z</x:v>
      </x:c>
      <x:c r="C6758" s="13" t="n">
        <x:v>21</x:v>
      </x:c>
    </x:row>
    <x:row r="6759" ht="20" customHeight="1">
      <x:c r="A6759" s="1" t="str">
        <x:v>85099B</x:v>
      </x:c>
      <x:c r="B6759" s="9" t="d">
        <x:v>2011-06-02T00:00:00.000Z</x:v>
      </x:c>
      <x:c r="C6759" s="13" t="n">
        <x:v>155</x:v>
      </x:c>
    </x:row>
    <x:row r="6760" ht="20" customHeight="1">
      <x:c r="A6760" s="1" t="str">
        <x:v>85099B</x:v>
      </x:c>
      <x:c r="B6760" s="9" t="d">
        <x:v>2011-06-03T00:00:00.000Z</x:v>
      </x:c>
      <x:c r="C6760" s="13" t="n">
        <x:v>33</x:v>
      </x:c>
    </x:row>
    <x:row r="6761" ht="20" customHeight="1">
      <x:c r="A6761" s="1" t="str">
        <x:v>85099B</x:v>
      </x:c>
      <x:c r="B6761" s="9" t="d">
        <x:v>2011-06-04T00:00:00.000Z</x:v>
      </x:c>
      <x:c r="C6761" s="13" t="n">
        <x:v>0</x:v>
      </x:c>
    </x:row>
    <x:row r="6762" ht="20" customHeight="1">
      <x:c r="A6762" s="1" t="str">
        <x:v>85099B</x:v>
      </x:c>
      <x:c r="B6762" s="9" t="d">
        <x:v>2011-06-05T00:00:00.000Z</x:v>
      </x:c>
      <x:c r="C6762" s="13" t="n">
        <x:v>35</x:v>
      </x:c>
    </x:row>
    <x:row r="6763" ht="20" customHeight="1">
      <x:c r="A6763" s="1" t="str">
        <x:v>85099B</x:v>
      </x:c>
      <x:c r="B6763" s="9" t="d">
        <x:v>2011-06-06T00:00:00.000Z</x:v>
      </x:c>
      <x:c r="C6763" s="13" t="n">
        <x:v>123</x:v>
      </x:c>
    </x:row>
    <x:row r="6764" ht="20" customHeight="1">
      <x:c r="A6764" s="1" t="str">
        <x:v>85099B</x:v>
      </x:c>
      <x:c r="B6764" s="9" t="d">
        <x:v>2011-06-07T00:00:00.000Z</x:v>
      </x:c>
      <x:c r="C6764" s="13" t="n">
        <x:v>317</x:v>
      </x:c>
    </x:row>
    <x:row r="6765" ht="20" customHeight="1">
      <x:c r="A6765" s="1" t="str">
        <x:v>85099B</x:v>
      </x:c>
      <x:c r="B6765" s="9" t="d">
        <x:v>2011-06-08T00:00:00.000Z</x:v>
      </x:c>
      <x:c r="C6765" s="13" t="n">
        <x:v>135</x:v>
      </x:c>
    </x:row>
    <x:row r="6766" ht="20" customHeight="1">
      <x:c r="A6766" s="1" t="str">
        <x:v>85099B</x:v>
      </x:c>
      <x:c r="B6766" s="9" t="d">
        <x:v>2011-06-09T00:00:00.000Z</x:v>
      </x:c>
      <x:c r="C6766" s="13" t="n">
        <x:v>88</x:v>
      </x:c>
    </x:row>
    <x:row r="6767" ht="20" customHeight="1">
      <x:c r="A6767" s="1" t="str">
        <x:v>85099B</x:v>
      </x:c>
      <x:c r="B6767" s="9" t="d">
        <x:v>2011-06-10T00:00:00.000Z</x:v>
      </x:c>
      <x:c r="C6767" s="13" t="n">
        <x:v>72</x:v>
      </x:c>
    </x:row>
    <x:row r="6768" ht="20" customHeight="1">
      <x:c r="A6768" s="1" t="str">
        <x:v>85099B</x:v>
      </x:c>
      <x:c r="B6768" s="9" t="d">
        <x:v>2011-06-11T00:00:00.000Z</x:v>
      </x:c>
      <x:c r="C6768" s="13" t="n">
        <x:v>0</x:v>
      </x:c>
    </x:row>
    <x:row r="6769" ht="20" customHeight="1">
      <x:c r="A6769" s="1" t="str">
        <x:v>85099B</x:v>
      </x:c>
      <x:c r="B6769" s="9" t="d">
        <x:v>2011-06-12T00:00:00.000Z</x:v>
      </x:c>
      <x:c r="C6769" s="13" t="n">
        <x:v>148</x:v>
      </x:c>
    </x:row>
    <x:row r="6770" ht="20" customHeight="1">
      <x:c r="A6770" s="1" t="str">
        <x:v>85099B</x:v>
      </x:c>
      <x:c r="B6770" s="9" t="d">
        <x:v>2011-06-13T00:00:00.000Z</x:v>
      </x:c>
      <x:c r="C6770" s="13" t="n">
        <x:v>35</x:v>
      </x:c>
    </x:row>
    <x:row r="6771" ht="20" customHeight="1">
      <x:c r="A6771" s="1" t="str">
        <x:v>85099B</x:v>
      </x:c>
      <x:c r="B6771" s="9" t="d">
        <x:v>2011-06-14T00:00:00.000Z</x:v>
      </x:c>
      <x:c r="C6771" s="13" t="n">
        <x:v>234</x:v>
      </x:c>
    </x:row>
    <x:row r="6772" ht="20" customHeight="1">
      <x:c r="A6772" s="1" t="str">
        <x:v>85099B</x:v>
      </x:c>
      <x:c r="B6772" s="9" t="d">
        <x:v>2011-06-15T00:00:00.000Z</x:v>
      </x:c>
      <x:c r="C6772" s="13" t="n">
        <x:v>313</x:v>
      </x:c>
    </x:row>
    <x:row r="6773" ht="20" customHeight="1">
      <x:c r="A6773" s="1" t="str">
        <x:v>85099B</x:v>
      </x:c>
      <x:c r="B6773" s="9" t="d">
        <x:v>2011-06-16T00:00:00.000Z</x:v>
      </x:c>
      <x:c r="C6773" s="13" t="n">
        <x:v>134</x:v>
      </x:c>
    </x:row>
    <x:row r="6774" ht="20" customHeight="1">
      <x:c r="A6774" s="1" t="str">
        <x:v>85099B</x:v>
      </x:c>
      <x:c r="B6774" s="9" t="d">
        <x:v>2011-06-17T00:00:00.000Z</x:v>
      </x:c>
      <x:c r="C6774" s="13" t="n">
        <x:v>120</x:v>
      </x:c>
    </x:row>
    <x:row r="6775" ht="20" customHeight="1">
      <x:c r="A6775" s="1" t="str">
        <x:v>85099B</x:v>
      </x:c>
      <x:c r="B6775" s="9" t="d">
        <x:v>2011-06-18T00:00:00.000Z</x:v>
      </x:c>
      <x:c r="C6775" s="13" t="n">
        <x:v>0</x:v>
      </x:c>
    </x:row>
    <x:row r="6776" ht="20" customHeight="1">
      <x:c r="A6776" s="1" t="str">
        <x:v>85099B</x:v>
      </x:c>
      <x:c r="B6776" s="9" t="d">
        <x:v>2011-06-19T00:00:00.000Z</x:v>
      </x:c>
      <x:c r="C6776" s="13" t="n">
        <x:v>123</x:v>
      </x:c>
    </x:row>
    <x:row r="6777" ht="20" customHeight="1">
      <x:c r="A6777" s="1" t="str">
        <x:v>85099B</x:v>
      </x:c>
      <x:c r="B6777" s="9" t="d">
        <x:v>2011-06-20T00:00:00.000Z</x:v>
      </x:c>
      <x:c r="C6777" s="13" t="n">
        <x:v>356</x:v>
      </x:c>
    </x:row>
    <x:row r="6778" ht="20" customHeight="1">
      <x:c r="A6778" s="1" t="str">
        <x:v>85099B</x:v>
      </x:c>
      <x:c r="B6778" s="9" t="d">
        <x:v>2011-06-21T00:00:00.000Z</x:v>
      </x:c>
      <x:c r="C6778" s="13" t="n">
        <x:v>162</x:v>
      </x:c>
    </x:row>
    <x:row r="6779" ht="20" customHeight="1">
      <x:c r="A6779" s="1" t="str">
        <x:v>85099B</x:v>
      </x:c>
      <x:c r="B6779" s="9" t="d">
        <x:v>2011-06-22T00:00:00.000Z</x:v>
      </x:c>
      <x:c r="C6779" s="13" t="n">
        <x:v>120</x:v>
      </x:c>
    </x:row>
    <x:row r="6780" ht="20" customHeight="1">
      <x:c r="A6780" s="1" t="str">
        <x:v>85099B</x:v>
      </x:c>
      <x:c r="B6780" s="9" t="d">
        <x:v>2011-06-23T00:00:00.000Z</x:v>
      </x:c>
      <x:c r="C6780" s="13" t="n">
        <x:v>142</x:v>
      </x:c>
    </x:row>
    <x:row r="6781" ht="20" customHeight="1">
      <x:c r="A6781" s="1" t="str">
        <x:v>85099B</x:v>
      </x:c>
      <x:c r="B6781" s="9" t="d">
        <x:v>2011-06-24T00:00:00.000Z</x:v>
      </x:c>
      <x:c r="C6781" s="13" t="n">
        <x:v>31</x:v>
      </x:c>
    </x:row>
    <x:row r="6782" ht="20" customHeight="1">
      <x:c r="A6782" s="1" t="str">
        <x:v>85099B</x:v>
      </x:c>
      <x:c r="B6782" s="9" t="d">
        <x:v>2011-06-25T00:00:00.000Z</x:v>
      </x:c>
      <x:c r="C6782" s="13" t="n">
        <x:v>0</x:v>
      </x:c>
    </x:row>
    <x:row r="6783" ht="20" customHeight="1">
      <x:c r="A6783" s="1" t="str">
        <x:v>85099B</x:v>
      </x:c>
      <x:c r="B6783" s="9" t="d">
        <x:v>2011-06-26T00:00:00.000Z</x:v>
      </x:c>
      <x:c r="C6783" s="13" t="n">
        <x:v>30</x:v>
      </x:c>
    </x:row>
    <x:row r="6784" ht="20" customHeight="1">
      <x:c r="A6784" s="1" t="str">
        <x:v>85099B</x:v>
      </x:c>
      <x:c r="B6784" s="9" t="d">
        <x:v>2011-06-27T00:00:00.000Z</x:v>
      </x:c>
      <x:c r="C6784" s="13" t="n">
        <x:v>237</x:v>
      </x:c>
    </x:row>
    <x:row r="6785" ht="20" customHeight="1">
      <x:c r="A6785" s="1" t="str">
        <x:v>85099B</x:v>
      </x:c>
      <x:c r="B6785" s="9" t="d">
        <x:v>2011-06-28T00:00:00.000Z</x:v>
      </x:c>
      <x:c r="C6785" s="13" t="n">
        <x:v>222</x:v>
      </x:c>
    </x:row>
    <x:row r="6786" ht="20" customHeight="1">
      <x:c r="A6786" s="1" t="str">
        <x:v>85099B</x:v>
      </x:c>
      <x:c r="B6786" s="9" t="d">
        <x:v>2011-06-29T00:00:00.000Z</x:v>
      </x:c>
      <x:c r="C6786" s="13" t="n">
        <x:v>60</x:v>
      </x:c>
    </x:row>
    <x:row r="6787" ht="20" customHeight="1">
      <x:c r="A6787" s="1" t="str">
        <x:v>85099B</x:v>
      </x:c>
      <x:c r="B6787" s="9" t="d">
        <x:v>2011-06-30T00:00:00.000Z</x:v>
      </x:c>
      <x:c r="C6787" s="13" t="n">
        <x:v>235</x:v>
      </x:c>
    </x:row>
    <x:row r="6788" ht="20" customHeight="1">
      <x:c r="A6788" s="1" t="str">
        <x:v>85099B</x:v>
      </x:c>
      <x:c r="B6788" s="9" t="d">
        <x:v>2011-07-01T00:00:00.000Z</x:v>
      </x:c>
      <x:c r="C6788" s="13" t="n">
        <x:v>57</x:v>
      </x:c>
    </x:row>
    <x:row r="6789" ht="20" customHeight="1">
      <x:c r="A6789" s="1" t="str">
        <x:v>85099B</x:v>
      </x:c>
      <x:c r="B6789" s="9" t="d">
        <x:v>2011-07-02T00:00:00.000Z</x:v>
      </x:c>
      <x:c r="C6789" s="13" t="n">
        <x:v>0</x:v>
      </x:c>
    </x:row>
    <x:row r="6790" ht="20" customHeight="1">
      <x:c r="A6790" s="1" t="str">
        <x:v>85099B</x:v>
      </x:c>
      <x:c r="B6790" s="9" t="d">
        <x:v>2011-07-03T00:00:00.000Z</x:v>
      </x:c>
      <x:c r="C6790" s="13" t="n">
        <x:v>4</x:v>
      </x:c>
    </x:row>
    <x:row r="6791" ht="20" customHeight="1">
      <x:c r="A6791" s="1" t="str">
        <x:v>85099B</x:v>
      </x:c>
      <x:c r="B6791" s="9" t="d">
        <x:v>2011-07-04T00:00:00.000Z</x:v>
      </x:c>
      <x:c r="C6791" s="13" t="n">
        <x:v>51</x:v>
      </x:c>
    </x:row>
    <x:row r="6792" ht="20" customHeight="1">
      <x:c r="A6792" s="1" t="str">
        <x:v>85099B</x:v>
      </x:c>
      <x:c r="B6792" s="9" t="d">
        <x:v>2011-07-05T00:00:00.000Z</x:v>
      </x:c>
      <x:c r="C6792" s="13" t="n">
        <x:v>296</x:v>
      </x:c>
    </x:row>
    <x:row r="6793" ht="20" customHeight="1">
      <x:c r="A6793" s="1" t="str">
        <x:v>85099B</x:v>
      </x:c>
      <x:c r="B6793" s="9" t="d">
        <x:v>2011-07-06T00:00:00.000Z</x:v>
      </x:c>
      <x:c r="C6793" s="13" t="n">
        <x:v>200</x:v>
      </x:c>
    </x:row>
    <x:row r="6794" ht="20" customHeight="1">
      <x:c r="A6794" s="1" t="str">
        <x:v>85099B</x:v>
      </x:c>
      <x:c r="B6794" s="9" t="d">
        <x:v>2011-07-07T00:00:00.000Z</x:v>
      </x:c>
      <x:c r="C6794" s="13" t="n">
        <x:v>376</x:v>
      </x:c>
    </x:row>
    <x:row r="6795" ht="20" customHeight="1">
      <x:c r="A6795" s="1" t="str">
        <x:v>85099B</x:v>
      </x:c>
      <x:c r="B6795" s="9" t="d">
        <x:v>2011-07-08T00:00:00.000Z</x:v>
      </x:c>
      <x:c r="C6795" s="13" t="n">
        <x:v>434</x:v>
      </x:c>
    </x:row>
    <x:row r="6796" ht="20" customHeight="1">
      <x:c r="A6796" s="1" t="str">
        <x:v>85099B</x:v>
      </x:c>
      <x:c r="B6796" s="9" t="d">
        <x:v>2011-07-09T00:00:00.000Z</x:v>
      </x:c>
      <x:c r="C6796" s="13" t="n">
        <x:v>0</x:v>
      </x:c>
    </x:row>
    <x:row r="6797" ht="20" customHeight="1">
      <x:c r="A6797" s="1" t="str">
        <x:v>85099B</x:v>
      </x:c>
      <x:c r="B6797" s="9" t="d">
        <x:v>2011-07-10T00:00:00.000Z</x:v>
      </x:c>
      <x:c r="C6797" s="13" t="n">
        <x:v>7</x:v>
      </x:c>
    </x:row>
    <x:row r="6798" ht="20" customHeight="1">
      <x:c r="A6798" s="1" t="str">
        <x:v>85099B</x:v>
      </x:c>
      <x:c r="B6798" s="9" t="d">
        <x:v>2011-07-11T00:00:00.000Z</x:v>
      </x:c>
      <x:c r="C6798" s="13" t="n">
        <x:v>22</x:v>
      </x:c>
    </x:row>
    <x:row r="6799" ht="20" customHeight="1">
      <x:c r="A6799" s="1" t="str">
        <x:v>85099B</x:v>
      </x:c>
      <x:c r="B6799" s="9" t="d">
        <x:v>2011-07-12T00:00:00.000Z</x:v>
      </x:c>
      <x:c r="C6799" s="13" t="n">
        <x:v>31</x:v>
      </x:c>
    </x:row>
    <x:row r="6800" ht="20" customHeight="1">
      <x:c r="A6800" s="1" t="str">
        <x:v>85099B</x:v>
      </x:c>
      <x:c r="B6800" s="9" t="d">
        <x:v>2011-07-13T00:00:00.000Z</x:v>
      </x:c>
      <x:c r="C6800" s="13" t="n">
        <x:v>76</x:v>
      </x:c>
    </x:row>
    <x:row r="6801" ht="20" customHeight="1">
      <x:c r="A6801" s="1" t="str">
        <x:v>85099B</x:v>
      </x:c>
      <x:c r="B6801" s="9" t="d">
        <x:v>2011-07-14T00:00:00.000Z</x:v>
      </x:c>
      <x:c r="C6801" s="13" t="n">
        <x:v>123</x:v>
      </x:c>
    </x:row>
    <x:row r="6802" ht="20" customHeight="1">
      <x:c r="A6802" s="1" t="str">
        <x:v>85099B</x:v>
      </x:c>
      <x:c r="B6802" s="9" t="d">
        <x:v>2011-07-15T00:00:00.000Z</x:v>
      </x:c>
      <x:c r="C6802" s="13" t="n">
        <x:v>44</x:v>
      </x:c>
    </x:row>
    <x:row r="6803" ht="20" customHeight="1">
      <x:c r="A6803" s="1" t="str">
        <x:v>85099B</x:v>
      </x:c>
      <x:c r="B6803" s="9" t="d">
        <x:v>2011-07-16T00:00:00.000Z</x:v>
      </x:c>
      <x:c r="C6803" s="13" t="n">
        <x:v>0</x:v>
      </x:c>
    </x:row>
    <x:row r="6804" ht="20" customHeight="1">
      <x:c r="A6804" s="1" t="str">
        <x:v>85099B</x:v>
      </x:c>
      <x:c r="B6804" s="9" t="d">
        <x:v>2011-07-17T00:00:00.000Z</x:v>
      </x:c>
      <x:c r="C6804" s="13" t="n">
        <x:v>135</x:v>
      </x:c>
    </x:row>
    <x:row r="6805" ht="20" customHeight="1">
      <x:c r="A6805" s="1" t="str">
        <x:v>85099B</x:v>
      </x:c>
      <x:c r="B6805" s="9" t="d">
        <x:v>2011-07-18T00:00:00.000Z</x:v>
      </x:c>
      <x:c r="C6805" s="13" t="n">
        <x:v>71</x:v>
      </x:c>
    </x:row>
    <x:row r="6806" ht="20" customHeight="1">
      <x:c r="A6806" s="1" t="str">
        <x:v>85099B</x:v>
      </x:c>
      <x:c r="B6806" s="9" t="d">
        <x:v>2011-07-19T00:00:00.000Z</x:v>
      </x:c>
      <x:c r="C6806" s="13" t="n">
        <x:v>273</x:v>
      </x:c>
    </x:row>
    <x:row r="6807" ht="20" customHeight="1">
      <x:c r="A6807" s="1" t="str">
        <x:v>85099B</x:v>
      </x:c>
      <x:c r="B6807" s="9" t="d">
        <x:v>2011-07-20T00:00:00.000Z</x:v>
      </x:c>
      <x:c r="C6807" s="13" t="n">
        <x:v>279</x:v>
      </x:c>
    </x:row>
    <x:row r="6808" ht="20" customHeight="1">
      <x:c r="A6808" s="1" t="str">
        <x:v>85099B</x:v>
      </x:c>
      <x:c r="B6808" s="9" t="d">
        <x:v>2011-07-21T00:00:00.000Z</x:v>
      </x:c>
      <x:c r="C6808" s="13" t="n">
        <x:v>45</x:v>
      </x:c>
    </x:row>
    <x:row r="6809" ht="20" customHeight="1">
      <x:c r="A6809" s="1" t="str">
        <x:v>85099B</x:v>
      </x:c>
      <x:c r="B6809" s="9" t="d">
        <x:v>2011-07-22T00:00:00.000Z</x:v>
      </x:c>
      <x:c r="C6809" s="13" t="n">
        <x:v>40</x:v>
      </x:c>
    </x:row>
    <x:row r="6810" ht="20" customHeight="1">
      <x:c r="A6810" s="1" t="str">
        <x:v>85099B</x:v>
      </x:c>
      <x:c r="B6810" s="9" t="d">
        <x:v>2011-07-23T00:00:00.000Z</x:v>
      </x:c>
      <x:c r="C6810" s="13" t="n">
        <x:v>0</x:v>
      </x:c>
    </x:row>
    <x:row r="6811" ht="20" customHeight="1">
      <x:c r="A6811" s="1" t="str">
        <x:v>85099B</x:v>
      </x:c>
      <x:c r="B6811" s="9" t="d">
        <x:v>2011-07-24T00:00:00.000Z</x:v>
      </x:c>
      <x:c r="C6811" s="13" t="n">
        <x:v>25</x:v>
      </x:c>
    </x:row>
    <x:row r="6812" ht="20" customHeight="1">
      <x:c r="A6812" s="1" t="str">
        <x:v>85099B</x:v>
      </x:c>
      <x:c r="B6812" s="9" t="d">
        <x:v>2011-07-25T00:00:00.000Z</x:v>
      </x:c>
      <x:c r="C6812" s="13" t="n">
        <x:v>59</x:v>
      </x:c>
    </x:row>
    <x:row r="6813" ht="20" customHeight="1">
      <x:c r="A6813" s="1" t="str">
        <x:v>85099B</x:v>
      </x:c>
      <x:c r="B6813" s="9" t="d">
        <x:v>2011-07-26T00:00:00.000Z</x:v>
      </x:c>
      <x:c r="C6813" s="13" t="n">
        <x:v>148</x:v>
      </x:c>
    </x:row>
    <x:row r="6814" ht="20" customHeight="1">
      <x:c r="A6814" s="1" t="str">
        <x:v>85099B</x:v>
      </x:c>
      <x:c r="B6814" s="9" t="d">
        <x:v>2011-07-27T00:00:00.000Z</x:v>
      </x:c>
      <x:c r="C6814" s="13" t="n">
        <x:v>162</x:v>
      </x:c>
    </x:row>
    <x:row r="6815" ht="20" customHeight="1">
      <x:c r="A6815" s="1" t="str">
        <x:v>85099B</x:v>
      </x:c>
      <x:c r="B6815" s="9" t="d">
        <x:v>2011-07-28T00:00:00.000Z</x:v>
      </x:c>
      <x:c r="C6815" s="13" t="n">
        <x:v>48</x:v>
      </x:c>
    </x:row>
    <x:row r="6816" ht="20" customHeight="1">
      <x:c r="A6816" s="1" t="str">
        <x:v>85099B</x:v>
      </x:c>
      <x:c r="B6816" s="9" t="d">
        <x:v>2011-07-29T00:00:00.000Z</x:v>
      </x:c>
      <x:c r="C6816" s="13" t="n">
        <x:v>111</x:v>
      </x:c>
    </x:row>
    <x:row r="6817" ht="20" customHeight="1">
      <x:c r="A6817" s="1" t="str">
        <x:v>85099B</x:v>
      </x:c>
      <x:c r="B6817" s="9" t="d">
        <x:v>2011-07-30T00:00:00.000Z</x:v>
      </x:c>
      <x:c r="C6817" s="13" t="n">
        <x:v>0</x:v>
      </x:c>
    </x:row>
    <x:row r="6818" ht="20" customHeight="1">
      <x:c r="A6818" s="1" t="str">
        <x:v>85099B</x:v>
      </x:c>
      <x:c r="B6818" s="9" t="d">
        <x:v>2011-07-31T00:00:00.000Z</x:v>
      </x:c>
      <x:c r="C6818" s="13" t="n">
        <x:v>12</x:v>
      </x:c>
    </x:row>
    <x:row r="6819" ht="20" customHeight="1">
      <x:c r="A6819" s="1" t="str">
        <x:v>85099B</x:v>
      </x:c>
      <x:c r="B6819" s="9" t="d">
        <x:v>2011-08-01T00:00:00.000Z</x:v>
      </x:c>
      <x:c r="C6819" s="13" t="n">
        <x:v>348</x:v>
      </x:c>
    </x:row>
    <x:row r="6820" ht="20" customHeight="1">
      <x:c r="A6820" s="1" t="str">
        <x:v>85099B</x:v>
      </x:c>
      <x:c r="B6820" s="9" t="d">
        <x:v>2011-08-02T00:00:00.000Z</x:v>
      </x:c>
      <x:c r="C6820" s="13" t="n">
        <x:v>54</x:v>
      </x:c>
    </x:row>
    <x:row r="6821" ht="20" customHeight="1">
      <x:c r="A6821" s="1" t="str">
        <x:v>85099B</x:v>
      </x:c>
      <x:c r="B6821" s="9" t="d">
        <x:v>2011-08-03T00:00:00.000Z</x:v>
      </x:c>
      <x:c r="C6821" s="13" t="n">
        <x:v>38</x:v>
      </x:c>
    </x:row>
    <x:row r="6822" ht="20" customHeight="1">
      <x:c r="A6822" s="1" t="str">
        <x:v>85099B</x:v>
      </x:c>
      <x:c r="B6822" s="9" t="d">
        <x:v>2011-08-04T00:00:00.000Z</x:v>
      </x:c>
      <x:c r="C6822" s="13" t="n">
        <x:v>453</x:v>
      </x:c>
    </x:row>
    <x:row r="6823" ht="20" customHeight="1">
      <x:c r="A6823" s="1" t="str">
        <x:v>85099B</x:v>
      </x:c>
      <x:c r="B6823" s="9" t="d">
        <x:v>2011-08-05T00:00:00.000Z</x:v>
      </x:c>
      <x:c r="C6823" s="13" t="n">
        <x:v>134</x:v>
      </x:c>
    </x:row>
    <x:row r="6824" ht="20" customHeight="1">
      <x:c r="A6824" s="1" t="str">
        <x:v>85099B</x:v>
      </x:c>
      <x:c r="B6824" s="9" t="d">
        <x:v>2011-08-06T00:00:00.000Z</x:v>
      </x:c>
      <x:c r="C6824" s="13" t="n">
        <x:v>0</x:v>
      </x:c>
    </x:row>
    <x:row r="6825" ht="20" customHeight="1">
      <x:c r="A6825" s="1" t="str">
        <x:v>85099B</x:v>
      </x:c>
      <x:c r="B6825" s="9" t="d">
        <x:v>2011-08-07T00:00:00.000Z</x:v>
      </x:c>
      <x:c r="C6825" s="13" t="n">
        <x:v>23</x:v>
      </x:c>
    </x:row>
    <x:row r="6826" ht="20" customHeight="1">
      <x:c r="A6826" s="1" t="str">
        <x:v>85099B</x:v>
      </x:c>
      <x:c r="B6826" s="9" t="d">
        <x:v>2011-08-08T00:00:00.000Z</x:v>
      </x:c>
      <x:c r="C6826" s="13" t="n">
        <x:v>358</x:v>
      </x:c>
    </x:row>
    <x:row r="6827" ht="20" customHeight="1">
      <x:c r="A6827" s="1" t="str">
        <x:v>85099B</x:v>
      </x:c>
      <x:c r="B6827" s="9" t="d">
        <x:v>2011-08-09T00:00:00.000Z</x:v>
      </x:c>
      <x:c r="C6827" s="13" t="n">
        <x:v>263</x:v>
      </x:c>
    </x:row>
    <x:row r="6828" ht="20" customHeight="1">
      <x:c r="A6828" s="1" t="str">
        <x:v>85099B</x:v>
      </x:c>
      <x:c r="B6828" s="9" t="d">
        <x:v>2011-08-10T00:00:00.000Z</x:v>
      </x:c>
      <x:c r="C6828" s="13" t="n">
        <x:v>557</x:v>
      </x:c>
    </x:row>
    <x:row r="6829" ht="20" customHeight="1">
      <x:c r="A6829" s="1" t="str">
        <x:v>85099B</x:v>
      </x:c>
      <x:c r="B6829" s="9" t="d">
        <x:v>2011-08-11T00:00:00.000Z</x:v>
      </x:c>
      <x:c r="C6829" s="13" t="n">
        <x:v>147</x:v>
      </x:c>
    </x:row>
    <x:row r="6830" ht="20" customHeight="1">
      <x:c r="A6830" s="1" t="str">
        <x:v>85099B</x:v>
      </x:c>
      <x:c r="B6830" s="9" t="d">
        <x:v>2011-08-12T00:00:00.000Z</x:v>
      </x:c>
      <x:c r="C6830" s="13" t="n">
        <x:v>26</x:v>
      </x:c>
    </x:row>
    <x:row r="6831" ht="20" customHeight="1">
      <x:c r="A6831" s="1" t="str">
        <x:v>85099B</x:v>
      </x:c>
      <x:c r="B6831" s="9" t="d">
        <x:v>2011-08-13T00:00:00.000Z</x:v>
      </x:c>
      <x:c r="C6831" s="13" t="n">
        <x:v>0</x:v>
      </x:c>
    </x:row>
    <x:row r="6832" ht="20" customHeight="1">
      <x:c r="A6832" s="1" t="str">
        <x:v>85099B</x:v>
      </x:c>
      <x:c r="B6832" s="9" t="d">
        <x:v>2011-08-14T00:00:00.000Z</x:v>
      </x:c>
      <x:c r="C6832" s="13" t="n">
        <x:v>22</x:v>
      </x:c>
    </x:row>
    <x:row r="6833" ht="20" customHeight="1">
      <x:c r="A6833" s="1" t="str">
        <x:v>85099B</x:v>
      </x:c>
      <x:c r="B6833" s="9" t="d">
        <x:v>2011-08-15T00:00:00.000Z</x:v>
      </x:c>
      <x:c r="C6833" s="13" t="n">
        <x:v>62</x:v>
      </x:c>
    </x:row>
    <x:row r="6834" ht="20" customHeight="1">
      <x:c r="A6834" s="1" t="str">
        <x:v>85099B</x:v>
      </x:c>
      <x:c r="B6834" s="9" t="d">
        <x:v>2011-08-16T00:00:00.000Z</x:v>
      </x:c>
      <x:c r="C6834" s="13" t="n">
        <x:v>45</x:v>
      </x:c>
    </x:row>
    <x:row r="6835" ht="20" customHeight="1">
      <x:c r="A6835" s="1" t="str">
        <x:v>85099B</x:v>
      </x:c>
      <x:c r="B6835" s="9" t="d">
        <x:v>2011-08-17T00:00:00.000Z</x:v>
      </x:c>
      <x:c r="C6835" s="13" t="n">
        <x:v>281</x:v>
      </x:c>
    </x:row>
    <x:row r="6836" ht="20" customHeight="1">
      <x:c r="A6836" s="1" t="str">
        <x:v>85099B</x:v>
      </x:c>
      <x:c r="B6836" s="9" t="d">
        <x:v>2011-08-18T00:00:00.000Z</x:v>
      </x:c>
      <x:c r="C6836" s="13" t="n">
        <x:v>390</x:v>
      </x:c>
    </x:row>
    <x:row r="6837" ht="20" customHeight="1">
      <x:c r="A6837" s="1" t="str">
        <x:v>85099B</x:v>
      </x:c>
      <x:c r="B6837" s="9" t="d">
        <x:v>2011-08-19T00:00:00.000Z</x:v>
      </x:c>
      <x:c r="C6837" s="13" t="n">
        <x:v>100</x:v>
      </x:c>
    </x:row>
    <x:row r="6838" ht="20" customHeight="1">
      <x:c r="A6838" s="1" t="str">
        <x:v>85099B</x:v>
      </x:c>
      <x:c r="B6838" s="9" t="d">
        <x:v>2011-08-20T00:00:00.000Z</x:v>
      </x:c>
      <x:c r="C6838" s="13" t="n">
        <x:v>0</x:v>
      </x:c>
    </x:row>
    <x:row r="6839" ht="20" customHeight="1">
      <x:c r="A6839" s="1" t="str">
        <x:v>85099B</x:v>
      </x:c>
      <x:c r="B6839" s="9" t="d">
        <x:v>2011-08-21T00:00:00.000Z</x:v>
      </x:c>
      <x:c r="C6839" s="13" t="n">
        <x:v>478</x:v>
      </x:c>
    </x:row>
    <x:row r="6840" ht="20" customHeight="1">
      <x:c r="A6840" s="1" t="str">
        <x:v>85099B</x:v>
      </x:c>
      <x:c r="B6840" s="9" t="d">
        <x:v>2011-08-22T00:00:00.000Z</x:v>
      </x:c>
      <x:c r="C6840" s="13" t="n">
        <x:v>130</x:v>
      </x:c>
    </x:row>
    <x:row r="6841" ht="20" customHeight="1">
      <x:c r="A6841" s="1" t="str">
        <x:v>85099B</x:v>
      </x:c>
      <x:c r="B6841" s="9" t="d">
        <x:v>2011-08-23T00:00:00.000Z</x:v>
      </x:c>
      <x:c r="C6841" s="13" t="n">
        <x:v>151</x:v>
      </x:c>
    </x:row>
    <x:row r="6842" ht="20" customHeight="1">
      <x:c r="A6842" s="1" t="str">
        <x:v>85099B</x:v>
      </x:c>
      <x:c r="B6842" s="9" t="d">
        <x:v>2011-08-24T00:00:00.000Z</x:v>
      </x:c>
      <x:c r="C6842" s="13" t="n">
        <x:v>968</x:v>
      </x:c>
    </x:row>
    <x:row r="6843" ht="20" customHeight="1">
      <x:c r="A6843" s="1" t="str">
        <x:v>85099B</x:v>
      </x:c>
      <x:c r="B6843" s="9" t="d">
        <x:v>2011-08-25T00:00:00.000Z</x:v>
      </x:c>
      <x:c r="C6843" s="13" t="n">
        <x:v>108</x:v>
      </x:c>
    </x:row>
    <x:row r="6844" ht="20" customHeight="1">
      <x:c r="A6844" s="1" t="str">
        <x:v>85099B</x:v>
      </x:c>
      <x:c r="B6844" s="9" t="d">
        <x:v>2011-08-26T00:00:00.000Z</x:v>
      </x:c>
      <x:c r="C6844" s="13" t="n">
        <x:v>50</x:v>
      </x:c>
    </x:row>
    <x:row r="6845" ht="20" customHeight="1">
      <x:c r="A6845" s="1" t="str">
        <x:v>85099B</x:v>
      </x:c>
      <x:c r="B6845" s="9" t="d">
        <x:v>2011-08-27T00:00:00.000Z</x:v>
      </x:c>
      <x:c r="C6845" s="13" t="n">
        <x:v>0</x:v>
      </x:c>
    </x:row>
    <x:row r="6846" ht="20" customHeight="1">
      <x:c r="A6846" s="1" t="str">
        <x:v>85099B</x:v>
      </x:c>
      <x:c r="B6846" s="9" t="d">
        <x:v>2011-08-28T00:00:00.000Z</x:v>
      </x:c>
      <x:c r="C6846" s="13" t="n">
        <x:v>11</x:v>
      </x:c>
    </x:row>
    <x:row r="6847" ht="20" customHeight="1">
      <x:c r="A6847" s="1" t="str">
        <x:v>85099B</x:v>
      </x:c>
      <x:c r="B6847" s="9" t="d">
        <x:v>2011-08-29T00:00:00.000Z</x:v>
      </x:c>
      <x:c r="C6847" s="13" t="n">
        <x:v>0</x:v>
      </x:c>
    </x:row>
    <x:row r="6848" ht="20" customHeight="1">
      <x:c r="A6848" s="1" t="str">
        <x:v>85099B</x:v>
      </x:c>
      <x:c r="B6848" s="9" t="d">
        <x:v>2011-08-30T00:00:00.000Z</x:v>
      </x:c>
      <x:c r="C6848" s="13" t="n">
        <x:v>38</x:v>
      </x:c>
    </x:row>
    <x:row r="6849" ht="20" customHeight="1">
      <x:c r="A6849" s="1" t="str">
        <x:v>85099B</x:v>
      </x:c>
      <x:c r="B6849" s="9" t="d">
        <x:v>2011-08-31T00:00:00.000Z</x:v>
      </x:c>
      <x:c r="C6849" s="13" t="n">
        <x:v>167</x:v>
      </x:c>
    </x:row>
    <x:row r="6850" ht="20" customHeight="1">
      <x:c r="A6850" s="1" t="str">
        <x:v>85099B</x:v>
      </x:c>
      <x:c r="B6850" s="9" t="d">
        <x:v>2011-09-01T00:00:00.000Z</x:v>
      </x:c>
      <x:c r="C6850" s="13" t="n">
        <x:v>301</x:v>
      </x:c>
    </x:row>
    <x:row r="6851" ht="20" customHeight="1">
      <x:c r="A6851" s="1" t="str">
        <x:v>85099B</x:v>
      </x:c>
      <x:c r="B6851" s="9" t="d">
        <x:v>2011-09-02T00:00:00.000Z</x:v>
      </x:c>
      <x:c r="C6851" s="13" t="n">
        <x:v>153</x:v>
      </x:c>
    </x:row>
    <x:row r="6852" ht="20" customHeight="1">
      <x:c r="A6852" s="1" t="str">
        <x:v>85099B</x:v>
      </x:c>
      <x:c r="B6852" s="9" t="d">
        <x:v>2011-09-03T00:00:00.000Z</x:v>
      </x:c>
      <x:c r="C6852" s="13" t="n">
        <x:v>0</x:v>
      </x:c>
    </x:row>
    <x:row r="6853" ht="20" customHeight="1">
      <x:c r="A6853" s="1" t="str">
        <x:v>85099B</x:v>
      </x:c>
      <x:c r="B6853" s="9" t="d">
        <x:v>2011-09-04T00:00:00.000Z</x:v>
      </x:c>
      <x:c r="C6853" s="13" t="n">
        <x:v>58</x:v>
      </x:c>
    </x:row>
    <x:row r="6854" ht="20" customHeight="1">
      <x:c r="A6854" s="1" t="str">
        <x:v>85099B</x:v>
      </x:c>
      <x:c r="B6854" s="9" t="d">
        <x:v>2011-09-05T00:00:00.000Z</x:v>
      </x:c>
      <x:c r="C6854" s="13" t="n">
        <x:v>54</x:v>
      </x:c>
    </x:row>
    <x:row r="6855" ht="20" customHeight="1">
      <x:c r="A6855" s="1" t="str">
        <x:v>85099B</x:v>
      </x:c>
      <x:c r="B6855" s="9" t="d">
        <x:v>2011-09-06T00:00:00.000Z</x:v>
      </x:c>
      <x:c r="C6855" s="13" t="n">
        <x:v>84</x:v>
      </x:c>
    </x:row>
    <x:row r="6856" ht="20" customHeight="1">
      <x:c r="A6856" s="1" t="str">
        <x:v>85099B</x:v>
      </x:c>
      <x:c r="B6856" s="9" t="d">
        <x:v>2011-09-07T00:00:00.000Z</x:v>
      </x:c>
      <x:c r="C6856" s="13" t="n">
        <x:v>265</x:v>
      </x:c>
    </x:row>
    <x:row r="6857" ht="20" customHeight="1">
      <x:c r="A6857" s="1" t="str">
        <x:v>85099B</x:v>
      </x:c>
      <x:c r="B6857" s="9" t="d">
        <x:v>2011-09-08T00:00:00.000Z</x:v>
      </x:c>
      <x:c r="C6857" s="13" t="n">
        <x:v>47</x:v>
      </x:c>
    </x:row>
    <x:row r="6858" ht="20" customHeight="1">
      <x:c r="A6858" s="1" t="str">
        <x:v>85099B</x:v>
      </x:c>
      <x:c r="B6858" s="9" t="d">
        <x:v>2011-09-09T00:00:00.000Z</x:v>
      </x:c>
      <x:c r="C6858" s="13" t="n">
        <x:v>53</x:v>
      </x:c>
    </x:row>
    <x:row r="6859" ht="20" customHeight="1">
      <x:c r="A6859" s="1" t="str">
        <x:v>85099B</x:v>
      </x:c>
      <x:c r="B6859" s="9" t="d">
        <x:v>2011-09-10T00:00:00.000Z</x:v>
      </x:c>
      <x:c r="C6859" s="13" t="n">
        <x:v>0</x:v>
      </x:c>
    </x:row>
    <x:row r="6860" ht="20" customHeight="1">
      <x:c r="A6860" s="1" t="str">
        <x:v>85099B</x:v>
      </x:c>
      <x:c r="B6860" s="9" t="d">
        <x:v>2011-09-11T00:00:00.000Z</x:v>
      </x:c>
      <x:c r="C6860" s="13" t="n">
        <x:v>53</x:v>
      </x:c>
    </x:row>
    <x:row r="6861" ht="20" customHeight="1">
      <x:c r="A6861" s="1" t="str">
        <x:v>85099B</x:v>
      </x:c>
      <x:c r="B6861" s="9" t="d">
        <x:v>2011-09-12T00:00:00.000Z</x:v>
      </x:c>
      <x:c r="C6861" s="13" t="n">
        <x:v>83</x:v>
      </x:c>
    </x:row>
    <x:row r="6862" ht="20" customHeight="1">
      <x:c r="A6862" s="1" t="str">
        <x:v>85099B</x:v>
      </x:c>
      <x:c r="B6862" s="9" t="d">
        <x:v>2011-09-13T00:00:00.000Z</x:v>
      </x:c>
      <x:c r="C6862" s="13" t="n">
        <x:v>144</x:v>
      </x:c>
    </x:row>
    <x:row r="6863" ht="20" customHeight="1">
      <x:c r="A6863" s="1" t="str">
        <x:v>85099B</x:v>
      </x:c>
      <x:c r="B6863" s="9" t="d">
        <x:v>2011-09-14T00:00:00.000Z</x:v>
      </x:c>
      <x:c r="C6863" s="13" t="n">
        <x:v>3</x:v>
      </x:c>
    </x:row>
    <x:row r="6864" ht="20" customHeight="1">
      <x:c r="A6864" s="1" t="str">
        <x:v>85099B</x:v>
      </x:c>
      <x:c r="B6864" s="9" t="d">
        <x:v>2011-09-15T00:00:00.000Z</x:v>
      </x:c>
      <x:c r="C6864" s="13" t="n">
        <x:v>167</x:v>
      </x:c>
    </x:row>
    <x:row r="6865" ht="20" customHeight="1">
      <x:c r="A6865" s="1" t="str">
        <x:v>85099B</x:v>
      </x:c>
      <x:c r="B6865" s="9" t="d">
        <x:v>2011-09-16T00:00:00.000Z</x:v>
      </x:c>
      <x:c r="C6865" s="13" t="n">
        <x:v>119</x:v>
      </x:c>
    </x:row>
    <x:row r="6866" ht="20" customHeight="1">
      <x:c r="A6866" s="1" t="str">
        <x:v>85099B</x:v>
      </x:c>
      <x:c r="B6866" s="9" t="d">
        <x:v>2011-09-17T00:00:00.000Z</x:v>
      </x:c>
      <x:c r="C6866" s="13" t="n">
        <x:v>0</x:v>
      </x:c>
    </x:row>
    <x:row r="6867" ht="20" customHeight="1">
      <x:c r="A6867" s="1" t="str">
        <x:v>85099B</x:v>
      </x:c>
      <x:c r="B6867" s="9" t="d">
        <x:v>2011-09-18T00:00:00.000Z</x:v>
      </x:c>
      <x:c r="C6867" s="13" t="n">
        <x:v>225</x:v>
      </x:c>
    </x:row>
    <x:row r="6868" ht="20" customHeight="1">
      <x:c r="A6868" s="1" t="str">
        <x:v>85099B</x:v>
      </x:c>
      <x:c r="B6868" s="9" t="d">
        <x:v>2011-09-19T00:00:00.000Z</x:v>
      </x:c>
      <x:c r="C6868" s="13" t="n">
        <x:v>493</x:v>
      </x:c>
    </x:row>
    <x:row r="6869" ht="20" customHeight="1">
      <x:c r="A6869" s="1" t="str">
        <x:v>85099B</x:v>
      </x:c>
      <x:c r="B6869" s="9" t="d">
        <x:v>2011-09-20T00:00:00.000Z</x:v>
      </x:c>
      <x:c r="C6869" s="13" t="n">
        <x:v>150</x:v>
      </x:c>
    </x:row>
    <x:row r="6870" ht="20" customHeight="1">
      <x:c r="A6870" s="1" t="str">
        <x:v>85099B</x:v>
      </x:c>
      <x:c r="B6870" s="9" t="d">
        <x:v>2011-09-21T00:00:00.000Z</x:v>
      </x:c>
      <x:c r="C6870" s="13" t="n">
        <x:v>419</x:v>
      </x:c>
    </x:row>
    <x:row r="6871" ht="20" customHeight="1">
      <x:c r="A6871" s="1" t="str">
        <x:v>85099B</x:v>
      </x:c>
      <x:c r="B6871" s="9" t="d">
        <x:v>2011-09-22T00:00:00.000Z</x:v>
      </x:c>
      <x:c r="C6871" s="13" t="n">
        <x:v>268</x:v>
      </x:c>
    </x:row>
    <x:row r="6872" ht="20" customHeight="1">
      <x:c r="A6872" s="1" t="str">
        <x:v>85099B</x:v>
      </x:c>
      <x:c r="B6872" s="9" t="d">
        <x:v>2011-09-23T00:00:00.000Z</x:v>
      </x:c>
      <x:c r="C6872" s="13" t="n">
        <x:v>276</x:v>
      </x:c>
    </x:row>
    <x:row r="6873" ht="20" customHeight="1">
      <x:c r="A6873" s="1" t="str">
        <x:v>85099B</x:v>
      </x:c>
      <x:c r="B6873" s="9" t="d">
        <x:v>2011-09-24T00:00:00.000Z</x:v>
      </x:c>
      <x:c r="C6873" s="13" t="n">
        <x:v>0</x:v>
      </x:c>
    </x:row>
    <x:row r="6874" ht="20" customHeight="1">
      <x:c r="A6874" s="1" t="str">
        <x:v>85099B</x:v>
      </x:c>
      <x:c r="B6874" s="9" t="d">
        <x:v>2011-09-25T00:00:00.000Z</x:v>
      </x:c>
      <x:c r="C6874" s="13" t="n">
        <x:v>61</x:v>
      </x:c>
    </x:row>
    <x:row r="6875" ht="20" customHeight="1">
      <x:c r="A6875" s="1" t="str">
        <x:v>85099B</x:v>
      </x:c>
      <x:c r="B6875" s="9" t="d">
        <x:v>2011-09-26T00:00:00.000Z</x:v>
      </x:c>
      <x:c r="C6875" s="13" t="n">
        <x:v>220</x:v>
      </x:c>
    </x:row>
    <x:row r="6876" ht="20" customHeight="1">
      <x:c r="A6876" s="1" t="str">
        <x:v>85099B</x:v>
      </x:c>
      <x:c r="B6876" s="9" t="d">
        <x:v>2011-09-27T00:00:00.000Z</x:v>
      </x:c>
      <x:c r="C6876" s="13" t="n">
        <x:v>174</x:v>
      </x:c>
    </x:row>
    <x:row r="6877" ht="20" customHeight="1">
      <x:c r="A6877" s="1" t="str">
        <x:v>85099B</x:v>
      </x:c>
      <x:c r="B6877" s="9" t="d">
        <x:v>2011-09-28T00:00:00.000Z</x:v>
      </x:c>
      <x:c r="C6877" s="13" t="n">
        <x:v>91</x:v>
      </x:c>
    </x:row>
    <x:row r="6878" ht="20" customHeight="1">
      <x:c r="A6878" s="1" t="str">
        <x:v>85099B</x:v>
      </x:c>
      <x:c r="B6878" s="9" t="d">
        <x:v>2011-09-29T00:00:00.000Z</x:v>
      </x:c>
      <x:c r="C6878" s="13" t="n">
        <x:v>372</x:v>
      </x:c>
    </x:row>
    <x:row r="6879" ht="20" customHeight="1">
      <x:c r="A6879" s="1" t="str">
        <x:v>85099B</x:v>
      </x:c>
      <x:c r="B6879" s="9" t="d">
        <x:v>2011-09-30T00:00:00.000Z</x:v>
      </x:c>
      <x:c r="C6879" s="13" t="n">
        <x:v>66</x:v>
      </x:c>
    </x:row>
    <x:row r="6880" ht="20" customHeight="1">
      <x:c r="A6880" s="1" t="str">
        <x:v>85099B</x:v>
      </x:c>
      <x:c r="B6880" s="9" t="d">
        <x:v>2011-10-01T00:00:00.000Z</x:v>
      </x:c>
      <x:c r="C6880" s="13" t="n">
        <x:v>0</x:v>
      </x:c>
    </x:row>
    <x:row r="6881" ht="20" customHeight="1">
      <x:c r="A6881" s="1" t="str">
        <x:v>85099B</x:v>
      </x:c>
      <x:c r="B6881" s="9" t="d">
        <x:v>2011-10-02T00:00:00.000Z</x:v>
      </x:c>
      <x:c r="C6881" s="13" t="n">
        <x:v>6</x:v>
      </x:c>
    </x:row>
    <x:row r="6882" ht="20" customHeight="1">
      <x:c r="A6882" s="1" t="str">
        <x:v>85099B</x:v>
      </x:c>
      <x:c r="B6882" s="9" t="d">
        <x:v>2011-10-03T00:00:00.000Z</x:v>
      </x:c>
      <x:c r="C6882" s="13" t="n">
        <x:v>43</x:v>
      </x:c>
    </x:row>
    <x:row r="6883" ht="20" customHeight="1">
      <x:c r="A6883" s="1" t="str">
        <x:v>85099B</x:v>
      </x:c>
      <x:c r="B6883" s="9" t="d">
        <x:v>2011-10-04T00:00:00.000Z</x:v>
      </x:c>
      <x:c r="C6883" s="13" t="n">
        <x:v>77</x:v>
      </x:c>
    </x:row>
    <x:row r="6884" ht="20" customHeight="1">
      <x:c r="A6884" s="1" t="str">
        <x:v>85099B</x:v>
      </x:c>
      <x:c r="B6884" s="9" t="d">
        <x:v>2011-10-05T00:00:00.000Z</x:v>
      </x:c>
      <x:c r="C6884" s="13" t="n">
        <x:v>361</x:v>
      </x:c>
    </x:row>
    <x:row r="6885" ht="20" customHeight="1">
      <x:c r="A6885" s="1" t="str">
        <x:v>85099B</x:v>
      </x:c>
      <x:c r="B6885" s="9" t="d">
        <x:v>2011-10-06T00:00:00.000Z</x:v>
      </x:c>
      <x:c r="C6885" s="13" t="n">
        <x:v>1583</x:v>
      </x:c>
    </x:row>
    <x:row r="6886" ht="20" customHeight="1">
      <x:c r="A6886" s="1" t="str">
        <x:v>85099B</x:v>
      </x:c>
      <x:c r="B6886" s="9" t="d">
        <x:v>2011-10-07T00:00:00.000Z</x:v>
      </x:c>
      <x:c r="C6886" s="13" t="n">
        <x:v>623</x:v>
      </x:c>
    </x:row>
    <x:row r="6887" ht="20" customHeight="1">
      <x:c r="A6887" s="1" t="str">
        <x:v>85099B</x:v>
      </x:c>
      <x:c r="B6887" s="9" t="d">
        <x:v>2011-10-08T00:00:00.000Z</x:v>
      </x:c>
      <x:c r="C6887" s="13" t="n">
        <x:v>0</x:v>
      </x:c>
    </x:row>
    <x:row r="6888" ht="20" customHeight="1">
      <x:c r="A6888" s="1" t="str">
        <x:v>85099B</x:v>
      </x:c>
      <x:c r="B6888" s="9" t="d">
        <x:v>2011-10-09T00:00:00.000Z</x:v>
      </x:c>
      <x:c r="C6888" s="13" t="n">
        <x:v>22</x:v>
      </x:c>
    </x:row>
    <x:row r="6889" ht="20" customHeight="1">
      <x:c r="A6889" s="1" t="str">
        <x:v>85099B</x:v>
      </x:c>
      <x:c r="B6889" s="9" t="d">
        <x:v>2011-10-10T00:00:00.000Z</x:v>
      </x:c>
      <x:c r="C6889" s="13" t="n">
        <x:v>62</x:v>
      </x:c>
    </x:row>
    <x:row r="6890" ht="20" customHeight="1">
      <x:c r="A6890" s="1" t="str">
        <x:v>85099B</x:v>
      </x:c>
      <x:c r="B6890" s="9" t="d">
        <x:v>2011-10-11T00:00:00.000Z</x:v>
      </x:c>
      <x:c r="C6890" s="13" t="n">
        <x:v>368</x:v>
      </x:c>
    </x:row>
    <x:row r="6891" ht="20" customHeight="1">
      <x:c r="A6891" s="1" t="str">
        <x:v>85099B</x:v>
      </x:c>
      <x:c r="B6891" s="9" t="d">
        <x:v>2011-10-12T00:00:00.000Z</x:v>
      </x:c>
      <x:c r="C6891" s="13" t="n">
        <x:v>78</x:v>
      </x:c>
    </x:row>
    <x:row r="6892" ht="20" customHeight="1">
      <x:c r="A6892" s="1" t="str">
        <x:v>85099B</x:v>
      </x:c>
      <x:c r="B6892" s="9" t="d">
        <x:v>2011-10-13T00:00:00.000Z</x:v>
      </x:c>
      <x:c r="C6892" s="13" t="n">
        <x:v>274</x:v>
      </x:c>
    </x:row>
    <x:row r="6893" ht="20" customHeight="1">
      <x:c r="A6893" s="1" t="str">
        <x:v>85099B</x:v>
      </x:c>
      <x:c r="B6893" s="9" t="d">
        <x:v>2011-10-14T00:00:00.000Z</x:v>
      </x:c>
      <x:c r="C6893" s="13" t="n">
        <x:v>147</x:v>
      </x:c>
    </x:row>
    <x:row r="6894" ht="20" customHeight="1">
      <x:c r="A6894" s="1" t="str">
        <x:v>85099B</x:v>
      </x:c>
      <x:c r="B6894" s="9" t="d">
        <x:v>2011-10-15T00:00:00.000Z</x:v>
      </x:c>
      <x:c r="C6894" s="13" t="n">
        <x:v>0</x:v>
      </x:c>
    </x:row>
    <x:row r="6895" ht="20" customHeight="1">
      <x:c r="A6895" s="1" t="str">
        <x:v>85099B</x:v>
      </x:c>
      <x:c r="B6895" s="9" t="d">
        <x:v>2011-10-16T00:00:00.000Z</x:v>
      </x:c>
      <x:c r="C6895" s="13" t="n">
        <x:v>18</x:v>
      </x:c>
    </x:row>
    <x:row r="6896" ht="20" customHeight="1">
      <x:c r="A6896" s="1" t="str">
        <x:v>85099B</x:v>
      </x:c>
      <x:c r="B6896" s="9" t="d">
        <x:v>2011-10-17T00:00:00.000Z</x:v>
      </x:c>
      <x:c r="C6896" s="13" t="n">
        <x:v>409</x:v>
      </x:c>
    </x:row>
    <x:row r="6897" ht="20" customHeight="1">
      <x:c r="A6897" s="1" t="str">
        <x:v>85099B</x:v>
      </x:c>
      <x:c r="B6897" s="9" t="d">
        <x:v>2011-10-18T00:00:00.000Z</x:v>
      </x:c>
      <x:c r="C6897" s="13" t="n">
        <x:v>112</x:v>
      </x:c>
    </x:row>
    <x:row r="6898" ht="20" customHeight="1">
      <x:c r="A6898" s="1" t="str">
        <x:v>85099B</x:v>
      </x:c>
      <x:c r="B6898" s="9" t="d">
        <x:v>2011-10-19T00:00:00.000Z</x:v>
      </x:c>
      <x:c r="C6898" s="13" t="n">
        <x:v>54</x:v>
      </x:c>
    </x:row>
    <x:row r="6899" ht="20" customHeight="1">
      <x:c r="A6899" s="1" t="str">
        <x:v>85099B</x:v>
      </x:c>
      <x:c r="B6899" s="9" t="d">
        <x:v>2011-10-20T00:00:00.000Z</x:v>
      </x:c>
      <x:c r="C6899" s="13" t="n">
        <x:v>341</x:v>
      </x:c>
    </x:row>
    <x:row r="6900" ht="20" customHeight="1">
      <x:c r="A6900" s="1" t="str">
        <x:v>85099B</x:v>
      </x:c>
      <x:c r="B6900" s="9" t="d">
        <x:v>2011-10-21T00:00:00.000Z</x:v>
      </x:c>
      <x:c r="C6900" s="13" t="n">
        <x:v>122</x:v>
      </x:c>
    </x:row>
    <x:row r="6901" ht="20" customHeight="1">
      <x:c r="A6901" s="1" t="str">
        <x:v>85099B</x:v>
      </x:c>
      <x:c r="B6901" s="9" t="d">
        <x:v>2011-10-22T00:00:00.000Z</x:v>
      </x:c>
      <x:c r="C6901" s="13" t="n">
        <x:v>0</x:v>
      </x:c>
    </x:row>
    <x:row r="6902" ht="20" customHeight="1">
      <x:c r="A6902" s="1" t="str">
        <x:v>85099B</x:v>
      </x:c>
      <x:c r="B6902" s="9" t="d">
        <x:v>2011-10-23T00:00:00.000Z</x:v>
      </x:c>
      <x:c r="C6902" s="13" t="n">
        <x:v>7</x:v>
      </x:c>
    </x:row>
    <x:row r="6903" ht="20" customHeight="1">
      <x:c r="A6903" s="1" t="str">
        <x:v>85099B</x:v>
      </x:c>
      <x:c r="B6903" s="9" t="d">
        <x:v>2011-10-24T00:00:00.000Z</x:v>
      </x:c>
      <x:c r="C6903" s="13" t="n">
        <x:v>287</x:v>
      </x:c>
    </x:row>
    <x:row r="6904" ht="20" customHeight="1">
      <x:c r="A6904" s="1" t="str">
        <x:v>85099B</x:v>
      </x:c>
      <x:c r="B6904" s="9" t="d">
        <x:v>2011-10-25T00:00:00.000Z</x:v>
      </x:c>
      <x:c r="C6904" s="13" t="n">
        <x:v>161</x:v>
      </x:c>
    </x:row>
    <x:row r="6905" ht="20" customHeight="1">
      <x:c r="A6905" s="1" t="str">
        <x:v>85099B</x:v>
      </x:c>
      <x:c r="B6905" s="9" t="d">
        <x:v>2011-10-26T00:00:00.000Z</x:v>
      </x:c>
      <x:c r="C6905" s="13" t="n">
        <x:v>48</x:v>
      </x:c>
    </x:row>
    <x:row r="6906" ht="20" customHeight="1">
      <x:c r="A6906" s="1" t="str">
        <x:v>85099B</x:v>
      </x:c>
      <x:c r="B6906" s="9" t="d">
        <x:v>2011-10-27T00:00:00.000Z</x:v>
      </x:c>
      <x:c r="C6906" s="13" t="n">
        <x:v>41</x:v>
      </x:c>
    </x:row>
    <x:row r="6907" ht="20" customHeight="1">
      <x:c r="A6907" s="1" t="str">
        <x:v>85099B</x:v>
      </x:c>
      <x:c r="B6907" s="9" t="d">
        <x:v>2011-10-28T00:00:00.000Z</x:v>
      </x:c>
      <x:c r="C6907" s="13" t="n">
        <x:v>12</x:v>
      </x:c>
    </x:row>
    <x:row r="6908" ht="20" customHeight="1">
      <x:c r="A6908" s="1" t="str">
        <x:v>85099B</x:v>
      </x:c>
      <x:c r="B6908" s="9" t="d">
        <x:v>2011-10-29T00:00:00.000Z</x:v>
      </x:c>
      <x:c r="C6908" s="13" t="n">
        <x:v>0</x:v>
      </x:c>
    </x:row>
    <x:row r="6909" ht="20" customHeight="1">
      <x:c r="A6909" s="1" t="str">
        <x:v>85099B</x:v>
      </x:c>
      <x:c r="B6909" s="9" t="d">
        <x:v>2011-10-30T00:00:00.000Z</x:v>
      </x:c>
      <x:c r="C6909" s="13" t="n">
        <x:v>51</x:v>
      </x:c>
    </x:row>
    <x:row r="6910" ht="20" customHeight="1">
      <x:c r="A6910" s="1" t="str">
        <x:v>85099B</x:v>
      </x:c>
      <x:c r="B6910" s="9" t="d">
        <x:v>2011-10-31T00:00:00.000Z</x:v>
      </x:c>
      <x:c r="C6910" s="13" t="n">
        <x:v>105</x:v>
      </x:c>
    </x:row>
    <x:row r="6911" ht="20" customHeight="1">
      <x:c r="A6911" s="1" t="str">
        <x:v>85099B</x:v>
      </x:c>
      <x:c r="B6911" s="9" t="d">
        <x:v>2011-11-01T00:00:00.000Z</x:v>
      </x:c>
      <x:c r="C6911" s="13" t="n">
        <x:v>84</x:v>
      </x:c>
    </x:row>
    <x:row r="6912" ht="20" customHeight="1">
      <x:c r="A6912" s="1" t="str">
        <x:v>85099B</x:v>
      </x:c>
      <x:c r="B6912" s="9" t="d">
        <x:v>2011-11-02T00:00:00.000Z</x:v>
      </x:c>
      <x:c r="C6912" s="13" t="n">
        <x:v>244</x:v>
      </x:c>
    </x:row>
    <x:row r="6913" ht="20" customHeight="1">
      <x:c r="A6913" s="1" t="str">
        <x:v>85099B</x:v>
      </x:c>
      <x:c r="B6913" s="9" t="d">
        <x:v>2011-11-03T00:00:00.000Z</x:v>
      </x:c>
      <x:c r="C6913" s="13" t="n">
        <x:v>452</x:v>
      </x:c>
    </x:row>
    <x:row r="6914" ht="20" customHeight="1">
      <x:c r="A6914" s="1" t="str">
        <x:v>85099B</x:v>
      </x:c>
      <x:c r="B6914" s="9" t="d">
        <x:v>2011-11-04T00:00:00.000Z</x:v>
      </x:c>
      <x:c r="C6914" s="13" t="n">
        <x:v>58</x:v>
      </x:c>
    </x:row>
    <x:row r="6915" ht="20" customHeight="1">
      <x:c r="A6915" s="1" t="str">
        <x:v>85099B</x:v>
      </x:c>
      <x:c r="B6915" s="9" t="d">
        <x:v>2011-11-05T00:00:00.000Z</x:v>
      </x:c>
      <x:c r="C6915" s="13" t="n">
        <x:v>0</x:v>
      </x:c>
    </x:row>
    <x:row r="6916" ht="20" customHeight="1">
      <x:c r="A6916" s="1" t="str">
        <x:v>85099B</x:v>
      </x:c>
      <x:c r="B6916" s="9" t="d">
        <x:v>2011-11-06T00:00:00.000Z</x:v>
      </x:c>
      <x:c r="C6916" s="13" t="n">
        <x:v>120</x:v>
      </x:c>
    </x:row>
    <x:row r="6917" ht="20" customHeight="1">
      <x:c r="A6917" s="1" t="str">
        <x:v>85099B</x:v>
      </x:c>
      <x:c r="B6917" s="9" t="d">
        <x:v>2011-11-07T00:00:00.000Z</x:v>
      </x:c>
      <x:c r="C6917" s="13" t="n">
        <x:v>146</x:v>
      </x:c>
    </x:row>
    <x:row r="6918" ht="20" customHeight="1">
      <x:c r="A6918" s="1" t="str">
        <x:v>85099B</x:v>
      </x:c>
      <x:c r="B6918" s="9" t="d">
        <x:v>2011-11-08T00:00:00.000Z</x:v>
      </x:c>
      <x:c r="C6918" s="13" t="n">
        <x:v>159</x:v>
      </x:c>
    </x:row>
    <x:row r="6919" ht="20" customHeight="1">
      <x:c r="A6919" s="1" t="str">
        <x:v>85099B</x:v>
      </x:c>
      <x:c r="B6919" s="9" t="d">
        <x:v>2011-11-09T00:00:00.000Z</x:v>
      </x:c>
      <x:c r="C6919" s="13" t="n">
        <x:v>725</x:v>
      </x:c>
    </x:row>
    <x:row r="6920" ht="20" customHeight="1">
      <x:c r="A6920" s="1" t="str">
        <x:v>85099B</x:v>
      </x:c>
      <x:c r="B6920" s="9" t="d">
        <x:v>2011-11-10T00:00:00.000Z</x:v>
      </x:c>
      <x:c r="C6920" s="13" t="n">
        <x:v>1074</x:v>
      </x:c>
    </x:row>
    <x:row r="6921" ht="20" customHeight="1">
      <x:c r="A6921" s="1" t="str">
        <x:v>85099B</x:v>
      </x:c>
      <x:c r="B6921" s="9" t="d">
        <x:v>2011-11-11T00:00:00.000Z</x:v>
      </x:c>
      <x:c r="C6921" s="13" t="n">
        <x:v>48</x:v>
      </x:c>
    </x:row>
    <x:row r="6922" ht="20" customHeight="1">
      <x:c r="A6922" s="1" t="str">
        <x:v>85099B</x:v>
      </x:c>
      <x:c r="B6922" s="9" t="d">
        <x:v>2011-11-12T00:00:00.000Z</x:v>
      </x:c>
      <x:c r="C6922" s="13" t="n">
        <x:v>0</x:v>
      </x:c>
    </x:row>
    <x:row r="6923" ht="20" customHeight="1">
      <x:c r="A6923" s="1" t="str">
        <x:v>85099B</x:v>
      </x:c>
      <x:c r="B6923" s="9" t="d">
        <x:v>2011-11-13T00:00:00.000Z</x:v>
      </x:c>
      <x:c r="C6923" s="13" t="n">
        <x:v>47</x:v>
      </x:c>
    </x:row>
    <x:row r="6924" ht="20" customHeight="1">
      <x:c r="A6924" s="1" t="str">
        <x:v>85099B</x:v>
      </x:c>
      <x:c r="B6924" s="9" t="d">
        <x:v>2011-11-14T00:00:00.000Z</x:v>
      </x:c>
      <x:c r="C6924" s="13" t="n">
        <x:v>660</x:v>
      </x:c>
    </x:row>
    <x:row r="6925" ht="20" customHeight="1">
      <x:c r="A6925" s="1" t="str">
        <x:v>85099B</x:v>
      </x:c>
      <x:c r="B6925" s="9" t="d">
        <x:v>2011-11-15T00:00:00.000Z</x:v>
      </x:c>
      <x:c r="C6925" s="13" t="n">
        <x:v>380</x:v>
      </x:c>
    </x:row>
    <x:row r="6926" ht="20" customHeight="1">
      <x:c r="A6926" s="1" t="str">
        <x:v>85099B</x:v>
      </x:c>
      <x:c r="B6926" s="9" t="d">
        <x:v>2011-11-16T00:00:00.000Z</x:v>
      </x:c>
      <x:c r="C6926" s="13" t="n">
        <x:v>316</x:v>
      </x:c>
    </x:row>
    <x:row r="6927" ht="20" customHeight="1">
      <x:c r="A6927" s="1" t="str">
        <x:v>85099B</x:v>
      </x:c>
      <x:c r="B6927" s="9" t="d">
        <x:v>2011-11-17T00:00:00.000Z</x:v>
      </x:c>
      <x:c r="C6927" s="13" t="n">
        <x:v>97</x:v>
      </x:c>
    </x:row>
    <x:row r="6928" ht="20" customHeight="1">
      <x:c r="A6928" s="1" t="str">
        <x:v>85099B</x:v>
      </x:c>
      <x:c r="B6928" s="9" t="d">
        <x:v>2011-11-18T00:00:00.000Z</x:v>
      </x:c>
      <x:c r="C6928" s="13" t="n">
        <x:v>62</x:v>
      </x:c>
    </x:row>
    <x:row r="6929" ht="20" customHeight="1">
      <x:c r="A6929" s="1" t="str">
        <x:v>85099B</x:v>
      </x:c>
      <x:c r="B6929" s="9" t="d">
        <x:v>2011-11-19T00:00:00.000Z</x:v>
      </x:c>
      <x:c r="C6929" s="13" t="n">
        <x:v>0</x:v>
      </x:c>
    </x:row>
    <x:row r="6930" ht="20" customHeight="1">
      <x:c r="A6930" s="1" t="str">
        <x:v>85099B</x:v>
      </x:c>
      <x:c r="B6930" s="9" t="d">
        <x:v>2011-11-20T00:00:00.000Z</x:v>
      </x:c>
      <x:c r="C6930" s="13" t="n">
        <x:v>87</x:v>
      </x:c>
    </x:row>
    <x:row r="6931" ht="20" customHeight="1">
      <x:c r="A6931" s="1" t="str">
        <x:v>85099B</x:v>
      </x:c>
      <x:c r="B6931" s="9" t="d">
        <x:v>2011-11-21T00:00:00.000Z</x:v>
      </x:c>
      <x:c r="C6931" s="13" t="n">
        <x:v>147</x:v>
      </x:c>
    </x:row>
    <x:row r="6932" ht="20" customHeight="1">
      <x:c r="A6932" s="1" t="str">
        <x:v>85099B</x:v>
      </x:c>
      <x:c r="B6932" s="9" t="d">
        <x:v>2011-11-22T00:00:00.000Z</x:v>
      </x:c>
      <x:c r="C6932" s="13" t="n">
        <x:v>132</x:v>
      </x:c>
    </x:row>
    <x:row r="6933" ht="20" customHeight="1">
      <x:c r="A6933" s="1" t="str">
        <x:v>85099B</x:v>
      </x:c>
      <x:c r="B6933" s="9" t="d">
        <x:v>2011-11-23T00:00:00.000Z</x:v>
      </x:c>
      <x:c r="C6933" s="13" t="n">
        <x:v>146</x:v>
      </x:c>
    </x:row>
    <x:row r="6934" ht="20" customHeight="1">
      <x:c r="A6934" s="1" t="str">
        <x:v>85099B</x:v>
      </x:c>
      <x:c r="B6934" s="9" t="d">
        <x:v>2011-11-24T00:00:00.000Z</x:v>
      </x:c>
      <x:c r="C6934" s="13" t="n">
        <x:v>245</x:v>
      </x:c>
    </x:row>
    <x:row r="6935" ht="20" customHeight="1">
      <x:c r="A6935" s="1" t="str">
        <x:v>85099B</x:v>
      </x:c>
      <x:c r="B6935" s="9" t="d">
        <x:v>2011-11-25T00:00:00.000Z</x:v>
      </x:c>
      <x:c r="C6935" s="13" t="n">
        <x:v>55</x:v>
      </x:c>
    </x:row>
    <x:row r="6936" ht="20" customHeight="1">
      <x:c r="A6936" s="1" t="str">
        <x:v>85099B</x:v>
      </x:c>
      <x:c r="B6936" s="9" t="d">
        <x:v>2011-11-26T00:00:00.000Z</x:v>
      </x:c>
      <x:c r="C6936" s="13" t="n">
        <x:v>0</x:v>
      </x:c>
    </x:row>
    <x:row r="6937" ht="20" customHeight="1">
      <x:c r="A6937" s="1" t="str">
        <x:v>85099B</x:v>
      </x:c>
      <x:c r="B6937" s="9" t="d">
        <x:v>2011-11-27T00:00:00.000Z</x:v>
      </x:c>
      <x:c r="C6937" s="13" t="n">
        <x:v>28</x:v>
      </x:c>
    </x:row>
    <x:row r="6938" ht="20" customHeight="1">
      <x:c r="A6938" s="1" t="str">
        <x:v>85099B</x:v>
      </x:c>
      <x:c r="B6938" s="9" t="d">
        <x:v>2011-11-28T00:00:00.000Z</x:v>
      </x:c>
      <x:c r="C6938" s="13" t="n">
        <x:v>42</x:v>
      </x:c>
    </x:row>
    <x:row r="6939" ht="20" customHeight="1">
      <x:c r="A6939" s="1" t="str">
        <x:v>85099B</x:v>
      </x:c>
      <x:c r="B6939" s="9" t="d">
        <x:v>2011-11-29T00:00:00.000Z</x:v>
      </x:c>
      <x:c r="C6939" s="13" t="n">
        <x:v>165</x:v>
      </x:c>
    </x:row>
    <x:row r="6940" ht="20" customHeight="1">
      <x:c r="A6940" s="1" t="str">
        <x:v>85099B</x:v>
      </x:c>
      <x:c r="B6940" s="9" t="d">
        <x:v>2011-11-30T00:00:00.000Z</x:v>
      </x:c>
      <x:c r="C6940" s="13" t="n">
        <x:v>189</x:v>
      </x:c>
    </x:row>
    <x:row r="6941" ht="20" customHeight="1">
      <x:c r="A6941" s="1" t="str">
        <x:v>85123A</x:v>
      </x:c>
      <x:c r="B6941" s="9" t="d">
        <x:v>2010-12-01T00:00:00.000Z</x:v>
      </x:c>
      <x:c r="C6941" s="13" t="n">
        <x:v>454</x:v>
      </x:c>
    </x:row>
    <x:row r="6942" ht="20" customHeight="1">
      <x:c r="A6942" s="1" t="str">
        <x:v>85123A</x:v>
      </x:c>
      <x:c r="B6942" s="9" t="d">
        <x:v>2010-12-02T00:00:00.000Z</x:v>
      </x:c>
      <x:c r="C6942" s="13" t="n">
        <x:v>309</x:v>
      </x:c>
    </x:row>
    <x:row r="6943" ht="20" customHeight="1">
      <x:c r="A6943" s="1" t="str">
        <x:v>85123A</x:v>
      </x:c>
      <x:c r="B6943" s="9" t="d">
        <x:v>2010-12-03T00:00:00.000Z</x:v>
      </x:c>
      <x:c r="C6943" s="13" t="n">
        <x:v>25</x:v>
      </x:c>
    </x:row>
    <x:row r="6944" ht="20" customHeight="1">
      <x:c r="A6944" s="1" t="str">
        <x:v>85123A</x:v>
      </x:c>
      <x:c r="B6944" s="9" t="d">
        <x:v>2010-12-04T00:00:00.000Z</x:v>
      </x:c>
      <x:c r="C6944" s="13" t="n">
        <x:v>0</x:v>
      </x:c>
    </x:row>
    <x:row r="6945" ht="20" customHeight="1">
      <x:c r="A6945" s="1" t="str">
        <x:v>85123A</x:v>
      </x:c>
      <x:c r="B6945" s="9" t="d">
        <x:v>2010-12-05T00:00:00.000Z</x:v>
      </x:c>
      <x:c r="C6945" s="13" t="n">
        <x:v>198</x:v>
      </x:c>
    </x:row>
    <x:row r="6946" ht="20" customHeight="1">
      <x:c r="A6946" s="1" t="str">
        <x:v>85123A</x:v>
      </x:c>
      <x:c r="B6946" s="9" t="d">
        <x:v>2010-12-06T00:00:00.000Z</x:v>
      </x:c>
      <x:c r="C6946" s="13" t="n">
        <x:v>161</x:v>
      </x:c>
    </x:row>
    <x:row r="6947" ht="20" customHeight="1">
      <x:c r="A6947" s="1" t="str">
        <x:v>85123A</x:v>
      </x:c>
      <x:c r="B6947" s="9" t="d">
        <x:v>2010-12-07T00:00:00.000Z</x:v>
      </x:c>
      <x:c r="C6947" s="13" t="n">
        <x:v>331</x:v>
      </x:c>
    </x:row>
    <x:row r="6948" ht="20" customHeight="1">
      <x:c r="A6948" s="1" t="str">
        <x:v>85123A</x:v>
      </x:c>
      <x:c r="B6948" s="9" t="d">
        <x:v>2010-12-08T00:00:00.000Z</x:v>
      </x:c>
      <x:c r="C6948" s="13" t="n">
        <x:v>151</x:v>
      </x:c>
    </x:row>
    <x:row r="6949" ht="20" customHeight="1">
      <x:c r="A6949" s="1" t="str">
        <x:v>85123A</x:v>
      </x:c>
      <x:c r="B6949" s="9" t="d">
        <x:v>2010-12-09T00:00:00.000Z</x:v>
      </x:c>
      <x:c r="C6949" s="13" t="n">
        <x:v>195</x:v>
      </x:c>
    </x:row>
    <x:row r="6950" ht="20" customHeight="1">
      <x:c r="A6950" s="1" t="str">
        <x:v>85123A</x:v>
      </x:c>
      <x:c r="B6950" s="9" t="d">
        <x:v>2010-12-10T00:00:00.000Z</x:v>
      </x:c>
      <x:c r="C6950" s="13" t="n">
        <x:v>165</x:v>
      </x:c>
    </x:row>
    <x:row r="6951" ht="20" customHeight="1">
      <x:c r="A6951" s="1" t="str">
        <x:v>85123A</x:v>
      </x:c>
      <x:c r="B6951" s="9" t="d">
        <x:v>2010-12-11T00:00:00.000Z</x:v>
      </x:c>
      <x:c r="C6951" s="13" t="n">
        <x:v>0</x:v>
      </x:c>
    </x:row>
    <x:row r="6952" ht="20" customHeight="1">
      <x:c r="A6952" s="1" t="str">
        <x:v>85123A</x:v>
      </x:c>
      <x:c r="B6952" s="9" t="d">
        <x:v>2010-12-12T00:00:00.000Z</x:v>
      </x:c>
      <x:c r="C6952" s="13" t="n">
        <x:v>42</x:v>
      </x:c>
    </x:row>
    <x:row r="6953" ht="20" customHeight="1">
      <x:c r="A6953" s="1" t="str">
        <x:v>85123A</x:v>
      </x:c>
      <x:c r="B6953" s="9" t="d">
        <x:v>2010-12-13T00:00:00.000Z</x:v>
      </x:c>
      <x:c r="C6953" s="13" t="n">
        <x:v>337</x:v>
      </x:c>
    </x:row>
    <x:row r="6954" ht="20" customHeight="1">
      <x:c r="A6954" s="1" t="str">
        <x:v>85123A</x:v>
      </x:c>
      <x:c r="B6954" s="9" t="d">
        <x:v>2010-12-14T00:00:00.000Z</x:v>
      </x:c>
      <x:c r="C6954" s="13" t="n">
        <x:v>185</x:v>
      </x:c>
    </x:row>
    <x:row r="6955" ht="20" customHeight="1">
      <x:c r="A6955" s="1" t="str">
        <x:v>85123A</x:v>
      </x:c>
      <x:c r="B6955" s="9" t="d">
        <x:v>2010-12-15T00:00:00.000Z</x:v>
      </x:c>
      <x:c r="C6955" s="13" t="n">
        <x:v>112</x:v>
      </x:c>
    </x:row>
    <x:row r="6956" ht="20" customHeight="1">
      <x:c r="A6956" s="1" t="str">
        <x:v>85123A</x:v>
      </x:c>
      <x:c r="B6956" s="9" t="d">
        <x:v>2010-12-16T00:00:00.000Z</x:v>
      </x:c>
      <x:c r="C6956" s="13" t="n">
        <x:v>790</x:v>
      </x:c>
    </x:row>
    <x:row r="6957" ht="20" customHeight="1">
      <x:c r="A6957" s="1" t="str">
        <x:v>85123A</x:v>
      </x:c>
      <x:c r="B6957" s="9" t="d">
        <x:v>2010-12-17T00:00:00.000Z</x:v>
      </x:c>
      <x:c r="C6957" s="13" t="n">
        <x:v>58</x:v>
      </x:c>
    </x:row>
    <x:row r="6958" ht="20" customHeight="1">
      <x:c r="A6958" s="1" t="str">
        <x:v>85123A</x:v>
      </x:c>
      <x:c r="B6958" s="9" t="d">
        <x:v>2010-12-18T00:00:00.000Z</x:v>
      </x:c>
      <x:c r="C6958" s="13" t="n">
        <x:v>0</x:v>
      </x:c>
    </x:row>
    <x:row r="6959" ht="20" customHeight="1">
      <x:c r="A6959" s="1" t="str">
        <x:v>85123A</x:v>
      </x:c>
      <x:c r="B6959" s="9" t="d">
        <x:v>2010-12-19T00:00:00.000Z</x:v>
      </x:c>
      <x:c r="C6959" s="13" t="n">
        <x:v>42</x:v>
      </x:c>
    </x:row>
    <x:row r="6960" ht="20" customHeight="1">
      <x:c r="A6960" s="1" t="str">
        <x:v>85123A</x:v>
      </x:c>
      <x:c r="B6960" s="9" t="d">
        <x:v>2010-12-20T00:00:00.000Z</x:v>
      </x:c>
      <x:c r="C6960" s="13" t="n">
        <x:v>85</x:v>
      </x:c>
    </x:row>
    <x:row r="6961" ht="20" customHeight="1">
      <x:c r="A6961" s="1" t="str">
        <x:v>85123A</x:v>
      </x:c>
      <x:c r="B6961" s="9" t="d">
        <x:v>2010-12-21T00:00:00.000Z</x:v>
      </x:c>
      <x:c r="C6961" s="13" t="n">
        <x:v>41</x:v>
      </x:c>
    </x:row>
    <x:row r="6962" ht="20" customHeight="1">
      <x:c r="A6962" s="1" t="str">
        <x:v>85123A</x:v>
      </x:c>
      <x:c r="B6962" s="9" t="d">
        <x:v>2010-12-22T00:00:00.000Z</x:v>
      </x:c>
      <x:c r="C6962" s="13" t="n">
        <x:v>24</x:v>
      </x:c>
    </x:row>
    <x:row r="6963" ht="20" customHeight="1">
      <x:c r="A6963" s="1" t="str">
        <x:v>85123A</x:v>
      </x:c>
      <x:c r="B6963" s="9" t="d">
        <x:v>2010-12-23T00:00:00.000Z</x:v>
      </x:c>
      <x:c r="C6963" s="13" t="n">
        <x:v>47</x:v>
      </x:c>
    </x:row>
    <x:row r="6964" ht="20" customHeight="1">
      <x:c r="A6964" s="1" t="str">
        <x:v>85123A</x:v>
      </x:c>
      <x:c r="B6964" s="9" t="d">
        <x:v>2010-12-24T00:00:00.000Z</x:v>
      </x:c>
      <x:c r="C6964" s="13" t="n">
        <x:v>0</x:v>
      </x:c>
    </x:row>
    <x:row r="6965" ht="20" customHeight="1">
      <x:c r="A6965" s="1" t="str">
        <x:v>85123A</x:v>
      </x:c>
      <x:c r="B6965" s="9" t="d">
        <x:v>2010-12-25T00:00:00.000Z</x:v>
      </x:c>
      <x:c r="C6965" s="13" t="n">
        <x:v>0</x:v>
      </x:c>
    </x:row>
    <x:row r="6966" ht="20" customHeight="1">
      <x:c r="A6966" s="1" t="str">
        <x:v>85123A</x:v>
      </x:c>
      <x:c r="B6966" s="9" t="d">
        <x:v>2010-12-26T00:00:00.000Z</x:v>
      </x:c>
      <x:c r="C6966" s="13" t="n">
        <x:v>0</x:v>
      </x:c>
    </x:row>
    <x:row r="6967" ht="20" customHeight="1">
      <x:c r="A6967" s="1" t="str">
        <x:v>85123A</x:v>
      </x:c>
      <x:c r="B6967" s="9" t="d">
        <x:v>2010-12-27T00:00:00.000Z</x:v>
      </x:c>
      <x:c r="C6967" s="13" t="n">
        <x:v>0</x:v>
      </x:c>
    </x:row>
    <x:row r="6968" ht="20" customHeight="1">
      <x:c r="A6968" s="1" t="str">
        <x:v>85123A</x:v>
      </x:c>
      <x:c r="B6968" s="9" t="d">
        <x:v>2010-12-28T00:00:00.000Z</x:v>
      </x:c>
      <x:c r="C6968" s="13" t="n">
        <x:v>0</x:v>
      </x:c>
    </x:row>
    <x:row r="6969" ht="20" customHeight="1">
      <x:c r="A6969" s="1" t="str">
        <x:v>85123A</x:v>
      </x:c>
      <x:c r="B6969" s="9" t="d">
        <x:v>2010-12-29T00:00:00.000Z</x:v>
      </x:c>
      <x:c r="C6969" s="13" t="n">
        <x:v>0</x:v>
      </x:c>
    </x:row>
    <x:row r="6970" ht="20" customHeight="1">
      <x:c r="A6970" s="1" t="str">
        <x:v>85123A</x:v>
      </x:c>
      <x:c r="B6970" s="9" t="d">
        <x:v>2010-12-30T00:00:00.000Z</x:v>
      </x:c>
      <x:c r="C6970" s="13" t="n">
        <x:v>0</x:v>
      </x:c>
    </x:row>
    <x:row r="6971" ht="20" customHeight="1">
      <x:c r="A6971" s="1" t="str">
        <x:v>85123A</x:v>
      </x:c>
      <x:c r="B6971" s="9" t="d">
        <x:v>2010-12-31T00:00:00.000Z</x:v>
      </x:c>
      <x:c r="C6971" s="13" t="n">
        <x:v>0</x:v>
      </x:c>
    </x:row>
    <x:row r="6972" ht="20" customHeight="1">
      <x:c r="A6972" s="1" t="str">
        <x:v>85123A</x:v>
      </x:c>
      <x:c r="B6972" s="9" t="d">
        <x:v>2011-01-01T00:00:00.000Z</x:v>
      </x:c>
      <x:c r="C6972" s="13" t="n">
        <x:v>0</x:v>
      </x:c>
    </x:row>
    <x:row r="6973" ht="20" customHeight="1">
      <x:c r="A6973" s="1" t="str">
        <x:v>85123A</x:v>
      </x:c>
      <x:c r="B6973" s="9" t="d">
        <x:v>2011-01-02T00:00:00.000Z</x:v>
      </x:c>
      <x:c r="C6973" s="13" t="n">
        <x:v>0</x:v>
      </x:c>
    </x:row>
    <x:row r="6974" ht="20" customHeight="1">
      <x:c r="A6974" s="1" t="str">
        <x:v>85123A</x:v>
      </x:c>
      <x:c r="B6974" s="9" t="d">
        <x:v>2011-01-03T00:00:00.000Z</x:v>
      </x:c>
      <x:c r="C6974" s="13" t="n">
        <x:v>0</x:v>
      </x:c>
    </x:row>
    <x:row r="6975" ht="20" customHeight="1">
      <x:c r="A6975" s="1" t="str">
        <x:v>85123A</x:v>
      </x:c>
      <x:c r="B6975" s="9" t="d">
        <x:v>2011-01-04T00:00:00.000Z</x:v>
      </x:c>
      <x:c r="C6975" s="13" t="n">
        <x:v>67</x:v>
      </x:c>
    </x:row>
    <x:row r="6976" ht="20" customHeight="1">
      <x:c r="A6976" s="1" t="str">
        <x:v>85123A</x:v>
      </x:c>
      <x:c r="B6976" s="9" t="d">
        <x:v>2011-01-05T00:00:00.000Z</x:v>
      </x:c>
      <x:c r="C6976" s="13" t="n">
        <x:v>304</x:v>
      </x:c>
    </x:row>
    <x:row r="6977" ht="20" customHeight="1">
      <x:c r="A6977" s="1" t="str">
        <x:v>85123A</x:v>
      </x:c>
      <x:c r="B6977" s="9" t="d">
        <x:v>2011-01-06T00:00:00.000Z</x:v>
      </x:c>
      <x:c r="C6977" s="13" t="n">
        <x:v>171</x:v>
      </x:c>
    </x:row>
    <x:row r="6978" ht="20" customHeight="1">
      <x:c r="A6978" s="1" t="str">
        <x:v>85123A</x:v>
      </x:c>
      <x:c r="B6978" s="9" t="d">
        <x:v>2011-01-07T00:00:00.000Z</x:v>
      </x:c>
      <x:c r="C6978" s="13" t="n">
        <x:v>334</x:v>
      </x:c>
    </x:row>
    <x:row r="6979" ht="20" customHeight="1">
      <x:c r="A6979" s="1" t="str">
        <x:v>85123A</x:v>
      </x:c>
      <x:c r="B6979" s="9" t="d">
        <x:v>2011-01-08T00:00:00.000Z</x:v>
      </x:c>
      <x:c r="C6979" s="13" t="n">
        <x:v>0</x:v>
      </x:c>
    </x:row>
    <x:row r="6980" ht="20" customHeight="1">
      <x:c r="A6980" s="1" t="str">
        <x:v>85123A</x:v>
      </x:c>
      <x:c r="B6980" s="9" t="d">
        <x:v>2011-01-09T00:00:00.000Z</x:v>
      </x:c>
      <x:c r="C6980" s="13" t="n">
        <x:v>97</x:v>
      </x:c>
    </x:row>
    <x:row r="6981" ht="20" customHeight="1">
      <x:c r="A6981" s="1" t="str">
        <x:v>85123A</x:v>
      </x:c>
      <x:c r="B6981" s="9" t="d">
        <x:v>2011-01-10T00:00:00.000Z</x:v>
      </x:c>
      <x:c r="C6981" s="13" t="n">
        <x:v>12</x:v>
      </x:c>
    </x:row>
    <x:row r="6982" ht="20" customHeight="1">
      <x:c r="A6982" s="1" t="str">
        <x:v>85123A</x:v>
      </x:c>
      <x:c r="B6982" s="9" t="d">
        <x:v>2011-01-11T00:00:00.000Z</x:v>
      </x:c>
      <x:c r="C6982" s="13" t="n">
        <x:v>3114</x:v>
      </x:c>
    </x:row>
    <x:row r="6983" ht="20" customHeight="1">
      <x:c r="A6983" s="1" t="str">
        <x:v>85123A</x:v>
      </x:c>
      <x:c r="B6983" s="9" t="d">
        <x:v>2011-01-12T00:00:00.000Z</x:v>
      </x:c>
      <x:c r="C6983" s="13" t="n">
        <x:v>82</x:v>
      </x:c>
    </x:row>
    <x:row r="6984" ht="20" customHeight="1">
      <x:c r="A6984" s="1" t="str">
        <x:v>85123A</x:v>
      </x:c>
      <x:c r="B6984" s="9" t="d">
        <x:v>2011-01-13T00:00:00.000Z</x:v>
      </x:c>
      <x:c r="C6984" s="13" t="n">
        <x:v>8</x:v>
      </x:c>
    </x:row>
    <x:row r="6985" ht="20" customHeight="1">
      <x:c r="A6985" s="1" t="str">
        <x:v>85123A</x:v>
      </x:c>
      <x:c r="B6985" s="9" t="d">
        <x:v>2011-01-14T00:00:00.000Z</x:v>
      </x:c>
      <x:c r="C6985" s="13" t="n">
        <x:v>89</x:v>
      </x:c>
    </x:row>
    <x:row r="6986" ht="20" customHeight="1">
      <x:c r="A6986" s="1" t="str">
        <x:v>85123A</x:v>
      </x:c>
      <x:c r="B6986" s="9" t="d">
        <x:v>2011-01-15T00:00:00.000Z</x:v>
      </x:c>
      <x:c r="C6986" s="13" t="n">
        <x:v>0</x:v>
      </x:c>
    </x:row>
    <x:row r="6987" ht="20" customHeight="1">
      <x:c r="A6987" s="1" t="str">
        <x:v>85123A</x:v>
      </x:c>
      <x:c r="B6987" s="9" t="d">
        <x:v>2011-01-16T00:00:00.000Z</x:v>
      </x:c>
      <x:c r="C6987" s="13" t="n">
        <x:v>23</x:v>
      </x:c>
    </x:row>
    <x:row r="6988" ht="20" customHeight="1">
      <x:c r="A6988" s="1" t="str">
        <x:v>85123A</x:v>
      </x:c>
      <x:c r="B6988" s="9" t="d">
        <x:v>2011-01-17T00:00:00.000Z</x:v>
      </x:c>
      <x:c r="C6988" s="13" t="n">
        <x:v>220</x:v>
      </x:c>
    </x:row>
    <x:row r="6989" ht="20" customHeight="1">
      <x:c r="A6989" s="1" t="str">
        <x:v>85123A</x:v>
      </x:c>
      <x:c r="B6989" s="9" t="d">
        <x:v>2011-01-18T00:00:00.000Z</x:v>
      </x:c>
      <x:c r="C6989" s="13" t="n">
        <x:v>18</x:v>
      </x:c>
    </x:row>
    <x:row r="6990" ht="20" customHeight="1">
      <x:c r="A6990" s="1" t="str">
        <x:v>85123A</x:v>
      </x:c>
      <x:c r="B6990" s="9" t="d">
        <x:v>2011-01-19T00:00:00.000Z</x:v>
      </x:c>
      <x:c r="C6990" s="13" t="n">
        <x:v>271</x:v>
      </x:c>
    </x:row>
    <x:row r="6991" ht="20" customHeight="1">
      <x:c r="A6991" s="1" t="str">
        <x:v>85123A</x:v>
      </x:c>
      <x:c r="B6991" s="9" t="d">
        <x:v>2011-01-20T00:00:00.000Z</x:v>
      </x:c>
      <x:c r="C6991" s="13" t="n">
        <x:v>39</x:v>
      </x:c>
    </x:row>
    <x:row r="6992" ht="20" customHeight="1">
      <x:c r="A6992" s="1" t="str">
        <x:v>85123A</x:v>
      </x:c>
      <x:c r="B6992" s="9" t="d">
        <x:v>2011-01-21T00:00:00.000Z</x:v>
      </x:c>
      <x:c r="C6992" s="13" t="n">
        <x:v>63</x:v>
      </x:c>
    </x:row>
    <x:row r="6993" ht="20" customHeight="1">
      <x:c r="A6993" s="1" t="str">
        <x:v>85123A</x:v>
      </x:c>
      <x:c r="B6993" s="9" t="d">
        <x:v>2011-01-22T00:00:00.000Z</x:v>
      </x:c>
      <x:c r="C6993" s="13" t="n">
        <x:v>0</x:v>
      </x:c>
    </x:row>
    <x:row r="6994" ht="20" customHeight="1">
      <x:c r="A6994" s="1" t="str">
        <x:v>85123A</x:v>
      </x:c>
      <x:c r="B6994" s="9" t="d">
        <x:v>2011-01-23T00:00:00.000Z</x:v>
      </x:c>
      <x:c r="C6994" s="13" t="n">
        <x:v>47</x:v>
      </x:c>
    </x:row>
    <x:row r="6995" ht="20" customHeight="1">
      <x:c r="A6995" s="1" t="str">
        <x:v>85123A</x:v>
      </x:c>
      <x:c r="B6995" s="9" t="d">
        <x:v>2011-01-24T00:00:00.000Z</x:v>
      </x:c>
      <x:c r="C6995" s="13" t="n">
        <x:v>11</x:v>
      </x:c>
    </x:row>
    <x:row r="6996" ht="20" customHeight="1">
      <x:c r="A6996" s="1" t="str">
        <x:v>85123A</x:v>
      </x:c>
      <x:c r="B6996" s="9" t="d">
        <x:v>2011-01-25T00:00:00.000Z</x:v>
      </x:c>
      <x:c r="C6996" s="13" t="n">
        <x:v>92</x:v>
      </x:c>
    </x:row>
    <x:row r="6997" ht="20" customHeight="1">
      <x:c r="A6997" s="1" t="str">
        <x:v>85123A</x:v>
      </x:c>
      <x:c r="B6997" s="9" t="d">
        <x:v>2011-01-26T00:00:00.000Z</x:v>
      </x:c>
      <x:c r="C6997" s="13" t="n">
        <x:v>181</x:v>
      </x:c>
    </x:row>
    <x:row r="6998" ht="20" customHeight="1">
      <x:c r="A6998" s="1" t="str">
        <x:v>85123A</x:v>
      </x:c>
      <x:c r="B6998" s="9" t="d">
        <x:v>2011-01-27T00:00:00.000Z</x:v>
      </x:c>
      <x:c r="C6998" s="13" t="n">
        <x:v>64</x:v>
      </x:c>
    </x:row>
    <x:row r="6999" ht="20" customHeight="1">
      <x:c r="A6999" s="1" t="str">
        <x:v>85123A</x:v>
      </x:c>
      <x:c r="B6999" s="9" t="d">
        <x:v>2011-01-28T00:00:00.000Z</x:v>
      </x:c>
      <x:c r="C6999" s="13" t="n">
        <x:v>68</x:v>
      </x:c>
    </x:row>
    <x:row r="7000" ht="20" customHeight="1">
      <x:c r="A7000" s="1" t="str">
        <x:v>85123A</x:v>
      </x:c>
      <x:c r="B7000" s="9" t="d">
        <x:v>2011-01-29T00:00:00.000Z</x:v>
      </x:c>
      <x:c r="C7000" s="13" t="n">
        <x:v>0</x:v>
      </x:c>
    </x:row>
    <x:row r="7001" ht="20" customHeight="1">
      <x:c r="A7001" s="1" t="str">
        <x:v>85123A</x:v>
      </x:c>
      <x:c r="B7001" s="9" t="d">
        <x:v>2011-01-30T00:00:00.000Z</x:v>
      </x:c>
      <x:c r="C7001" s="13" t="n">
        <x:v>123</x:v>
      </x:c>
    </x:row>
    <x:row r="7002" ht="20" customHeight="1">
      <x:c r="A7002" s="1" t="str">
        <x:v>85123A</x:v>
      </x:c>
      <x:c r="B7002" s="9" t="d">
        <x:v>2011-01-31T00:00:00.000Z</x:v>
      </x:c>
      <x:c r="C7002" s="13" t="n">
        <x:v>29</x:v>
      </x:c>
    </x:row>
    <x:row r="7003" ht="20" customHeight="1">
      <x:c r="A7003" s="1" t="str">
        <x:v>85123A</x:v>
      </x:c>
      <x:c r="B7003" s="9" t="d">
        <x:v>2011-02-01T00:00:00.000Z</x:v>
      </x:c>
      <x:c r="C7003" s="13" t="n">
        <x:v>195</x:v>
      </x:c>
    </x:row>
    <x:row r="7004" ht="20" customHeight="1">
      <x:c r="A7004" s="1" t="str">
        <x:v>85123A</x:v>
      </x:c>
      <x:c r="B7004" s="9" t="d">
        <x:v>2011-02-02T00:00:00.000Z</x:v>
      </x:c>
      <x:c r="C7004" s="13" t="n">
        <x:v>222</x:v>
      </x:c>
    </x:row>
    <x:row r="7005" ht="20" customHeight="1">
      <x:c r="A7005" s="1" t="str">
        <x:v>85123A</x:v>
      </x:c>
      <x:c r="B7005" s="9" t="d">
        <x:v>2011-02-03T00:00:00.000Z</x:v>
      </x:c>
      <x:c r="C7005" s="13" t="n">
        <x:v>63</x:v>
      </x:c>
    </x:row>
    <x:row r="7006" ht="20" customHeight="1">
      <x:c r="A7006" s="1" t="str">
        <x:v>85123A</x:v>
      </x:c>
      <x:c r="B7006" s="9" t="d">
        <x:v>2011-02-04T00:00:00.000Z</x:v>
      </x:c>
      <x:c r="C7006" s="13" t="n">
        <x:v>42</x:v>
      </x:c>
    </x:row>
    <x:row r="7007" ht="20" customHeight="1">
      <x:c r="A7007" s="1" t="str">
        <x:v>85123A</x:v>
      </x:c>
      <x:c r="B7007" s="9" t="d">
        <x:v>2011-02-05T00:00:00.000Z</x:v>
      </x:c>
      <x:c r="C7007" s="13" t="n">
        <x:v>0</x:v>
      </x:c>
    </x:row>
    <x:row r="7008" ht="20" customHeight="1">
      <x:c r="A7008" s="1" t="str">
        <x:v>85123A</x:v>
      </x:c>
      <x:c r="B7008" s="9" t="d">
        <x:v>2011-02-06T00:00:00.000Z</x:v>
      </x:c>
      <x:c r="C7008" s="13" t="n">
        <x:v>35</x:v>
      </x:c>
    </x:row>
    <x:row r="7009" ht="20" customHeight="1">
      <x:c r="A7009" s="1" t="str">
        <x:v>85123A</x:v>
      </x:c>
      <x:c r="B7009" s="9" t="d">
        <x:v>2011-02-07T00:00:00.000Z</x:v>
      </x:c>
      <x:c r="C7009" s="13" t="n">
        <x:v>69</x:v>
      </x:c>
    </x:row>
    <x:row r="7010" ht="20" customHeight="1">
      <x:c r="A7010" s="1" t="str">
        <x:v>85123A</x:v>
      </x:c>
      <x:c r="B7010" s="9" t="d">
        <x:v>2011-02-08T00:00:00.000Z</x:v>
      </x:c>
      <x:c r="C7010" s="13" t="n">
        <x:v>153</x:v>
      </x:c>
    </x:row>
    <x:row r="7011" ht="20" customHeight="1">
      <x:c r="A7011" s="1" t="str">
        <x:v>85123A</x:v>
      </x:c>
      <x:c r="B7011" s="9" t="d">
        <x:v>2011-02-09T00:00:00.000Z</x:v>
      </x:c>
      <x:c r="C7011" s="13" t="n">
        <x:v>14</x:v>
      </x:c>
    </x:row>
    <x:row r="7012" ht="20" customHeight="1">
      <x:c r="A7012" s="1" t="str">
        <x:v>85123A</x:v>
      </x:c>
      <x:c r="B7012" s="9" t="d">
        <x:v>2011-02-10T00:00:00.000Z</x:v>
      </x:c>
      <x:c r="C7012" s="13" t="n">
        <x:v>66</x:v>
      </x:c>
    </x:row>
    <x:row r="7013" ht="20" customHeight="1">
      <x:c r="A7013" s="1" t="str">
        <x:v>85123A</x:v>
      </x:c>
      <x:c r="B7013" s="9" t="d">
        <x:v>2011-02-11T00:00:00.000Z</x:v>
      </x:c>
      <x:c r="C7013" s="13" t="n">
        <x:v>209</x:v>
      </x:c>
    </x:row>
    <x:row r="7014" ht="20" customHeight="1">
      <x:c r="A7014" s="1" t="str">
        <x:v>85123A</x:v>
      </x:c>
      <x:c r="B7014" s="9" t="d">
        <x:v>2011-02-12T00:00:00.000Z</x:v>
      </x:c>
      <x:c r="C7014" s="13" t="n">
        <x:v>0</x:v>
      </x:c>
    </x:row>
    <x:row r="7015" ht="20" customHeight="1">
      <x:c r="A7015" s="1" t="str">
        <x:v>85123A</x:v>
      </x:c>
      <x:c r="B7015" s="9" t="d">
        <x:v>2011-02-13T00:00:00.000Z</x:v>
      </x:c>
      <x:c r="C7015" s="13" t="n">
        <x:v>6</x:v>
      </x:c>
    </x:row>
    <x:row r="7016" ht="20" customHeight="1">
      <x:c r="A7016" s="1" t="str">
        <x:v>85123A</x:v>
      </x:c>
      <x:c r="B7016" s="9" t="d">
        <x:v>2011-02-14T00:00:00.000Z</x:v>
      </x:c>
      <x:c r="C7016" s="13" t="n">
        <x:v>66</x:v>
      </x:c>
    </x:row>
    <x:row r="7017" ht="20" customHeight="1">
      <x:c r="A7017" s="1" t="str">
        <x:v>85123A</x:v>
      </x:c>
      <x:c r="B7017" s="9" t="d">
        <x:v>2011-02-15T00:00:00.000Z</x:v>
      </x:c>
      <x:c r="C7017" s="13" t="n">
        <x:v>12</x:v>
      </x:c>
    </x:row>
    <x:row r="7018" ht="20" customHeight="1">
      <x:c r="A7018" s="1" t="str">
        <x:v>85123A</x:v>
      </x:c>
      <x:c r="B7018" s="9" t="d">
        <x:v>2011-02-16T00:00:00.000Z</x:v>
      </x:c>
      <x:c r="C7018" s="13" t="n">
        <x:v>203</x:v>
      </x:c>
    </x:row>
    <x:row r="7019" ht="20" customHeight="1">
      <x:c r="A7019" s="1" t="str">
        <x:v>85123A</x:v>
      </x:c>
      <x:c r="B7019" s="9" t="d">
        <x:v>2011-02-17T00:00:00.000Z</x:v>
      </x:c>
      <x:c r="C7019" s="13" t="n">
        <x:v>50</x:v>
      </x:c>
    </x:row>
    <x:row r="7020" ht="20" customHeight="1">
      <x:c r="A7020" s="1" t="str">
        <x:v>85123A</x:v>
      </x:c>
      <x:c r="B7020" s="9" t="d">
        <x:v>2011-02-18T00:00:00.000Z</x:v>
      </x:c>
      <x:c r="C7020" s="13" t="n">
        <x:v>6</x:v>
      </x:c>
    </x:row>
    <x:row r="7021" ht="20" customHeight="1">
      <x:c r="A7021" s="1" t="str">
        <x:v>85123A</x:v>
      </x:c>
      <x:c r="B7021" s="9" t="d">
        <x:v>2011-02-19T00:00:00.000Z</x:v>
      </x:c>
      <x:c r="C7021" s="13" t="n">
        <x:v>0</x:v>
      </x:c>
    </x:row>
    <x:row r="7022" ht="20" customHeight="1">
      <x:c r="A7022" s="1" t="str">
        <x:v>85123A</x:v>
      </x:c>
      <x:c r="B7022" s="9" t="d">
        <x:v>2011-02-20T00:00:00.000Z</x:v>
      </x:c>
      <x:c r="C7022" s="13" t="n">
        <x:v>28</x:v>
      </x:c>
    </x:row>
    <x:row r="7023" ht="20" customHeight="1">
      <x:c r="A7023" s="1" t="str">
        <x:v>85123A</x:v>
      </x:c>
      <x:c r="B7023" s="9" t="d">
        <x:v>2011-02-21T00:00:00.000Z</x:v>
      </x:c>
      <x:c r="C7023" s="13" t="n">
        <x:v>23</x:v>
      </x:c>
    </x:row>
    <x:row r="7024" ht="20" customHeight="1">
      <x:c r="A7024" s="1" t="str">
        <x:v>85123A</x:v>
      </x:c>
      <x:c r="B7024" s="9" t="d">
        <x:v>2011-02-22T00:00:00.000Z</x:v>
      </x:c>
      <x:c r="C7024" s="13" t="n">
        <x:v>96</x:v>
      </x:c>
    </x:row>
    <x:row r="7025" ht="20" customHeight="1">
      <x:c r="A7025" s="1" t="str">
        <x:v>85123A</x:v>
      </x:c>
      <x:c r="B7025" s="9" t="d">
        <x:v>2011-02-23T00:00:00.000Z</x:v>
      </x:c>
      <x:c r="C7025" s="13" t="n">
        <x:v>116</x:v>
      </x:c>
    </x:row>
    <x:row r="7026" ht="20" customHeight="1">
      <x:c r="A7026" s="1" t="str">
        <x:v>85123A</x:v>
      </x:c>
      <x:c r="B7026" s="9" t="d">
        <x:v>2011-02-24T00:00:00.000Z</x:v>
      </x:c>
      <x:c r="C7026" s="13" t="n">
        <x:v>99</x:v>
      </x:c>
    </x:row>
    <x:row r="7027" ht="20" customHeight="1">
      <x:c r="A7027" s="1" t="str">
        <x:v>85123A</x:v>
      </x:c>
      <x:c r="B7027" s="9" t="d">
        <x:v>2011-02-25T00:00:00.000Z</x:v>
      </x:c>
      <x:c r="C7027" s="13" t="n">
        <x:v>40</x:v>
      </x:c>
    </x:row>
    <x:row r="7028" ht="20" customHeight="1">
      <x:c r="A7028" s="1" t="str">
        <x:v>85123A</x:v>
      </x:c>
      <x:c r="B7028" s="9" t="d">
        <x:v>2011-02-26T00:00:00.000Z</x:v>
      </x:c>
      <x:c r="C7028" s="13" t="n">
        <x:v>0</x:v>
      </x:c>
    </x:row>
    <x:row r="7029" ht="20" customHeight="1">
      <x:c r="A7029" s="1" t="str">
        <x:v>85123A</x:v>
      </x:c>
      <x:c r="B7029" s="9" t="d">
        <x:v>2011-02-27T00:00:00.000Z</x:v>
      </x:c>
      <x:c r="C7029" s="13" t="n">
        <x:v>27</x:v>
      </x:c>
    </x:row>
    <x:row r="7030" ht="20" customHeight="1">
      <x:c r="A7030" s="1" t="str">
        <x:v>85123A</x:v>
      </x:c>
      <x:c r="B7030" s="9" t="d">
        <x:v>2011-02-28T00:00:00.000Z</x:v>
      </x:c>
      <x:c r="C7030" s="13" t="n">
        <x:v>37</x:v>
      </x:c>
    </x:row>
    <x:row r="7031" ht="20" customHeight="1">
      <x:c r="A7031" s="1" t="str">
        <x:v>85123A</x:v>
      </x:c>
      <x:c r="B7031" s="9" t="d">
        <x:v>2011-03-01T00:00:00.000Z</x:v>
      </x:c>
      <x:c r="C7031" s="13" t="n">
        <x:v>86</x:v>
      </x:c>
    </x:row>
    <x:row r="7032" ht="20" customHeight="1">
      <x:c r="A7032" s="1" t="str">
        <x:v>85123A</x:v>
      </x:c>
      <x:c r="B7032" s="9" t="d">
        <x:v>2011-03-02T00:00:00.000Z</x:v>
      </x:c>
      <x:c r="C7032" s="13" t="n">
        <x:v>33</x:v>
      </x:c>
    </x:row>
    <x:row r="7033" ht="20" customHeight="1">
      <x:c r="A7033" s="1" t="str">
        <x:v>85123A</x:v>
      </x:c>
      <x:c r="B7033" s="9" t="d">
        <x:v>2011-03-03T00:00:00.000Z</x:v>
      </x:c>
      <x:c r="C7033" s="13" t="n">
        <x:v>96</x:v>
      </x:c>
    </x:row>
    <x:row r="7034" ht="20" customHeight="1">
      <x:c r="A7034" s="1" t="str">
        <x:v>85123A</x:v>
      </x:c>
      <x:c r="B7034" s="9" t="d">
        <x:v>2011-03-04T00:00:00.000Z</x:v>
      </x:c>
      <x:c r="C7034" s="13" t="n">
        <x:v>27</x:v>
      </x:c>
    </x:row>
    <x:row r="7035" ht="20" customHeight="1">
      <x:c r="A7035" s="1" t="str">
        <x:v>85123A</x:v>
      </x:c>
      <x:c r="B7035" s="9" t="d">
        <x:v>2011-03-05T00:00:00.000Z</x:v>
      </x:c>
      <x:c r="C7035" s="13" t="n">
        <x:v>0</x:v>
      </x:c>
    </x:row>
    <x:row r="7036" ht="20" customHeight="1">
      <x:c r="A7036" s="1" t="str">
        <x:v>85123A</x:v>
      </x:c>
      <x:c r="B7036" s="9" t="d">
        <x:v>2011-03-06T00:00:00.000Z</x:v>
      </x:c>
      <x:c r="C7036" s="13" t="n">
        <x:v>101</x:v>
      </x:c>
    </x:row>
    <x:row r="7037" ht="20" customHeight="1">
      <x:c r="A7037" s="1" t="str">
        <x:v>85123A</x:v>
      </x:c>
      <x:c r="B7037" s="9" t="d">
        <x:v>2011-03-07T00:00:00.000Z</x:v>
      </x:c>
      <x:c r="C7037" s="13" t="n">
        <x:v>26</x:v>
      </x:c>
    </x:row>
    <x:row r="7038" ht="20" customHeight="1">
      <x:c r="A7038" s="1" t="str">
        <x:v>85123A</x:v>
      </x:c>
      <x:c r="B7038" s="9" t="d">
        <x:v>2011-03-08T00:00:00.000Z</x:v>
      </x:c>
      <x:c r="C7038" s="13" t="n">
        <x:v>145</x:v>
      </x:c>
    </x:row>
    <x:row r="7039" ht="20" customHeight="1">
      <x:c r="A7039" s="1" t="str">
        <x:v>85123A</x:v>
      </x:c>
      <x:c r="B7039" s="9" t="d">
        <x:v>2011-03-09T00:00:00.000Z</x:v>
      </x:c>
      <x:c r="C7039" s="13" t="n">
        <x:v>98</x:v>
      </x:c>
    </x:row>
    <x:row r="7040" ht="20" customHeight="1">
      <x:c r="A7040" s="1" t="str">
        <x:v>85123A</x:v>
      </x:c>
      <x:c r="B7040" s="9" t="d">
        <x:v>2011-03-10T00:00:00.000Z</x:v>
      </x:c>
      <x:c r="C7040" s="13" t="n">
        <x:v>57</x:v>
      </x:c>
    </x:row>
    <x:row r="7041" ht="20" customHeight="1">
      <x:c r="A7041" s="1" t="str">
        <x:v>85123A</x:v>
      </x:c>
      <x:c r="B7041" s="9" t="d">
        <x:v>2011-03-11T00:00:00.000Z</x:v>
      </x:c>
      <x:c r="C7041" s="13" t="n">
        <x:v>125</x:v>
      </x:c>
    </x:row>
    <x:row r="7042" ht="20" customHeight="1">
      <x:c r="A7042" s="1" t="str">
        <x:v>85123A</x:v>
      </x:c>
      <x:c r="B7042" s="9" t="d">
        <x:v>2011-03-12T00:00:00.000Z</x:v>
      </x:c>
      <x:c r="C7042" s="13" t="n">
        <x:v>0</x:v>
      </x:c>
    </x:row>
    <x:row r="7043" ht="20" customHeight="1">
      <x:c r="A7043" s="1" t="str">
        <x:v>85123A</x:v>
      </x:c>
      <x:c r="B7043" s="9" t="d">
        <x:v>2011-03-13T00:00:00.000Z</x:v>
      </x:c>
      <x:c r="C7043" s="13" t="n">
        <x:v>3</x:v>
      </x:c>
    </x:row>
    <x:row r="7044" ht="20" customHeight="1">
      <x:c r="A7044" s="1" t="str">
        <x:v>85123A</x:v>
      </x:c>
      <x:c r="B7044" s="9" t="d">
        <x:v>2011-03-14T00:00:00.000Z</x:v>
      </x:c>
      <x:c r="C7044" s="13" t="n">
        <x:v>19</x:v>
      </x:c>
    </x:row>
    <x:row r="7045" ht="20" customHeight="1">
      <x:c r="A7045" s="1" t="str">
        <x:v>85123A</x:v>
      </x:c>
      <x:c r="B7045" s="9" t="d">
        <x:v>2011-03-15T00:00:00.000Z</x:v>
      </x:c>
      <x:c r="C7045" s="13" t="n">
        <x:v>114</x:v>
      </x:c>
    </x:row>
    <x:row r="7046" ht="20" customHeight="1">
      <x:c r="A7046" s="1" t="str">
        <x:v>85123A</x:v>
      </x:c>
      <x:c r="B7046" s="9" t="d">
        <x:v>2011-03-16T00:00:00.000Z</x:v>
      </x:c>
      <x:c r="C7046" s="13" t="n">
        <x:v>141</x:v>
      </x:c>
    </x:row>
    <x:row r="7047" ht="20" customHeight="1">
      <x:c r="A7047" s="1" t="str">
        <x:v>85123A</x:v>
      </x:c>
      <x:c r="B7047" s="9" t="d">
        <x:v>2011-03-17T00:00:00.000Z</x:v>
      </x:c>
      <x:c r="C7047" s="13" t="n">
        <x:v>87</x:v>
      </x:c>
    </x:row>
    <x:row r="7048" ht="20" customHeight="1">
      <x:c r="A7048" s="1" t="str">
        <x:v>85123A</x:v>
      </x:c>
      <x:c r="B7048" s="9" t="d">
        <x:v>2011-03-18T00:00:00.000Z</x:v>
      </x:c>
      <x:c r="C7048" s="13" t="n">
        <x:v>56</x:v>
      </x:c>
    </x:row>
    <x:row r="7049" ht="20" customHeight="1">
      <x:c r="A7049" s="1" t="str">
        <x:v>85123A</x:v>
      </x:c>
      <x:c r="B7049" s="9" t="d">
        <x:v>2011-03-19T00:00:00.000Z</x:v>
      </x:c>
      <x:c r="C7049" s="13" t="n">
        <x:v>0</x:v>
      </x:c>
    </x:row>
    <x:row r="7050" ht="20" customHeight="1">
      <x:c r="A7050" s="1" t="str">
        <x:v>85123A</x:v>
      </x:c>
      <x:c r="B7050" s="9" t="d">
        <x:v>2011-03-20T00:00:00.000Z</x:v>
      </x:c>
      <x:c r="C7050" s="13" t="n">
        <x:v>47</x:v>
      </x:c>
    </x:row>
    <x:row r="7051" ht="20" customHeight="1">
      <x:c r="A7051" s="1" t="str">
        <x:v>85123A</x:v>
      </x:c>
      <x:c r="B7051" s="9" t="d">
        <x:v>2011-03-21T00:00:00.000Z</x:v>
      </x:c>
      <x:c r="C7051" s="13" t="n">
        <x:v>38</x:v>
      </x:c>
    </x:row>
    <x:row r="7052" ht="20" customHeight="1">
      <x:c r="A7052" s="1" t="str">
        <x:v>85123A</x:v>
      </x:c>
      <x:c r="B7052" s="9" t="d">
        <x:v>2011-03-22T00:00:00.000Z</x:v>
      </x:c>
      <x:c r="C7052" s="13" t="n">
        <x:v>84</x:v>
      </x:c>
    </x:row>
    <x:row r="7053" ht="20" customHeight="1">
      <x:c r="A7053" s="1" t="str">
        <x:v>85123A</x:v>
      </x:c>
      <x:c r="B7053" s="9" t="d">
        <x:v>2011-03-23T00:00:00.000Z</x:v>
      </x:c>
      <x:c r="C7053" s="13" t="n">
        <x:v>83</x:v>
      </x:c>
    </x:row>
    <x:row r="7054" ht="20" customHeight="1">
      <x:c r="A7054" s="1" t="str">
        <x:v>85123A</x:v>
      </x:c>
      <x:c r="B7054" s="9" t="d">
        <x:v>2011-03-24T00:00:00.000Z</x:v>
      </x:c>
      <x:c r="C7054" s="13" t="n">
        <x:v>52</x:v>
      </x:c>
    </x:row>
    <x:row r="7055" ht="20" customHeight="1">
      <x:c r="A7055" s="1" t="str">
        <x:v>85123A</x:v>
      </x:c>
      <x:c r="B7055" s="9" t="d">
        <x:v>2011-03-25T00:00:00.000Z</x:v>
      </x:c>
      <x:c r="C7055" s="13" t="n">
        <x:v>31</x:v>
      </x:c>
    </x:row>
    <x:row r="7056" ht="20" customHeight="1">
      <x:c r="A7056" s="1" t="str">
        <x:v>85123A</x:v>
      </x:c>
      <x:c r="B7056" s="9" t="d">
        <x:v>2011-03-26T00:00:00.000Z</x:v>
      </x:c>
      <x:c r="C7056" s="13" t="n">
        <x:v>0</x:v>
      </x:c>
    </x:row>
    <x:row r="7057" ht="20" customHeight="1">
      <x:c r="A7057" s="1" t="str">
        <x:v>85123A</x:v>
      </x:c>
      <x:c r="B7057" s="9" t="d">
        <x:v>2011-03-27T00:00:00.000Z</x:v>
      </x:c>
      <x:c r="C7057" s="13" t="n">
        <x:v>77</x:v>
      </x:c>
    </x:row>
    <x:row r="7058" ht="20" customHeight="1">
      <x:c r="A7058" s="1" t="str">
        <x:v>85123A</x:v>
      </x:c>
      <x:c r="B7058" s="9" t="d">
        <x:v>2011-03-28T00:00:00.000Z</x:v>
      </x:c>
      <x:c r="C7058" s="13" t="n">
        <x:v>44</x:v>
      </x:c>
    </x:row>
    <x:row r="7059" ht="20" customHeight="1">
      <x:c r="A7059" s="1" t="str">
        <x:v>85123A</x:v>
      </x:c>
      <x:c r="B7059" s="9" t="d">
        <x:v>2011-03-29T00:00:00.000Z</x:v>
      </x:c>
      <x:c r="C7059" s="13" t="n">
        <x:v>185</x:v>
      </x:c>
    </x:row>
    <x:row r="7060" ht="20" customHeight="1">
      <x:c r="A7060" s="1" t="str">
        <x:v>85123A</x:v>
      </x:c>
      <x:c r="B7060" s="9" t="d">
        <x:v>2011-03-30T00:00:00.000Z</x:v>
      </x:c>
      <x:c r="C7060" s="13" t="n">
        <x:v>68</x:v>
      </x:c>
    </x:row>
    <x:row r="7061" ht="20" customHeight="1">
      <x:c r="A7061" s="1" t="str">
        <x:v>85123A</x:v>
      </x:c>
      <x:c r="B7061" s="9" t="d">
        <x:v>2011-03-31T00:00:00.000Z</x:v>
      </x:c>
      <x:c r="C7061" s="13" t="n">
        <x:v>75</x:v>
      </x:c>
    </x:row>
    <x:row r="7062" ht="20" customHeight="1">
      <x:c r="A7062" s="1" t="str">
        <x:v>85123A</x:v>
      </x:c>
      <x:c r="B7062" s="9" t="d">
        <x:v>2011-04-01T00:00:00.000Z</x:v>
      </x:c>
      <x:c r="C7062" s="13" t="n">
        <x:v>133</x:v>
      </x:c>
    </x:row>
    <x:row r="7063" ht="20" customHeight="1">
      <x:c r="A7063" s="1" t="str">
        <x:v>85123A</x:v>
      </x:c>
      <x:c r="B7063" s="9" t="d">
        <x:v>2011-04-02T00:00:00.000Z</x:v>
      </x:c>
      <x:c r="C7063" s="13" t="n">
        <x:v>0</x:v>
      </x:c>
    </x:row>
    <x:row r="7064" ht="20" customHeight="1">
      <x:c r="A7064" s="1" t="str">
        <x:v>85123A</x:v>
      </x:c>
      <x:c r="B7064" s="9" t="d">
        <x:v>2011-04-03T00:00:00.000Z</x:v>
      </x:c>
      <x:c r="C7064" s="13" t="n">
        <x:v>77</x:v>
      </x:c>
    </x:row>
    <x:row r="7065" ht="20" customHeight="1">
      <x:c r="A7065" s="1" t="str">
        <x:v>85123A</x:v>
      </x:c>
      <x:c r="B7065" s="9" t="d">
        <x:v>2011-04-04T00:00:00.000Z</x:v>
      </x:c>
      <x:c r="C7065" s="13" t="n">
        <x:v>66</x:v>
      </x:c>
    </x:row>
    <x:row r="7066" ht="20" customHeight="1">
      <x:c r="A7066" s="1" t="str">
        <x:v>85123A</x:v>
      </x:c>
      <x:c r="B7066" s="9" t="d">
        <x:v>2011-04-05T00:00:00.000Z</x:v>
      </x:c>
      <x:c r="C7066" s="13" t="n">
        <x:v>51</x:v>
      </x:c>
    </x:row>
    <x:row r="7067" ht="20" customHeight="1">
      <x:c r="A7067" s="1" t="str">
        <x:v>85123A</x:v>
      </x:c>
      <x:c r="B7067" s="9" t="d">
        <x:v>2011-04-06T00:00:00.000Z</x:v>
      </x:c>
      <x:c r="C7067" s="13" t="n">
        <x:v>65</x:v>
      </x:c>
    </x:row>
    <x:row r="7068" ht="20" customHeight="1">
      <x:c r="A7068" s="1" t="str">
        <x:v>85123A</x:v>
      </x:c>
      <x:c r="B7068" s="9" t="d">
        <x:v>2011-04-07T00:00:00.000Z</x:v>
      </x:c>
      <x:c r="C7068" s="13" t="n">
        <x:v>50</x:v>
      </x:c>
    </x:row>
    <x:row r="7069" ht="20" customHeight="1">
      <x:c r="A7069" s="1" t="str">
        <x:v>85123A</x:v>
      </x:c>
      <x:c r="B7069" s="9" t="d">
        <x:v>2011-04-08T00:00:00.000Z</x:v>
      </x:c>
      <x:c r="C7069" s="13" t="n">
        <x:v>68</x:v>
      </x:c>
    </x:row>
    <x:row r="7070" ht="20" customHeight="1">
      <x:c r="A7070" s="1" t="str">
        <x:v>85123A</x:v>
      </x:c>
      <x:c r="B7070" s="9" t="d">
        <x:v>2011-04-09T00:00:00.000Z</x:v>
      </x:c>
      <x:c r="C7070" s="13" t="n">
        <x:v>0</x:v>
      </x:c>
    </x:row>
    <x:row r="7071" ht="20" customHeight="1">
      <x:c r="A7071" s="1" t="str">
        <x:v>85123A</x:v>
      </x:c>
      <x:c r="B7071" s="9" t="d">
        <x:v>2011-04-10T00:00:00.000Z</x:v>
      </x:c>
      <x:c r="C7071" s="13" t="n">
        <x:v>74</x:v>
      </x:c>
    </x:row>
    <x:row r="7072" ht="20" customHeight="1">
      <x:c r="A7072" s="1" t="str">
        <x:v>85123A</x:v>
      </x:c>
      <x:c r="B7072" s="9" t="d">
        <x:v>2011-04-11T00:00:00.000Z</x:v>
      </x:c>
      <x:c r="C7072" s="13" t="n">
        <x:v>45</x:v>
      </x:c>
    </x:row>
    <x:row r="7073" ht="20" customHeight="1">
      <x:c r="A7073" s="1" t="str">
        <x:v>85123A</x:v>
      </x:c>
      <x:c r="B7073" s="9" t="d">
        <x:v>2011-04-12T00:00:00.000Z</x:v>
      </x:c>
      <x:c r="C7073" s="13" t="n">
        <x:v>198</x:v>
      </x:c>
    </x:row>
    <x:row r="7074" ht="20" customHeight="1">
      <x:c r="A7074" s="1" t="str">
        <x:v>85123A</x:v>
      </x:c>
      <x:c r="B7074" s="9" t="d">
        <x:v>2011-04-13T00:00:00.000Z</x:v>
      </x:c>
      <x:c r="C7074" s="13" t="n">
        <x:v>73</x:v>
      </x:c>
    </x:row>
    <x:row r="7075" ht="20" customHeight="1">
      <x:c r="A7075" s="1" t="str">
        <x:v>85123A</x:v>
      </x:c>
      <x:c r="B7075" s="9" t="d">
        <x:v>2011-04-14T00:00:00.000Z</x:v>
      </x:c>
      <x:c r="C7075" s="13" t="n">
        <x:v>127</x:v>
      </x:c>
    </x:row>
    <x:row r="7076" ht="20" customHeight="1">
      <x:c r="A7076" s="1" t="str">
        <x:v>85123A</x:v>
      </x:c>
      <x:c r="B7076" s="9" t="d">
        <x:v>2011-04-15T00:00:00.000Z</x:v>
      </x:c>
      <x:c r="C7076" s="13" t="n">
        <x:v>8</x:v>
      </x:c>
    </x:row>
    <x:row r="7077" ht="20" customHeight="1">
      <x:c r="A7077" s="1" t="str">
        <x:v>85123A</x:v>
      </x:c>
      <x:c r="B7077" s="9" t="d">
        <x:v>2011-04-16T00:00:00.000Z</x:v>
      </x:c>
      <x:c r="C7077" s="13" t="n">
        <x:v>0</x:v>
      </x:c>
    </x:row>
    <x:row r="7078" ht="20" customHeight="1">
      <x:c r="A7078" s="1" t="str">
        <x:v>85123A</x:v>
      </x:c>
      <x:c r="B7078" s="9" t="d">
        <x:v>2011-04-17T00:00:00.000Z</x:v>
      </x:c>
      <x:c r="C7078" s="13" t="n">
        <x:v>23</x:v>
      </x:c>
    </x:row>
    <x:row r="7079" ht="20" customHeight="1">
      <x:c r="A7079" s="1" t="str">
        <x:v>85123A</x:v>
      </x:c>
      <x:c r="B7079" s="9" t="d">
        <x:v>2011-04-18T00:00:00.000Z</x:v>
      </x:c>
      <x:c r="C7079" s="13" t="n">
        <x:v>2102</x:v>
      </x:c>
    </x:row>
    <x:row r="7080" ht="20" customHeight="1">
      <x:c r="A7080" s="1" t="str">
        <x:v>85123A</x:v>
      </x:c>
      <x:c r="B7080" s="9" t="d">
        <x:v>2011-04-19T00:00:00.000Z</x:v>
      </x:c>
      <x:c r="C7080" s="13" t="n">
        <x:v>110</x:v>
      </x:c>
    </x:row>
    <x:row r="7081" ht="20" customHeight="1">
      <x:c r="A7081" s="1" t="str">
        <x:v>85123A</x:v>
      </x:c>
      <x:c r="B7081" s="9" t="d">
        <x:v>2011-04-20T00:00:00.000Z</x:v>
      </x:c>
      <x:c r="C7081" s="13" t="n">
        <x:v>73</x:v>
      </x:c>
    </x:row>
    <x:row r="7082" ht="20" customHeight="1">
      <x:c r="A7082" s="1" t="str">
        <x:v>85123A</x:v>
      </x:c>
      <x:c r="B7082" s="9" t="d">
        <x:v>2011-04-21T00:00:00.000Z</x:v>
      </x:c>
      <x:c r="C7082" s="13" t="n">
        <x:v>137</x:v>
      </x:c>
    </x:row>
    <x:row r="7083" ht="20" customHeight="1">
      <x:c r="A7083" s="1" t="str">
        <x:v>85123A</x:v>
      </x:c>
      <x:c r="B7083" s="9" t="d">
        <x:v>2011-04-22T00:00:00.000Z</x:v>
      </x:c>
      <x:c r="C7083" s="13" t="n">
        <x:v>0</x:v>
      </x:c>
    </x:row>
    <x:row r="7084" ht="20" customHeight="1">
      <x:c r="A7084" s="1" t="str">
        <x:v>85123A</x:v>
      </x:c>
      <x:c r="B7084" s="9" t="d">
        <x:v>2011-04-23T00:00:00.000Z</x:v>
      </x:c>
      <x:c r="C7084" s="13" t="n">
        <x:v>0</x:v>
      </x:c>
    </x:row>
    <x:row r="7085" ht="20" customHeight="1">
      <x:c r="A7085" s="1" t="str">
        <x:v>85123A</x:v>
      </x:c>
      <x:c r="B7085" s="9" t="d">
        <x:v>2011-04-24T00:00:00.000Z</x:v>
      </x:c>
      <x:c r="C7085" s="13" t="n">
        <x:v>0</x:v>
      </x:c>
    </x:row>
    <x:row r="7086" ht="20" customHeight="1">
      <x:c r="A7086" s="1" t="str">
        <x:v>85123A</x:v>
      </x:c>
      <x:c r="B7086" s="9" t="d">
        <x:v>2011-04-25T00:00:00.000Z</x:v>
      </x:c>
      <x:c r="C7086" s="13" t="n">
        <x:v>0</x:v>
      </x:c>
    </x:row>
    <x:row r="7087" ht="20" customHeight="1">
      <x:c r="A7087" s="1" t="str">
        <x:v>85123A</x:v>
      </x:c>
      <x:c r="B7087" s="9" t="d">
        <x:v>2011-04-26T00:00:00.000Z</x:v>
      </x:c>
      <x:c r="C7087" s="13" t="n">
        <x:v>179</x:v>
      </x:c>
    </x:row>
    <x:row r="7088" ht="20" customHeight="1">
      <x:c r="A7088" s="1" t="str">
        <x:v>85123A</x:v>
      </x:c>
      <x:c r="B7088" s="9" t="d">
        <x:v>2011-04-27T00:00:00.000Z</x:v>
      </x:c>
      <x:c r="C7088" s="13" t="n">
        <x:v>73</x:v>
      </x:c>
    </x:row>
    <x:row r="7089" ht="20" customHeight="1">
      <x:c r="A7089" s="1" t="str">
        <x:v>85123A</x:v>
      </x:c>
      <x:c r="B7089" s="9" t="d">
        <x:v>2011-04-28T00:00:00.000Z</x:v>
      </x:c>
      <x:c r="C7089" s="13" t="n">
        <x:v>111</x:v>
      </x:c>
    </x:row>
    <x:row r="7090" ht="20" customHeight="1">
      <x:c r="A7090" s="1" t="str">
        <x:v>85123A</x:v>
      </x:c>
      <x:c r="B7090" s="9" t="d">
        <x:v>2011-04-29T00:00:00.000Z</x:v>
      </x:c>
      <x:c r="C7090" s="13" t="n">
        <x:v>0</x:v>
      </x:c>
    </x:row>
    <x:row r="7091" ht="20" customHeight="1">
      <x:c r="A7091" s="1" t="str">
        <x:v>85123A</x:v>
      </x:c>
      <x:c r="B7091" s="9" t="d">
        <x:v>2011-04-30T00:00:00.000Z</x:v>
      </x:c>
      <x:c r="C7091" s="13" t="n">
        <x:v>0</x:v>
      </x:c>
    </x:row>
    <x:row r="7092" ht="20" customHeight="1">
      <x:c r="A7092" s="1" t="str">
        <x:v>85123A</x:v>
      </x:c>
      <x:c r="B7092" s="9" t="d">
        <x:v>2011-05-01T00:00:00.000Z</x:v>
      </x:c>
      <x:c r="C7092" s="13" t="n">
        <x:v>12</x:v>
      </x:c>
    </x:row>
    <x:row r="7093" ht="20" customHeight="1">
      <x:c r="A7093" s="1" t="str">
        <x:v>85123A</x:v>
      </x:c>
      <x:c r="B7093" s="9" t="d">
        <x:v>2011-05-02T00:00:00.000Z</x:v>
      </x:c>
      <x:c r="C7093" s="13" t="n">
        <x:v>0</x:v>
      </x:c>
    </x:row>
    <x:row r="7094" ht="20" customHeight="1">
      <x:c r="A7094" s="1" t="str">
        <x:v>85123A</x:v>
      </x:c>
      <x:c r="B7094" s="9" t="d">
        <x:v>2011-05-03T00:00:00.000Z</x:v>
      </x:c>
      <x:c r="C7094" s="13" t="n">
        <x:v>317</x:v>
      </x:c>
    </x:row>
    <x:row r="7095" ht="20" customHeight="1">
      <x:c r="A7095" s="1" t="str">
        <x:v>85123A</x:v>
      </x:c>
      <x:c r="B7095" s="9" t="d">
        <x:v>2011-05-04T00:00:00.000Z</x:v>
      </x:c>
      <x:c r="C7095" s="13" t="n">
        <x:v>85</x:v>
      </x:c>
    </x:row>
    <x:row r="7096" ht="20" customHeight="1">
      <x:c r="A7096" s="1" t="str">
        <x:v>85123A</x:v>
      </x:c>
      <x:c r="B7096" s="9" t="d">
        <x:v>2011-05-05T00:00:00.000Z</x:v>
      </x:c>
      <x:c r="C7096" s="13" t="n">
        <x:v>421</x:v>
      </x:c>
    </x:row>
    <x:row r="7097" ht="20" customHeight="1">
      <x:c r="A7097" s="1" t="str">
        <x:v>85123A</x:v>
      </x:c>
      <x:c r="B7097" s="9" t="d">
        <x:v>2011-05-06T00:00:00.000Z</x:v>
      </x:c>
      <x:c r="C7097" s="13" t="n">
        <x:v>179</x:v>
      </x:c>
    </x:row>
    <x:row r="7098" ht="20" customHeight="1">
      <x:c r="A7098" s="1" t="str">
        <x:v>85123A</x:v>
      </x:c>
      <x:c r="B7098" s="9" t="d">
        <x:v>2011-05-07T00:00:00.000Z</x:v>
      </x:c>
      <x:c r="C7098" s="13" t="n">
        <x:v>0</x:v>
      </x:c>
    </x:row>
    <x:row r="7099" ht="20" customHeight="1">
      <x:c r="A7099" s="1" t="str">
        <x:v>85123A</x:v>
      </x:c>
      <x:c r="B7099" s="9" t="d">
        <x:v>2011-05-08T00:00:00.000Z</x:v>
      </x:c>
      <x:c r="C7099" s="13" t="n">
        <x:v>142</x:v>
      </x:c>
    </x:row>
    <x:row r="7100" ht="20" customHeight="1">
      <x:c r="A7100" s="1" t="str">
        <x:v>85123A</x:v>
      </x:c>
      <x:c r="B7100" s="9" t="d">
        <x:v>2011-05-09T00:00:00.000Z</x:v>
      </x:c>
      <x:c r="C7100" s="13" t="n">
        <x:v>216</x:v>
      </x:c>
    </x:row>
    <x:row r="7101" ht="20" customHeight="1">
      <x:c r="A7101" s="1" t="str">
        <x:v>85123A</x:v>
      </x:c>
      <x:c r="B7101" s="9" t="d">
        <x:v>2011-05-10T00:00:00.000Z</x:v>
      </x:c>
      <x:c r="C7101" s="13" t="n">
        <x:v>142</x:v>
      </x:c>
    </x:row>
    <x:row r="7102" ht="20" customHeight="1">
      <x:c r="A7102" s="1" t="str">
        <x:v>85123A</x:v>
      </x:c>
      <x:c r="B7102" s="9" t="d">
        <x:v>2011-05-11T00:00:00.000Z</x:v>
      </x:c>
      <x:c r="C7102" s="13" t="n">
        <x:v>120</x:v>
      </x:c>
    </x:row>
    <x:row r="7103" ht="20" customHeight="1">
      <x:c r="A7103" s="1" t="str">
        <x:v>85123A</x:v>
      </x:c>
      <x:c r="B7103" s="9" t="d">
        <x:v>2011-05-12T00:00:00.000Z</x:v>
      </x:c>
      <x:c r="C7103" s="13" t="n">
        <x:v>227</x:v>
      </x:c>
    </x:row>
    <x:row r="7104" ht="20" customHeight="1">
      <x:c r="A7104" s="1" t="str">
        <x:v>85123A</x:v>
      </x:c>
      <x:c r="B7104" s="9" t="d">
        <x:v>2011-05-13T00:00:00.000Z</x:v>
      </x:c>
      <x:c r="C7104" s="13" t="n">
        <x:v>25</x:v>
      </x:c>
    </x:row>
    <x:row r="7105" ht="20" customHeight="1">
      <x:c r="A7105" s="1" t="str">
        <x:v>85123A</x:v>
      </x:c>
      <x:c r="B7105" s="9" t="d">
        <x:v>2011-05-14T00:00:00.000Z</x:v>
      </x:c>
      <x:c r="C7105" s="13" t="n">
        <x:v>0</x:v>
      </x:c>
    </x:row>
    <x:row r="7106" ht="20" customHeight="1">
      <x:c r="A7106" s="1" t="str">
        <x:v>85123A</x:v>
      </x:c>
      <x:c r="B7106" s="9" t="d">
        <x:v>2011-05-15T00:00:00.000Z</x:v>
      </x:c>
      <x:c r="C7106" s="13" t="n">
        <x:v>143</x:v>
      </x:c>
    </x:row>
    <x:row r="7107" ht="20" customHeight="1">
      <x:c r="A7107" s="1" t="str">
        <x:v>85123A</x:v>
      </x:c>
      <x:c r="B7107" s="9" t="d">
        <x:v>2011-05-16T00:00:00.000Z</x:v>
      </x:c>
      <x:c r="C7107" s="13" t="n">
        <x:v>201</x:v>
      </x:c>
    </x:row>
    <x:row r="7108" ht="20" customHeight="1">
      <x:c r="A7108" s="1" t="str">
        <x:v>85123A</x:v>
      </x:c>
      <x:c r="B7108" s="9" t="d">
        <x:v>2011-05-17T00:00:00.000Z</x:v>
      </x:c>
      <x:c r="C7108" s="13" t="n">
        <x:v>156</x:v>
      </x:c>
    </x:row>
    <x:row r="7109" ht="20" customHeight="1">
      <x:c r="A7109" s="1" t="str">
        <x:v>85123A</x:v>
      </x:c>
      <x:c r="B7109" s="9" t="d">
        <x:v>2011-05-18T00:00:00.000Z</x:v>
      </x:c>
      <x:c r="C7109" s="13" t="n">
        <x:v>73</x:v>
      </x:c>
    </x:row>
    <x:row r="7110" ht="20" customHeight="1">
      <x:c r="A7110" s="1" t="str">
        <x:v>85123A</x:v>
      </x:c>
      <x:c r="B7110" s="9" t="d">
        <x:v>2011-05-19T00:00:00.000Z</x:v>
      </x:c>
      <x:c r="C7110" s="13" t="n">
        <x:v>108</x:v>
      </x:c>
    </x:row>
    <x:row r="7111" ht="20" customHeight="1">
      <x:c r="A7111" s="1" t="str">
        <x:v>85123A</x:v>
      </x:c>
      <x:c r="B7111" s="9" t="d">
        <x:v>2011-05-20T00:00:00.000Z</x:v>
      </x:c>
      <x:c r="C7111" s="13" t="n">
        <x:v>92</x:v>
      </x:c>
    </x:row>
    <x:row r="7112" ht="20" customHeight="1">
      <x:c r="A7112" s="1" t="str">
        <x:v>85123A</x:v>
      </x:c>
      <x:c r="B7112" s="9" t="d">
        <x:v>2011-05-21T00:00:00.000Z</x:v>
      </x:c>
      <x:c r="C7112" s="13" t="n">
        <x:v>0</x:v>
      </x:c>
    </x:row>
    <x:row r="7113" ht="20" customHeight="1">
      <x:c r="A7113" s="1" t="str">
        <x:v>85123A</x:v>
      </x:c>
      <x:c r="B7113" s="9" t="d">
        <x:v>2011-05-22T00:00:00.000Z</x:v>
      </x:c>
      <x:c r="C7113" s="13" t="n">
        <x:v>153</x:v>
      </x:c>
    </x:row>
    <x:row r="7114" ht="20" customHeight="1">
      <x:c r="A7114" s="1" t="str">
        <x:v>85123A</x:v>
      </x:c>
      <x:c r="B7114" s="9" t="d">
        <x:v>2011-05-23T00:00:00.000Z</x:v>
      </x:c>
      <x:c r="C7114" s="13" t="n">
        <x:v>113</x:v>
      </x:c>
    </x:row>
    <x:row r="7115" ht="20" customHeight="1">
      <x:c r="A7115" s="1" t="str">
        <x:v>85123A</x:v>
      </x:c>
      <x:c r="B7115" s="9" t="d">
        <x:v>2011-05-24T00:00:00.000Z</x:v>
      </x:c>
      <x:c r="C7115" s="13" t="n">
        <x:v>144</x:v>
      </x:c>
    </x:row>
    <x:row r="7116" ht="20" customHeight="1">
      <x:c r="A7116" s="1" t="str">
        <x:v>85123A</x:v>
      </x:c>
      <x:c r="B7116" s="9" t="d">
        <x:v>2011-05-25T00:00:00.000Z</x:v>
      </x:c>
      <x:c r="C7116" s="13" t="n">
        <x:v>68</x:v>
      </x:c>
    </x:row>
    <x:row r="7117" ht="20" customHeight="1">
      <x:c r="A7117" s="1" t="str">
        <x:v>85123A</x:v>
      </x:c>
      <x:c r="B7117" s="9" t="d">
        <x:v>2011-05-26T00:00:00.000Z</x:v>
      </x:c>
      <x:c r="C7117" s="13" t="n">
        <x:v>653</x:v>
      </x:c>
    </x:row>
    <x:row r="7118" ht="20" customHeight="1">
      <x:c r="A7118" s="1" t="str">
        <x:v>85123A</x:v>
      </x:c>
      <x:c r="B7118" s="9" t="d">
        <x:v>2011-05-27T00:00:00.000Z</x:v>
      </x:c>
      <x:c r="C7118" s="13" t="n">
        <x:v>22</x:v>
      </x:c>
    </x:row>
    <x:row r="7119" ht="20" customHeight="1">
      <x:c r="A7119" s="1" t="str">
        <x:v>85123A</x:v>
      </x:c>
      <x:c r="B7119" s="9" t="d">
        <x:v>2011-05-28T00:00:00.000Z</x:v>
      </x:c>
      <x:c r="C7119" s="13" t="n">
        <x:v>0</x:v>
      </x:c>
    </x:row>
    <x:row r="7120" ht="20" customHeight="1">
      <x:c r="A7120" s="1" t="str">
        <x:v>85123A</x:v>
      </x:c>
      <x:c r="B7120" s="9" t="d">
        <x:v>2011-05-29T00:00:00.000Z</x:v>
      </x:c>
      <x:c r="C7120" s="13" t="n">
        <x:v>26</x:v>
      </x:c>
    </x:row>
    <x:row r="7121" ht="20" customHeight="1">
      <x:c r="A7121" s="1" t="str">
        <x:v>85123A</x:v>
      </x:c>
      <x:c r="B7121" s="9" t="d">
        <x:v>2011-05-30T00:00:00.000Z</x:v>
      </x:c>
      <x:c r="C7121" s="13" t="n">
        <x:v>0</x:v>
      </x:c>
    </x:row>
    <x:row r="7122" ht="20" customHeight="1">
      <x:c r="A7122" s="1" t="str">
        <x:v>85123A</x:v>
      </x:c>
      <x:c r="B7122" s="9" t="d">
        <x:v>2011-05-31T00:00:00.000Z</x:v>
      </x:c>
      <x:c r="C7122" s="13" t="n">
        <x:v>168</x:v>
      </x:c>
    </x:row>
    <x:row r="7123" ht="20" customHeight="1">
      <x:c r="A7123" s="1" t="str">
        <x:v>85123A</x:v>
      </x:c>
      <x:c r="B7123" s="9" t="d">
        <x:v>2011-06-01T00:00:00.000Z</x:v>
      </x:c>
      <x:c r="C7123" s="13" t="n">
        <x:v>29</x:v>
      </x:c>
    </x:row>
    <x:row r="7124" ht="20" customHeight="1">
      <x:c r="A7124" s="1" t="str">
        <x:v>85123A</x:v>
      </x:c>
      <x:c r="B7124" s="9" t="d">
        <x:v>2011-06-02T00:00:00.000Z</x:v>
      </x:c>
      <x:c r="C7124" s="13" t="n">
        <x:v>353</x:v>
      </x:c>
    </x:row>
    <x:row r="7125" ht="20" customHeight="1">
      <x:c r="A7125" s="1" t="str">
        <x:v>85123A</x:v>
      </x:c>
      <x:c r="B7125" s="9" t="d">
        <x:v>2011-06-03T00:00:00.000Z</x:v>
      </x:c>
      <x:c r="C7125" s="13" t="n">
        <x:v>29</x:v>
      </x:c>
    </x:row>
    <x:row r="7126" ht="20" customHeight="1">
      <x:c r="A7126" s="1" t="str">
        <x:v>85123A</x:v>
      </x:c>
      <x:c r="B7126" s="9" t="d">
        <x:v>2011-06-04T00:00:00.000Z</x:v>
      </x:c>
      <x:c r="C7126" s="13" t="n">
        <x:v>0</x:v>
      </x:c>
    </x:row>
    <x:row r="7127" ht="20" customHeight="1">
      <x:c r="A7127" s="1" t="str">
        <x:v>85123A</x:v>
      </x:c>
      <x:c r="B7127" s="9" t="d">
        <x:v>2011-06-05T00:00:00.000Z</x:v>
      </x:c>
      <x:c r="C7127" s="13" t="n">
        <x:v>49</x:v>
      </x:c>
    </x:row>
    <x:row r="7128" ht="20" customHeight="1">
      <x:c r="A7128" s="1" t="str">
        <x:v>85123A</x:v>
      </x:c>
      <x:c r="B7128" s="9" t="d">
        <x:v>2011-06-06T00:00:00.000Z</x:v>
      </x:c>
      <x:c r="C7128" s="13" t="n">
        <x:v>108</x:v>
      </x:c>
    </x:row>
    <x:row r="7129" ht="20" customHeight="1">
      <x:c r="A7129" s="1" t="str">
        <x:v>85123A</x:v>
      </x:c>
      <x:c r="B7129" s="9" t="d">
        <x:v>2011-06-07T00:00:00.000Z</x:v>
      </x:c>
      <x:c r="C7129" s="13" t="n">
        <x:v>56</x:v>
      </x:c>
    </x:row>
    <x:row r="7130" ht="20" customHeight="1">
      <x:c r="A7130" s="1" t="str">
        <x:v>85123A</x:v>
      </x:c>
      <x:c r="B7130" s="9" t="d">
        <x:v>2011-06-08T00:00:00.000Z</x:v>
      </x:c>
      <x:c r="C7130" s="13" t="n">
        <x:v>109</x:v>
      </x:c>
    </x:row>
    <x:row r="7131" ht="20" customHeight="1">
      <x:c r="A7131" s="1" t="str">
        <x:v>85123A</x:v>
      </x:c>
      <x:c r="B7131" s="9" t="d">
        <x:v>2011-06-09T00:00:00.000Z</x:v>
      </x:c>
      <x:c r="C7131" s="13" t="n">
        <x:v>15</x:v>
      </x:c>
    </x:row>
    <x:row r="7132" ht="20" customHeight="1">
      <x:c r="A7132" s="1" t="str">
        <x:v>85123A</x:v>
      </x:c>
      <x:c r="B7132" s="9" t="d">
        <x:v>2011-06-10T00:00:00.000Z</x:v>
      </x:c>
      <x:c r="C7132" s="13" t="n">
        <x:v>68</x:v>
      </x:c>
    </x:row>
    <x:row r="7133" ht="20" customHeight="1">
      <x:c r="A7133" s="1" t="str">
        <x:v>85123A</x:v>
      </x:c>
      <x:c r="B7133" s="9" t="d">
        <x:v>2011-06-11T00:00:00.000Z</x:v>
      </x:c>
      <x:c r="C7133" s="13" t="n">
        <x:v>0</x:v>
      </x:c>
    </x:row>
    <x:row r="7134" ht="20" customHeight="1">
      <x:c r="A7134" s="1" t="str">
        <x:v>85123A</x:v>
      </x:c>
      <x:c r="B7134" s="9" t="d">
        <x:v>2011-06-12T00:00:00.000Z</x:v>
      </x:c>
      <x:c r="C7134" s="13" t="n">
        <x:v>33</x:v>
      </x:c>
    </x:row>
    <x:row r="7135" ht="20" customHeight="1">
      <x:c r="A7135" s="1" t="str">
        <x:v>85123A</x:v>
      </x:c>
      <x:c r="B7135" s="9" t="d">
        <x:v>2011-06-13T00:00:00.000Z</x:v>
      </x:c>
      <x:c r="C7135" s="13" t="n">
        <x:v>17</x:v>
      </x:c>
    </x:row>
    <x:row r="7136" ht="20" customHeight="1">
      <x:c r="A7136" s="1" t="str">
        <x:v>85123A</x:v>
      </x:c>
      <x:c r="B7136" s="9" t="d">
        <x:v>2011-06-14T00:00:00.000Z</x:v>
      </x:c>
      <x:c r="C7136" s="13" t="n">
        <x:v>50</x:v>
      </x:c>
    </x:row>
    <x:row r="7137" ht="20" customHeight="1">
      <x:c r="A7137" s="1" t="str">
        <x:v>85123A</x:v>
      </x:c>
      <x:c r="B7137" s="9" t="d">
        <x:v>2011-06-15T00:00:00.000Z</x:v>
      </x:c>
      <x:c r="C7137" s="13" t="n">
        <x:v>118</x:v>
      </x:c>
    </x:row>
    <x:row r="7138" ht="20" customHeight="1">
      <x:c r="A7138" s="1" t="str">
        <x:v>85123A</x:v>
      </x:c>
      <x:c r="B7138" s="9" t="d">
        <x:v>2011-06-16T00:00:00.000Z</x:v>
      </x:c>
      <x:c r="C7138" s="13" t="n">
        <x:v>42</x:v>
      </x:c>
    </x:row>
    <x:row r="7139" ht="20" customHeight="1">
      <x:c r="A7139" s="1" t="str">
        <x:v>85123A</x:v>
      </x:c>
      <x:c r="B7139" s="9" t="d">
        <x:v>2011-06-17T00:00:00.000Z</x:v>
      </x:c>
      <x:c r="C7139" s="13" t="n">
        <x:v>15</x:v>
      </x:c>
    </x:row>
    <x:row r="7140" ht="20" customHeight="1">
      <x:c r="A7140" s="1" t="str">
        <x:v>85123A</x:v>
      </x:c>
      <x:c r="B7140" s="9" t="d">
        <x:v>2011-06-18T00:00:00.000Z</x:v>
      </x:c>
      <x:c r="C7140" s="13" t="n">
        <x:v>0</x:v>
      </x:c>
    </x:row>
    <x:row r="7141" ht="20" customHeight="1">
      <x:c r="A7141" s="1" t="str">
        <x:v>85123A</x:v>
      </x:c>
      <x:c r="B7141" s="9" t="d">
        <x:v>2011-06-19T00:00:00.000Z</x:v>
      </x:c>
      <x:c r="C7141" s="13" t="n">
        <x:v>147</x:v>
      </x:c>
    </x:row>
    <x:row r="7142" ht="20" customHeight="1">
      <x:c r="A7142" s="1" t="str">
        <x:v>85123A</x:v>
      </x:c>
      <x:c r="B7142" s="9" t="d">
        <x:v>2011-06-20T00:00:00.000Z</x:v>
      </x:c>
      <x:c r="C7142" s="13" t="n">
        <x:v>29</x:v>
      </x:c>
    </x:row>
    <x:row r="7143" ht="20" customHeight="1">
      <x:c r="A7143" s="1" t="str">
        <x:v>85123A</x:v>
      </x:c>
      <x:c r="B7143" s="9" t="d">
        <x:v>2011-06-21T00:00:00.000Z</x:v>
      </x:c>
      <x:c r="C7143" s="13" t="n">
        <x:v>13</x:v>
      </x:c>
    </x:row>
    <x:row r="7144" ht="20" customHeight="1">
      <x:c r="A7144" s="1" t="str">
        <x:v>85123A</x:v>
      </x:c>
      <x:c r="B7144" s="9" t="d">
        <x:v>2011-06-22T00:00:00.000Z</x:v>
      </x:c>
      <x:c r="C7144" s="13" t="n">
        <x:v>18</x:v>
      </x:c>
    </x:row>
    <x:row r="7145" ht="20" customHeight="1">
      <x:c r="A7145" s="1" t="str">
        <x:v>85123A</x:v>
      </x:c>
      <x:c r="B7145" s="9" t="d">
        <x:v>2011-06-23T00:00:00.000Z</x:v>
      </x:c>
      <x:c r="C7145" s="13" t="n">
        <x:v>106</x:v>
      </x:c>
    </x:row>
    <x:row r="7146" ht="20" customHeight="1">
      <x:c r="A7146" s="1" t="str">
        <x:v>85123A</x:v>
      </x:c>
      <x:c r="B7146" s="9" t="d">
        <x:v>2011-06-24T00:00:00.000Z</x:v>
      </x:c>
      <x:c r="C7146" s="13" t="n">
        <x:v>38</x:v>
      </x:c>
    </x:row>
    <x:row r="7147" ht="20" customHeight="1">
      <x:c r="A7147" s="1" t="str">
        <x:v>85123A</x:v>
      </x:c>
      <x:c r="B7147" s="9" t="d">
        <x:v>2011-06-25T00:00:00.000Z</x:v>
      </x:c>
      <x:c r="C7147" s="13" t="n">
        <x:v>0</x:v>
      </x:c>
    </x:row>
    <x:row r="7148" ht="20" customHeight="1">
      <x:c r="A7148" s="1" t="str">
        <x:v>85123A</x:v>
      </x:c>
      <x:c r="B7148" s="9" t="d">
        <x:v>2011-06-26T00:00:00.000Z</x:v>
      </x:c>
      <x:c r="C7148" s="13" t="n">
        <x:v>32</x:v>
      </x:c>
    </x:row>
    <x:row r="7149" ht="20" customHeight="1">
      <x:c r="A7149" s="1" t="str">
        <x:v>85123A</x:v>
      </x:c>
      <x:c r="B7149" s="9" t="d">
        <x:v>2011-06-27T00:00:00.000Z</x:v>
      </x:c>
      <x:c r="C7149" s="13" t="n">
        <x:v>66</x:v>
      </x:c>
    </x:row>
    <x:row r="7150" ht="20" customHeight="1">
      <x:c r="A7150" s="1" t="str">
        <x:v>85123A</x:v>
      </x:c>
      <x:c r="B7150" s="9" t="d">
        <x:v>2011-06-28T00:00:00.000Z</x:v>
      </x:c>
      <x:c r="C7150" s="13" t="n">
        <x:v>12</x:v>
      </x:c>
    </x:row>
    <x:row r="7151" ht="20" customHeight="1">
      <x:c r="A7151" s="1" t="str">
        <x:v>85123A</x:v>
      </x:c>
      <x:c r="B7151" s="9" t="d">
        <x:v>2011-06-29T00:00:00.000Z</x:v>
      </x:c>
      <x:c r="C7151" s="13" t="n">
        <x:v>77</x:v>
      </x:c>
    </x:row>
    <x:row r="7152" ht="20" customHeight="1">
      <x:c r="A7152" s="1" t="str">
        <x:v>85123A</x:v>
      </x:c>
      <x:c r="B7152" s="9" t="d">
        <x:v>2011-06-30T00:00:00.000Z</x:v>
      </x:c>
      <x:c r="C7152" s="13" t="n">
        <x:v>46</x:v>
      </x:c>
    </x:row>
    <x:row r="7153" ht="20" customHeight="1">
      <x:c r="A7153" s="1" t="str">
        <x:v>85123A</x:v>
      </x:c>
      <x:c r="B7153" s="9" t="d">
        <x:v>2011-07-01T00:00:00.000Z</x:v>
      </x:c>
      <x:c r="C7153" s="13" t="n">
        <x:v>39</x:v>
      </x:c>
    </x:row>
    <x:row r="7154" ht="20" customHeight="1">
      <x:c r="A7154" s="1" t="str">
        <x:v>85123A</x:v>
      </x:c>
      <x:c r="B7154" s="9" t="d">
        <x:v>2011-07-02T00:00:00.000Z</x:v>
      </x:c>
      <x:c r="C7154" s="13" t="n">
        <x:v>0</x:v>
      </x:c>
    </x:row>
    <x:row r="7155" ht="20" customHeight="1">
      <x:c r="A7155" s="1" t="str">
        <x:v>85123A</x:v>
      </x:c>
      <x:c r="B7155" s="9" t="d">
        <x:v>2011-07-03T00:00:00.000Z</x:v>
      </x:c>
      <x:c r="C7155" s="13" t="n">
        <x:v>18</x:v>
      </x:c>
    </x:row>
    <x:row r="7156" ht="20" customHeight="1">
      <x:c r="A7156" s="1" t="str">
        <x:v>85123A</x:v>
      </x:c>
      <x:c r="B7156" s="9" t="d">
        <x:v>2011-07-04T00:00:00.000Z</x:v>
      </x:c>
      <x:c r="C7156" s="13" t="n">
        <x:v>8</x:v>
      </x:c>
    </x:row>
    <x:row r="7157" ht="20" customHeight="1">
      <x:c r="A7157" s="1" t="str">
        <x:v>85123A</x:v>
      </x:c>
      <x:c r="B7157" s="9" t="d">
        <x:v>2011-07-05T00:00:00.000Z</x:v>
      </x:c>
      <x:c r="C7157" s="13" t="n">
        <x:v>134</x:v>
      </x:c>
    </x:row>
    <x:row r="7158" ht="20" customHeight="1">
      <x:c r="A7158" s="1" t="str">
        <x:v>85123A</x:v>
      </x:c>
      <x:c r="B7158" s="9" t="d">
        <x:v>2011-07-06T00:00:00.000Z</x:v>
      </x:c>
      <x:c r="C7158" s="13" t="n">
        <x:v>5</x:v>
      </x:c>
    </x:row>
    <x:row r="7159" ht="20" customHeight="1">
      <x:c r="A7159" s="1" t="str">
        <x:v>85123A</x:v>
      </x:c>
      <x:c r="B7159" s="9" t="d">
        <x:v>2011-07-07T00:00:00.000Z</x:v>
      </x:c>
      <x:c r="C7159" s="13" t="n">
        <x:v>59</x:v>
      </x:c>
    </x:row>
    <x:row r="7160" ht="20" customHeight="1">
      <x:c r="A7160" s="1" t="str">
        <x:v>85123A</x:v>
      </x:c>
      <x:c r="B7160" s="9" t="d">
        <x:v>2011-07-08T00:00:00.000Z</x:v>
      </x:c>
      <x:c r="C7160" s="13" t="n">
        <x:v>32</x:v>
      </x:c>
    </x:row>
    <x:row r="7161" ht="20" customHeight="1">
      <x:c r="A7161" s="1" t="str">
        <x:v>85123A</x:v>
      </x:c>
      <x:c r="B7161" s="9" t="d">
        <x:v>2011-07-09T00:00:00.000Z</x:v>
      </x:c>
      <x:c r="C7161" s="13" t="n">
        <x:v>0</x:v>
      </x:c>
    </x:row>
    <x:row r="7162" ht="20" customHeight="1">
      <x:c r="A7162" s="1" t="str">
        <x:v>85123A</x:v>
      </x:c>
      <x:c r="B7162" s="9" t="d">
        <x:v>2011-07-10T00:00:00.000Z</x:v>
      </x:c>
      <x:c r="C7162" s="13" t="n">
        <x:v>20</x:v>
      </x:c>
    </x:row>
    <x:row r="7163" ht="20" customHeight="1">
      <x:c r="A7163" s="1" t="str">
        <x:v>85123A</x:v>
      </x:c>
      <x:c r="B7163" s="9" t="d">
        <x:v>2011-07-11T00:00:00.000Z</x:v>
      </x:c>
      <x:c r="C7163" s="13" t="n">
        <x:v>81</x:v>
      </x:c>
    </x:row>
    <x:row r="7164" ht="20" customHeight="1">
      <x:c r="A7164" s="1" t="str">
        <x:v>85123A</x:v>
      </x:c>
      <x:c r="B7164" s="9" t="d">
        <x:v>2011-07-12T00:00:00.000Z</x:v>
      </x:c>
      <x:c r="C7164" s="13" t="n">
        <x:v>786</x:v>
      </x:c>
    </x:row>
    <x:row r="7165" ht="20" customHeight="1">
      <x:c r="A7165" s="1" t="str">
        <x:v>85123A</x:v>
      </x:c>
      <x:c r="B7165" s="9" t="d">
        <x:v>2011-07-13T00:00:00.000Z</x:v>
      </x:c>
      <x:c r="C7165" s="13" t="n">
        <x:v>58</x:v>
      </x:c>
    </x:row>
    <x:row r="7166" ht="20" customHeight="1">
      <x:c r="A7166" s="1" t="str">
        <x:v>85123A</x:v>
      </x:c>
      <x:c r="B7166" s="9" t="d">
        <x:v>2011-07-14T00:00:00.000Z</x:v>
      </x:c>
      <x:c r="C7166" s="13" t="n">
        <x:v>224</x:v>
      </x:c>
    </x:row>
    <x:row r="7167" ht="20" customHeight="1">
      <x:c r="A7167" s="1" t="str">
        <x:v>85123A</x:v>
      </x:c>
      <x:c r="B7167" s="9" t="d">
        <x:v>2011-07-15T00:00:00.000Z</x:v>
      </x:c>
      <x:c r="C7167" s="13" t="n">
        <x:v>23</x:v>
      </x:c>
    </x:row>
    <x:row r="7168" ht="20" customHeight="1">
      <x:c r="A7168" s="1" t="str">
        <x:v>85123A</x:v>
      </x:c>
      <x:c r="B7168" s="9" t="d">
        <x:v>2011-07-16T00:00:00.000Z</x:v>
      </x:c>
      <x:c r="C7168" s="13" t="n">
        <x:v>0</x:v>
      </x:c>
    </x:row>
    <x:row r="7169" ht="20" customHeight="1">
      <x:c r="A7169" s="1" t="str">
        <x:v>85123A</x:v>
      </x:c>
      <x:c r="B7169" s="9" t="d">
        <x:v>2011-07-17T00:00:00.000Z</x:v>
      </x:c>
      <x:c r="C7169" s="13" t="n">
        <x:v>23</x:v>
      </x:c>
    </x:row>
    <x:row r="7170" ht="20" customHeight="1">
      <x:c r="A7170" s="1" t="str">
        <x:v>85123A</x:v>
      </x:c>
      <x:c r="B7170" s="9" t="d">
        <x:v>2011-07-18T00:00:00.000Z</x:v>
      </x:c>
      <x:c r="C7170" s="13" t="n">
        <x:v>113</x:v>
      </x:c>
    </x:row>
    <x:row r="7171" ht="20" customHeight="1">
      <x:c r="A7171" s="1" t="str">
        <x:v>85123A</x:v>
      </x:c>
      <x:c r="B7171" s="9" t="d">
        <x:v>2011-07-19T00:00:00.000Z</x:v>
      </x:c>
      <x:c r="C7171" s="13" t="n">
        <x:v>155</x:v>
      </x:c>
    </x:row>
    <x:row r="7172" ht="20" customHeight="1">
      <x:c r="A7172" s="1" t="str">
        <x:v>85123A</x:v>
      </x:c>
      <x:c r="B7172" s="9" t="d">
        <x:v>2011-07-20T00:00:00.000Z</x:v>
      </x:c>
      <x:c r="C7172" s="13" t="n">
        <x:v>104</x:v>
      </x:c>
    </x:row>
    <x:row r="7173" ht="20" customHeight="1">
      <x:c r="A7173" s="1" t="str">
        <x:v>85123A</x:v>
      </x:c>
      <x:c r="B7173" s="9" t="d">
        <x:v>2011-07-21T00:00:00.000Z</x:v>
      </x:c>
      <x:c r="C7173" s="13" t="n">
        <x:v>52</x:v>
      </x:c>
    </x:row>
    <x:row r="7174" ht="20" customHeight="1">
      <x:c r="A7174" s="1" t="str">
        <x:v>85123A</x:v>
      </x:c>
      <x:c r="B7174" s="9" t="d">
        <x:v>2011-07-22T00:00:00.000Z</x:v>
      </x:c>
      <x:c r="C7174" s="13" t="n">
        <x:v>132</x:v>
      </x:c>
    </x:row>
    <x:row r="7175" ht="20" customHeight="1">
      <x:c r="A7175" s="1" t="str">
        <x:v>85123A</x:v>
      </x:c>
      <x:c r="B7175" s="9" t="d">
        <x:v>2011-07-23T00:00:00.000Z</x:v>
      </x:c>
      <x:c r="C7175" s="13" t="n">
        <x:v>0</x:v>
      </x:c>
    </x:row>
    <x:row r="7176" ht="20" customHeight="1">
      <x:c r="A7176" s="1" t="str">
        <x:v>85123A</x:v>
      </x:c>
      <x:c r="B7176" s="9" t="d">
        <x:v>2011-07-24T00:00:00.000Z</x:v>
      </x:c>
      <x:c r="C7176" s="13" t="n">
        <x:v>160</x:v>
      </x:c>
    </x:row>
    <x:row r="7177" ht="20" customHeight="1">
      <x:c r="A7177" s="1" t="str">
        <x:v>85123A</x:v>
      </x:c>
      <x:c r="B7177" s="9" t="d">
        <x:v>2011-07-25T00:00:00.000Z</x:v>
      </x:c>
      <x:c r="C7177" s="13" t="n">
        <x:v>43</x:v>
      </x:c>
    </x:row>
    <x:row r="7178" ht="20" customHeight="1">
      <x:c r="A7178" s="1" t="str">
        <x:v>85123A</x:v>
      </x:c>
      <x:c r="B7178" s="9" t="d">
        <x:v>2011-07-26T00:00:00.000Z</x:v>
      </x:c>
      <x:c r="C7178" s="13" t="n">
        <x:v>8</x:v>
      </x:c>
    </x:row>
    <x:row r="7179" ht="20" customHeight="1">
      <x:c r="A7179" s="1" t="str">
        <x:v>85123A</x:v>
      </x:c>
      <x:c r="B7179" s="9" t="d">
        <x:v>2011-07-27T00:00:00.000Z</x:v>
      </x:c>
      <x:c r="C7179" s="13" t="n">
        <x:v>58</x:v>
      </x:c>
    </x:row>
    <x:row r="7180" ht="20" customHeight="1">
      <x:c r="A7180" s="1" t="str">
        <x:v>85123A</x:v>
      </x:c>
      <x:c r="B7180" s="9" t="d">
        <x:v>2011-07-28T00:00:00.000Z</x:v>
      </x:c>
      <x:c r="C7180" s="13" t="n">
        <x:v>490</x:v>
      </x:c>
    </x:row>
    <x:row r="7181" ht="20" customHeight="1">
      <x:c r="A7181" s="1" t="str">
        <x:v>85123A</x:v>
      </x:c>
      <x:c r="B7181" s="9" t="d">
        <x:v>2011-07-29T00:00:00.000Z</x:v>
      </x:c>
      <x:c r="C7181" s="13" t="n">
        <x:v>74</x:v>
      </x:c>
    </x:row>
    <x:row r="7182" ht="20" customHeight="1">
      <x:c r="A7182" s="1" t="str">
        <x:v>85123A</x:v>
      </x:c>
      <x:c r="B7182" s="9" t="d">
        <x:v>2011-07-30T00:00:00.000Z</x:v>
      </x:c>
      <x:c r="C7182" s="13" t="n">
        <x:v>0</x:v>
      </x:c>
    </x:row>
    <x:row r="7183" ht="20" customHeight="1">
      <x:c r="A7183" s="1" t="str">
        <x:v>85123A</x:v>
      </x:c>
      <x:c r="B7183" s="9" t="d">
        <x:v>2011-07-31T00:00:00.000Z</x:v>
      </x:c>
      <x:c r="C7183" s="13" t="n">
        <x:v>107</x:v>
      </x:c>
    </x:row>
    <x:row r="7184" ht="20" customHeight="1">
      <x:c r="A7184" s="1" t="str">
        <x:v>85123A</x:v>
      </x:c>
      <x:c r="B7184" s="9" t="d">
        <x:v>2011-08-01T00:00:00.000Z</x:v>
      </x:c>
      <x:c r="C7184" s="13" t="n">
        <x:v>61</x:v>
      </x:c>
    </x:row>
    <x:row r="7185" ht="20" customHeight="1">
      <x:c r="A7185" s="1" t="str">
        <x:v>85123A</x:v>
      </x:c>
      <x:c r="B7185" s="9" t="d">
        <x:v>2011-08-02T00:00:00.000Z</x:v>
      </x:c>
      <x:c r="C7185" s="13" t="n">
        <x:v>32</x:v>
      </x:c>
    </x:row>
    <x:row r="7186" ht="20" customHeight="1">
      <x:c r="A7186" s="1" t="str">
        <x:v>85123A</x:v>
      </x:c>
      <x:c r="B7186" s="9" t="d">
        <x:v>2011-08-03T00:00:00.000Z</x:v>
      </x:c>
      <x:c r="C7186" s="13" t="n">
        <x:v>91</x:v>
      </x:c>
    </x:row>
    <x:row r="7187" ht="20" customHeight="1">
      <x:c r="A7187" s="1" t="str">
        <x:v>85123A</x:v>
      </x:c>
      <x:c r="B7187" s="9" t="d">
        <x:v>2011-08-04T00:00:00.000Z</x:v>
      </x:c>
      <x:c r="C7187" s="13" t="n">
        <x:v>130</x:v>
      </x:c>
    </x:row>
    <x:row r="7188" ht="20" customHeight="1">
      <x:c r="A7188" s="1" t="str">
        <x:v>85123A</x:v>
      </x:c>
      <x:c r="B7188" s="9" t="d">
        <x:v>2011-08-05T00:00:00.000Z</x:v>
      </x:c>
      <x:c r="C7188" s="13" t="n">
        <x:v>38</x:v>
      </x:c>
    </x:row>
    <x:row r="7189" ht="20" customHeight="1">
      <x:c r="A7189" s="1" t="str">
        <x:v>85123A</x:v>
      </x:c>
      <x:c r="B7189" s="9" t="d">
        <x:v>2011-08-06T00:00:00.000Z</x:v>
      </x:c>
      <x:c r="C7189" s="13" t="n">
        <x:v>0</x:v>
      </x:c>
    </x:row>
    <x:row r="7190" ht="20" customHeight="1">
      <x:c r="A7190" s="1" t="str">
        <x:v>85123A</x:v>
      </x:c>
      <x:c r="B7190" s="9" t="d">
        <x:v>2011-08-07T00:00:00.000Z</x:v>
      </x:c>
      <x:c r="C7190" s="13" t="n">
        <x:v>89</x:v>
      </x:c>
    </x:row>
    <x:row r="7191" ht="20" customHeight="1">
      <x:c r="A7191" s="1" t="str">
        <x:v>85123A</x:v>
      </x:c>
      <x:c r="B7191" s="9" t="d">
        <x:v>2011-08-08T00:00:00.000Z</x:v>
      </x:c>
      <x:c r="C7191" s="13" t="n">
        <x:v>73</x:v>
      </x:c>
    </x:row>
    <x:row r="7192" ht="20" customHeight="1">
      <x:c r="A7192" s="1" t="str">
        <x:v>85123A</x:v>
      </x:c>
      <x:c r="B7192" s="9" t="d">
        <x:v>2011-08-09T00:00:00.000Z</x:v>
      </x:c>
      <x:c r="C7192" s="13" t="n">
        <x:v>121</x:v>
      </x:c>
    </x:row>
    <x:row r="7193" ht="20" customHeight="1">
      <x:c r="A7193" s="1" t="str">
        <x:v>85123A</x:v>
      </x:c>
      <x:c r="B7193" s="9" t="d">
        <x:v>2011-08-10T00:00:00.000Z</x:v>
      </x:c>
      <x:c r="C7193" s="13" t="n">
        <x:v>132</x:v>
      </x:c>
    </x:row>
    <x:row r="7194" ht="20" customHeight="1">
      <x:c r="A7194" s="1" t="str">
        <x:v>85123A</x:v>
      </x:c>
      <x:c r="B7194" s="9" t="d">
        <x:v>2011-08-11T00:00:00.000Z</x:v>
      </x:c>
      <x:c r="C7194" s="13" t="n">
        <x:v>60</x:v>
      </x:c>
    </x:row>
    <x:row r="7195" ht="20" customHeight="1">
      <x:c r="A7195" s="1" t="str">
        <x:v>85123A</x:v>
      </x:c>
      <x:c r="B7195" s="9" t="d">
        <x:v>2011-08-12T00:00:00.000Z</x:v>
      </x:c>
      <x:c r="C7195" s="13" t="n">
        <x:v>28</x:v>
      </x:c>
    </x:row>
    <x:row r="7196" ht="20" customHeight="1">
      <x:c r="A7196" s="1" t="str">
        <x:v>85123A</x:v>
      </x:c>
      <x:c r="B7196" s="9" t="d">
        <x:v>2011-08-13T00:00:00.000Z</x:v>
      </x:c>
      <x:c r="C7196" s="13" t="n">
        <x:v>0</x:v>
      </x:c>
    </x:row>
    <x:row r="7197" ht="20" customHeight="1">
      <x:c r="A7197" s="1" t="str">
        <x:v>85123A</x:v>
      </x:c>
      <x:c r="B7197" s="9" t="d">
        <x:v>2011-08-14T00:00:00.000Z</x:v>
      </x:c>
      <x:c r="C7197" s="13" t="n">
        <x:v>52</x:v>
      </x:c>
    </x:row>
    <x:row r="7198" ht="20" customHeight="1">
      <x:c r="A7198" s="1" t="str">
        <x:v>85123A</x:v>
      </x:c>
      <x:c r="B7198" s="9" t="d">
        <x:v>2011-08-15T00:00:00.000Z</x:v>
      </x:c>
      <x:c r="C7198" s="13" t="n">
        <x:v>104</x:v>
      </x:c>
    </x:row>
    <x:row r="7199" ht="20" customHeight="1">
      <x:c r="A7199" s="1" t="str">
        <x:v>85123A</x:v>
      </x:c>
      <x:c r="B7199" s="9" t="d">
        <x:v>2011-08-16T00:00:00.000Z</x:v>
      </x:c>
      <x:c r="C7199" s="13" t="n">
        <x:v>87</x:v>
      </x:c>
    </x:row>
    <x:row r="7200" ht="20" customHeight="1">
      <x:c r="A7200" s="1" t="str">
        <x:v>85123A</x:v>
      </x:c>
      <x:c r="B7200" s="9" t="d">
        <x:v>2011-08-17T00:00:00.000Z</x:v>
      </x:c>
      <x:c r="C7200" s="13" t="n">
        <x:v>69</x:v>
      </x:c>
    </x:row>
    <x:row r="7201" ht="20" customHeight="1">
      <x:c r="A7201" s="1" t="str">
        <x:v>85123A</x:v>
      </x:c>
      <x:c r="B7201" s="9" t="d">
        <x:v>2011-08-18T00:00:00.000Z</x:v>
      </x:c>
      <x:c r="C7201" s="13" t="n">
        <x:v>15</x:v>
      </x:c>
    </x:row>
    <x:row r="7202" ht="20" customHeight="1">
      <x:c r="A7202" s="1" t="str">
        <x:v>85123A</x:v>
      </x:c>
      <x:c r="B7202" s="9" t="d">
        <x:v>2011-08-19T00:00:00.000Z</x:v>
      </x:c>
      <x:c r="C7202" s="13" t="n">
        <x:v>6</x:v>
      </x:c>
    </x:row>
    <x:row r="7203" ht="20" customHeight="1">
      <x:c r="A7203" s="1" t="str">
        <x:v>85123A</x:v>
      </x:c>
      <x:c r="B7203" s="9" t="d">
        <x:v>2011-08-20T00:00:00.000Z</x:v>
      </x:c>
      <x:c r="C7203" s="13" t="n">
        <x:v>0</x:v>
      </x:c>
    </x:row>
    <x:row r="7204" ht="20" customHeight="1">
      <x:c r="A7204" s="1" t="str">
        <x:v>85123A</x:v>
      </x:c>
      <x:c r="B7204" s="9" t="d">
        <x:v>2011-08-21T00:00:00.000Z</x:v>
      </x:c>
      <x:c r="C7204" s="13" t="n">
        <x:v>15</x:v>
      </x:c>
    </x:row>
    <x:row r="7205" ht="20" customHeight="1">
      <x:c r="A7205" s="1" t="str">
        <x:v>85123A</x:v>
      </x:c>
      <x:c r="B7205" s="9" t="d">
        <x:v>2011-08-22T00:00:00.000Z</x:v>
      </x:c>
      <x:c r="C7205" s="13" t="n">
        <x:v>420</x:v>
      </x:c>
    </x:row>
    <x:row r="7206" ht="20" customHeight="1">
      <x:c r="A7206" s="1" t="str">
        <x:v>85123A</x:v>
      </x:c>
      <x:c r="B7206" s="9" t="d">
        <x:v>2011-08-23T00:00:00.000Z</x:v>
      </x:c>
      <x:c r="C7206" s="13" t="n">
        <x:v>122</x:v>
      </x:c>
    </x:row>
    <x:row r="7207" ht="20" customHeight="1">
      <x:c r="A7207" s="1" t="str">
        <x:v>85123A</x:v>
      </x:c>
      <x:c r="B7207" s="9" t="d">
        <x:v>2011-08-24T00:00:00.000Z</x:v>
      </x:c>
      <x:c r="C7207" s="13" t="n">
        <x:v>58</x:v>
      </x:c>
    </x:row>
    <x:row r="7208" ht="20" customHeight="1">
      <x:c r="A7208" s="1" t="str">
        <x:v>85123A</x:v>
      </x:c>
      <x:c r="B7208" s="9" t="d">
        <x:v>2011-08-25T00:00:00.000Z</x:v>
      </x:c>
      <x:c r="C7208" s="13" t="n">
        <x:v>106</x:v>
      </x:c>
    </x:row>
    <x:row r="7209" ht="20" customHeight="1">
      <x:c r="A7209" s="1" t="str">
        <x:v>85123A</x:v>
      </x:c>
      <x:c r="B7209" s="9" t="d">
        <x:v>2011-08-26T00:00:00.000Z</x:v>
      </x:c>
      <x:c r="C7209" s="13" t="n">
        <x:v>24</x:v>
      </x:c>
    </x:row>
    <x:row r="7210" ht="20" customHeight="1">
      <x:c r="A7210" s="1" t="str">
        <x:v>85123A</x:v>
      </x:c>
      <x:c r="B7210" s="9" t="d">
        <x:v>2011-08-27T00:00:00.000Z</x:v>
      </x:c>
      <x:c r="C7210" s="13" t="n">
        <x:v>0</x:v>
      </x:c>
    </x:row>
    <x:row r="7211" ht="20" customHeight="1">
      <x:c r="A7211" s="1" t="str">
        <x:v>85123A</x:v>
      </x:c>
      <x:c r="B7211" s="9" t="d">
        <x:v>2011-08-28T00:00:00.000Z</x:v>
      </x:c>
      <x:c r="C7211" s="13" t="n">
        <x:v>42</x:v>
      </x:c>
    </x:row>
    <x:row r="7212" ht="20" customHeight="1">
      <x:c r="A7212" s="1" t="str">
        <x:v>85123A</x:v>
      </x:c>
      <x:c r="B7212" s="9" t="d">
        <x:v>2011-08-29T00:00:00.000Z</x:v>
      </x:c>
      <x:c r="C7212" s="13" t="n">
        <x:v>0</x:v>
      </x:c>
    </x:row>
    <x:row r="7213" ht="20" customHeight="1">
      <x:c r="A7213" s="1" t="str">
        <x:v>85123A</x:v>
      </x:c>
      <x:c r="B7213" s="9" t="d">
        <x:v>2011-08-30T00:00:00.000Z</x:v>
      </x:c>
      <x:c r="C7213" s="13" t="n">
        <x:v>63</x:v>
      </x:c>
    </x:row>
    <x:row r="7214" ht="20" customHeight="1">
      <x:c r="A7214" s="1" t="str">
        <x:v>85123A</x:v>
      </x:c>
      <x:c r="B7214" s="9" t="d">
        <x:v>2011-08-31T00:00:00.000Z</x:v>
      </x:c>
      <x:c r="C7214" s="13" t="n">
        <x:v>37</x:v>
      </x:c>
    </x:row>
    <x:row r="7215" ht="20" customHeight="1">
      <x:c r="A7215" s="1" t="str">
        <x:v>85123A</x:v>
      </x:c>
      <x:c r="B7215" s="9" t="d">
        <x:v>2011-09-01T00:00:00.000Z</x:v>
      </x:c>
      <x:c r="C7215" s="13" t="n">
        <x:v>112</x:v>
      </x:c>
    </x:row>
    <x:row r="7216" ht="20" customHeight="1">
      <x:c r="A7216" s="1" t="str">
        <x:v>85123A</x:v>
      </x:c>
      <x:c r="B7216" s="9" t="d">
        <x:v>2011-09-02T00:00:00.000Z</x:v>
      </x:c>
      <x:c r="C7216" s="13" t="n">
        <x:v>166</x:v>
      </x:c>
    </x:row>
    <x:row r="7217" ht="20" customHeight="1">
      <x:c r="A7217" s="1" t="str">
        <x:v>85123A</x:v>
      </x:c>
      <x:c r="B7217" s="9" t="d">
        <x:v>2011-09-03T00:00:00.000Z</x:v>
      </x:c>
      <x:c r="C7217" s="13" t="n">
        <x:v>0</x:v>
      </x:c>
    </x:row>
    <x:row r="7218" ht="20" customHeight="1">
      <x:c r="A7218" s="1" t="str">
        <x:v>85123A</x:v>
      </x:c>
      <x:c r="B7218" s="9" t="d">
        <x:v>2011-09-04T00:00:00.000Z</x:v>
      </x:c>
      <x:c r="C7218" s="13" t="n">
        <x:v>16</x:v>
      </x:c>
    </x:row>
    <x:row r="7219" ht="20" customHeight="1">
      <x:c r="A7219" s="1" t="str">
        <x:v>85123A</x:v>
      </x:c>
      <x:c r="B7219" s="9" t="d">
        <x:v>2011-09-05T00:00:00.000Z</x:v>
      </x:c>
      <x:c r="C7219" s="13" t="n">
        <x:v>95</x:v>
      </x:c>
    </x:row>
    <x:row r="7220" ht="20" customHeight="1">
      <x:c r="A7220" s="1" t="str">
        <x:v>85123A</x:v>
      </x:c>
      <x:c r="B7220" s="9" t="d">
        <x:v>2011-09-06T00:00:00.000Z</x:v>
      </x:c>
      <x:c r="C7220" s="13" t="n">
        <x:v>184</x:v>
      </x:c>
    </x:row>
    <x:row r="7221" ht="20" customHeight="1">
      <x:c r="A7221" s="1" t="str">
        <x:v>85123A</x:v>
      </x:c>
      <x:c r="B7221" s="9" t="d">
        <x:v>2011-09-07T00:00:00.000Z</x:v>
      </x:c>
      <x:c r="C7221" s="13" t="n">
        <x:v>16</x:v>
      </x:c>
    </x:row>
    <x:row r="7222" ht="20" customHeight="1">
      <x:c r="A7222" s="1" t="str">
        <x:v>85123A</x:v>
      </x:c>
      <x:c r="B7222" s="9" t="d">
        <x:v>2011-09-08T00:00:00.000Z</x:v>
      </x:c>
      <x:c r="C7222" s="13" t="n">
        <x:v>27</x:v>
      </x:c>
    </x:row>
    <x:row r="7223" ht="20" customHeight="1">
      <x:c r="A7223" s="1" t="str">
        <x:v>85123A</x:v>
      </x:c>
      <x:c r="B7223" s="9" t="d">
        <x:v>2011-09-09T00:00:00.000Z</x:v>
      </x:c>
      <x:c r="C7223" s="13" t="n">
        <x:v>29</x:v>
      </x:c>
    </x:row>
    <x:row r="7224" ht="20" customHeight="1">
      <x:c r="A7224" s="1" t="str">
        <x:v>85123A</x:v>
      </x:c>
      <x:c r="B7224" s="9" t="d">
        <x:v>2011-09-10T00:00:00.000Z</x:v>
      </x:c>
      <x:c r="C7224" s="13" t="n">
        <x:v>0</x:v>
      </x:c>
    </x:row>
    <x:row r="7225" ht="20" customHeight="1">
      <x:c r="A7225" s="1" t="str">
        <x:v>85123A</x:v>
      </x:c>
      <x:c r="B7225" s="9" t="d">
        <x:v>2011-09-11T00:00:00.000Z</x:v>
      </x:c>
      <x:c r="C7225" s="13" t="n">
        <x:v>89</x:v>
      </x:c>
    </x:row>
    <x:row r="7226" ht="20" customHeight="1">
      <x:c r="A7226" s="1" t="str">
        <x:v>85123A</x:v>
      </x:c>
      <x:c r="B7226" s="9" t="d">
        <x:v>2011-09-12T00:00:00.000Z</x:v>
      </x:c>
      <x:c r="C7226" s="13" t="n">
        <x:v>117</x:v>
      </x:c>
    </x:row>
    <x:row r="7227" ht="20" customHeight="1">
      <x:c r="A7227" s="1" t="str">
        <x:v>85123A</x:v>
      </x:c>
      <x:c r="B7227" s="9" t="d">
        <x:v>2011-09-13T00:00:00.000Z</x:v>
      </x:c>
      <x:c r="C7227" s="13" t="n">
        <x:v>131</x:v>
      </x:c>
    </x:row>
    <x:row r="7228" ht="20" customHeight="1">
      <x:c r="A7228" s="1" t="str">
        <x:v>85123A</x:v>
      </x:c>
      <x:c r="B7228" s="9" t="d">
        <x:v>2011-09-14T00:00:00.000Z</x:v>
      </x:c>
      <x:c r="C7228" s="13" t="n">
        <x:v>85</x:v>
      </x:c>
    </x:row>
    <x:row r="7229" ht="20" customHeight="1">
      <x:c r="A7229" s="1" t="str">
        <x:v>85123A</x:v>
      </x:c>
      <x:c r="B7229" s="9" t="d">
        <x:v>2011-09-15T00:00:00.000Z</x:v>
      </x:c>
      <x:c r="C7229" s="13" t="n">
        <x:v>144</x:v>
      </x:c>
    </x:row>
    <x:row r="7230" ht="20" customHeight="1">
      <x:c r="A7230" s="1" t="str">
        <x:v>85123A</x:v>
      </x:c>
      <x:c r="B7230" s="9" t="d">
        <x:v>2011-09-16T00:00:00.000Z</x:v>
      </x:c>
      <x:c r="C7230" s="13" t="n">
        <x:v>100</x:v>
      </x:c>
    </x:row>
    <x:row r="7231" ht="20" customHeight="1">
      <x:c r="A7231" s="1" t="str">
        <x:v>85123A</x:v>
      </x:c>
      <x:c r="B7231" s="9" t="d">
        <x:v>2011-09-17T00:00:00.000Z</x:v>
      </x:c>
      <x:c r="C7231" s="13" t="n">
        <x:v>0</x:v>
      </x:c>
    </x:row>
    <x:row r="7232" ht="20" customHeight="1">
      <x:c r="A7232" s="1" t="str">
        <x:v>85123A</x:v>
      </x:c>
      <x:c r="B7232" s="9" t="d">
        <x:v>2011-09-18T00:00:00.000Z</x:v>
      </x:c>
      <x:c r="C7232" s="13" t="n">
        <x:v>81</x:v>
      </x:c>
    </x:row>
    <x:row r="7233" ht="20" customHeight="1">
      <x:c r="A7233" s="1" t="str">
        <x:v>85123A</x:v>
      </x:c>
      <x:c r="B7233" s="9" t="d">
        <x:v>2011-09-19T00:00:00.000Z</x:v>
      </x:c>
      <x:c r="C7233" s="13" t="n">
        <x:v>42</x:v>
      </x:c>
    </x:row>
    <x:row r="7234" ht="20" customHeight="1">
      <x:c r="A7234" s="1" t="str">
        <x:v>85123A</x:v>
      </x:c>
      <x:c r="B7234" s="9" t="d">
        <x:v>2011-09-20T00:00:00.000Z</x:v>
      </x:c>
      <x:c r="C7234" s="13" t="n">
        <x:v>398</x:v>
      </x:c>
    </x:row>
    <x:row r="7235" ht="20" customHeight="1">
      <x:c r="A7235" s="1" t="str">
        <x:v>85123A</x:v>
      </x:c>
      <x:c r="B7235" s="9" t="d">
        <x:v>2011-09-21T00:00:00.000Z</x:v>
      </x:c>
      <x:c r="C7235" s="13" t="n">
        <x:v>11</x:v>
      </x:c>
    </x:row>
    <x:row r="7236" ht="20" customHeight="1">
      <x:c r="A7236" s="1" t="str">
        <x:v>85123A</x:v>
      </x:c>
      <x:c r="B7236" s="9" t="d">
        <x:v>2011-09-22T00:00:00.000Z</x:v>
      </x:c>
      <x:c r="C7236" s="13" t="n">
        <x:v>58</x:v>
      </x:c>
    </x:row>
    <x:row r="7237" ht="20" customHeight="1">
      <x:c r="A7237" s="1" t="str">
        <x:v>85123A</x:v>
      </x:c>
      <x:c r="B7237" s="9" t="d">
        <x:v>2011-09-23T00:00:00.000Z</x:v>
      </x:c>
      <x:c r="C7237" s="13" t="n">
        <x:v>127</x:v>
      </x:c>
    </x:row>
    <x:row r="7238" ht="20" customHeight="1">
      <x:c r="A7238" s="1" t="str">
        <x:v>85123A</x:v>
      </x:c>
      <x:c r="B7238" s="9" t="d">
        <x:v>2011-09-24T00:00:00.000Z</x:v>
      </x:c>
      <x:c r="C7238" s="13" t="n">
        <x:v>0</x:v>
      </x:c>
    </x:row>
    <x:row r="7239" ht="20" customHeight="1">
      <x:c r="A7239" s="1" t="str">
        <x:v>85123A</x:v>
      </x:c>
      <x:c r="B7239" s="9" t="d">
        <x:v>2011-09-25T00:00:00.000Z</x:v>
      </x:c>
      <x:c r="C7239" s="13" t="n">
        <x:v>69</x:v>
      </x:c>
    </x:row>
    <x:row r="7240" ht="20" customHeight="1">
      <x:c r="A7240" s="1" t="str">
        <x:v>85123A</x:v>
      </x:c>
      <x:c r="B7240" s="9" t="d">
        <x:v>2011-09-26T00:00:00.000Z</x:v>
      </x:c>
      <x:c r="C7240" s="13" t="n">
        <x:v>44</x:v>
      </x:c>
    </x:row>
    <x:row r="7241" ht="20" customHeight="1">
      <x:c r="A7241" s="1" t="str">
        <x:v>85123A</x:v>
      </x:c>
      <x:c r="B7241" s="9" t="d">
        <x:v>2011-09-27T00:00:00.000Z</x:v>
      </x:c>
      <x:c r="C7241" s="13" t="n">
        <x:v>17</x:v>
      </x:c>
    </x:row>
    <x:row r="7242" ht="20" customHeight="1">
      <x:c r="A7242" s="1" t="str">
        <x:v>85123A</x:v>
      </x:c>
      <x:c r="B7242" s="9" t="d">
        <x:v>2011-09-28T00:00:00.000Z</x:v>
      </x:c>
      <x:c r="C7242" s="13" t="n">
        <x:v>125</x:v>
      </x:c>
    </x:row>
    <x:row r="7243" ht="20" customHeight="1">
      <x:c r="A7243" s="1" t="str">
        <x:v>85123A</x:v>
      </x:c>
      <x:c r="B7243" s="9" t="d">
        <x:v>2011-09-29T00:00:00.000Z</x:v>
      </x:c>
      <x:c r="C7243" s="13" t="n">
        <x:v>80</x:v>
      </x:c>
    </x:row>
    <x:row r="7244" ht="20" customHeight="1">
      <x:c r="A7244" s="1" t="str">
        <x:v>85123A</x:v>
      </x:c>
      <x:c r="B7244" s="9" t="d">
        <x:v>2011-09-30T00:00:00.000Z</x:v>
      </x:c>
      <x:c r="C7244" s="13" t="n">
        <x:v>111</x:v>
      </x:c>
    </x:row>
    <x:row r="7245" ht="20" customHeight="1">
      <x:c r="A7245" s="1" t="str">
        <x:v>85123A</x:v>
      </x:c>
      <x:c r="B7245" s="9" t="d">
        <x:v>2011-10-01T00:00:00.000Z</x:v>
      </x:c>
      <x:c r="C7245" s="13" t="n">
        <x:v>0</x:v>
      </x:c>
    </x:row>
    <x:row r="7246" ht="20" customHeight="1">
      <x:c r="A7246" s="1" t="str">
        <x:v>85123A</x:v>
      </x:c>
      <x:c r="B7246" s="9" t="d">
        <x:v>2011-10-02T00:00:00.000Z</x:v>
      </x:c>
      <x:c r="C7246" s="13" t="n">
        <x:v>21</x:v>
      </x:c>
    </x:row>
    <x:row r="7247" ht="20" customHeight="1">
      <x:c r="A7247" s="1" t="str">
        <x:v>85123A</x:v>
      </x:c>
      <x:c r="B7247" s="9" t="d">
        <x:v>2011-10-03T00:00:00.000Z</x:v>
      </x:c>
      <x:c r="C7247" s="13" t="n">
        <x:v>23</x:v>
      </x:c>
    </x:row>
    <x:row r="7248" ht="20" customHeight="1">
      <x:c r="A7248" s="1" t="str">
        <x:v>85123A</x:v>
      </x:c>
      <x:c r="B7248" s="9" t="d">
        <x:v>2011-10-04T00:00:00.000Z</x:v>
      </x:c>
      <x:c r="C7248" s="13" t="n">
        <x:v>19</x:v>
      </x:c>
    </x:row>
    <x:row r="7249" ht="20" customHeight="1">
      <x:c r="A7249" s="1" t="str">
        <x:v>85123A</x:v>
      </x:c>
      <x:c r="B7249" s="9" t="d">
        <x:v>2011-10-05T00:00:00.000Z</x:v>
      </x:c>
      <x:c r="C7249" s="13" t="n">
        <x:v>48</x:v>
      </x:c>
    </x:row>
    <x:row r="7250" ht="20" customHeight="1">
      <x:c r="A7250" s="1" t="str">
        <x:v>85123A</x:v>
      </x:c>
      <x:c r="B7250" s="9" t="d">
        <x:v>2011-10-06T00:00:00.000Z</x:v>
      </x:c>
      <x:c r="C7250" s="13" t="n">
        <x:v>13</x:v>
      </x:c>
    </x:row>
    <x:row r="7251" ht="20" customHeight="1">
      <x:c r="A7251" s="1" t="str">
        <x:v>85123A</x:v>
      </x:c>
      <x:c r="B7251" s="9" t="d">
        <x:v>2011-10-07T00:00:00.000Z</x:v>
      </x:c>
      <x:c r="C7251" s="13" t="n">
        <x:v>34</x:v>
      </x:c>
    </x:row>
    <x:row r="7252" ht="20" customHeight="1">
      <x:c r="A7252" s="1" t="str">
        <x:v>85123A</x:v>
      </x:c>
      <x:c r="B7252" s="9" t="d">
        <x:v>2011-10-08T00:00:00.000Z</x:v>
      </x:c>
      <x:c r="C7252" s="13" t="n">
        <x:v>0</x:v>
      </x:c>
    </x:row>
    <x:row r="7253" ht="20" customHeight="1">
      <x:c r="A7253" s="1" t="str">
        <x:v>85123A</x:v>
      </x:c>
      <x:c r="B7253" s="9" t="d">
        <x:v>2011-10-09T00:00:00.000Z</x:v>
      </x:c>
      <x:c r="C7253" s="13" t="n">
        <x:v>26</x:v>
      </x:c>
    </x:row>
    <x:row r="7254" ht="20" customHeight="1">
      <x:c r="A7254" s="1" t="str">
        <x:v>85123A</x:v>
      </x:c>
      <x:c r="B7254" s="9" t="d">
        <x:v>2011-10-10T00:00:00.000Z</x:v>
      </x:c>
      <x:c r="C7254" s="13" t="n">
        <x:v>123</x:v>
      </x:c>
    </x:row>
    <x:row r="7255" ht="20" customHeight="1">
      <x:c r="A7255" s="1" t="str">
        <x:v>85123A</x:v>
      </x:c>
      <x:c r="B7255" s="9" t="d">
        <x:v>2011-10-11T00:00:00.000Z</x:v>
      </x:c>
      <x:c r="C7255" s="13" t="n">
        <x:v>46</x:v>
      </x:c>
    </x:row>
    <x:row r="7256" ht="20" customHeight="1">
      <x:c r="A7256" s="1" t="str">
        <x:v>85123A</x:v>
      </x:c>
      <x:c r="B7256" s="9" t="d">
        <x:v>2011-10-12T00:00:00.000Z</x:v>
      </x:c>
      <x:c r="C7256" s="13" t="n">
        <x:v>25</x:v>
      </x:c>
    </x:row>
    <x:row r="7257" ht="20" customHeight="1">
      <x:c r="A7257" s="1" t="str">
        <x:v>85123A</x:v>
      </x:c>
      <x:c r="B7257" s="9" t="d">
        <x:v>2011-10-13T00:00:00.000Z</x:v>
      </x:c>
      <x:c r="C7257" s="13" t="n">
        <x:v>243</x:v>
      </x:c>
    </x:row>
    <x:row r="7258" ht="20" customHeight="1">
      <x:c r="A7258" s="1" t="str">
        <x:v>85123A</x:v>
      </x:c>
      <x:c r="B7258" s="9" t="d">
        <x:v>2011-10-14T00:00:00.000Z</x:v>
      </x:c>
      <x:c r="C7258" s="13" t="n">
        <x:v>187</x:v>
      </x:c>
    </x:row>
    <x:row r="7259" ht="20" customHeight="1">
      <x:c r="A7259" s="1" t="str">
        <x:v>85123A</x:v>
      </x:c>
      <x:c r="B7259" s="9" t="d">
        <x:v>2011-10-15T00:00:00.000Z</x:v>
      </x:c>
      <x:c r="C7259" s="13" t="n">
        <x:v>0</x:v>
      </x:c>
    </x:row>
    <x:row r="7260" ht="20" customHeight="1">
      <x:c r="A7260" s="1" t="str">
        <x:v>85123A</x:v>
      </x:c>
      <x:c r="B7260" s="9" t="d">
        <x:v>2011-10-16T00:00:00.000Z</x:v>
      </x:c>
      <x:c r="C7260" s="13" t="n">
        <x:v>55</x:v>
      </x:c>
    </x:row>
    <x:row r="7261" ht="20" customHeight="1">
      <x:c r="A7261" s="1" t="str">
        <x:v>85123A</x:v>
      </x:c>
      <x:c r="B7261" s="9" t="d">
        <x:v>2011-10-17T00:00:00.000Z</x:v>
      </x:c>
      <x:c r="C7261" s="13" t="n">
        <x:v>69</x:v>
      </x:c>
    </x:row>
    <x:row r="7262" ht="20" customHeight="1">
      <x:c r="A7262" s="1" t="str">
        <x:v>85123A</x:v>
      </x:c>
      <x:c r="B7262" s="9" t="d">
        <x:v>2011-10-18T00:00:00.000Z</x:v>
      </x:c>
      <x:c r="C7262" s="13" t="n">
        <x:v>21</x:v>
      </x:c>
    </x:row>
    <x:row r="7263" ht="20" customHeight="1">
      <x:c r="A7263" s="1" t="str">
        <x:v>85123A</x:v>
      </x:c>
      <x:c r="B7263" s="9" t="d">
        <x:v>2011-10-19T00:00:00.000Z</x:v>
      </x:c>
      <x:c r="C7263" s="13" t="n">
        <x:v>39</x:v>
      </x:c>
    </x:row>
    <x:row r="7264" ht="20" customHeight="1">
      <x:c r="A7264" s="1" t="str">
        <x:v>85123A</x:v>
      </x:c>
      <x:c r="B7264" s="9" t="d">
        <x:v>2011-10-20T00:00:00.000Z</x:v>
      </x:c>
      <x:c r="C7264" s="13" t="n">
        <x:v>26</x:v>
      </x:c>
    </x:row>
    <x:row r="7265" ht="20" customHeight="1">
      <x:c r="A7265" s="1" t="str">
        <x:v>85123A</x:v>
      </x:c>
      <x:c r="B7265" s="9" t="d">
        <x:v>2011-10-21T00:00:00.000Z</x:v>
      </x:c>
      <x:c r="C7265" s="13" t="n">
        <x:v>13</x:v>
      </x:c>
    </x:row>
    <x:row r="7266" ht="20" customHeight="1">
      <x:c r="A7266" s="1" t="str">
        <x:v>85123A</x:v>
      </x:c>
      <x:c r="B7266" s="9" t="d">
        <x:v>2011-10-22T00:00:00.000Z</x:v>
      </x:c>
      <x:c r="C7266" s="13" t="n">
        <x:v>0</x:v>
      </x:c>
    </x:row>
    <x:row r="7267" ht="20" customHeight="1">
      <x:c r="A7267" s="1" t="str">
        <x:v>85123A</x:v>
      </x:c>
      <x:c r="B7267" s="9" t="d">
        <x:v>2011-10-23T00:00:00.000Z</x:v>
      </x:c>
      <x:c r="C7267" s="13" t="n">
        <x:v>63</x:v>
      </x:c>
    </x:row>
    <x:row r="7268" ht="20" customHeight="1">
      <x:c r="A7268" s="1" t="str">
        <x:v>85123A</x:v>
      </x:c>
      <x:c r="B7268" s="9" t="d">
        <x:v>2011-10-24T00:00:00.000Z</x:v>
      </x:c>
      <x:c r="C7268" s="13" t="n">
        <x:v>76</x:v>
      </x:c>
    </x:row>
    <x:row r="7269" ht="20" customHeight="1">
      <x:c r="A7269" s="1" t="str">
        <x:v>85123A</x:v>
      </x:c>
      <x:c r="B7269" s="9" t="d">
        <x:v>2011-10-25T00:00:00.000Z</x:v>
      </x:c>
      <x:c r="C7269" s="13" t="n">
        <x:v>16</x:v>
      </x:c>
    </x:row>
    <x:row r="7270" ht="20" customHeight="1">
      <x:c r="A7270" s="1" t="str">
        <x:v>85123A</x:v>
      </x:c>
      <x:c r="B7270" s="9" t="d">
        <x:v>2011-10-26T00:00:00.000Z</x:v>
      </x:c>
      <x:c r="C7270" s="13" t="n">
        <x:v>17</x:v>
      </x:c>
    </x:row>
    <x:row r="7271" ht="20" customHeight="1">
      <x:c r="A7271" s="1" t="str">
        <x:v>85123A</x:v>
      </x:c>
      <x:c r="B7271" s="9" t="d">
        <x:v>2011-10-27T00:00:00.000Z</x:v>
      </x:c>
      <x:c r="C7271" s="13" t="n">
        <x:v>117</x:v>
      </x:c>
    </x:row>
    <x:row r="7272" ht="20" customHeight="1">
      <x:c r="A7272" s="1" t="str">
        <x:v>85123A</x:v>
      </x:c>
      <x:c r="B7272" s="9" t="d">
        <x:v>2011-10-28T00:00:00.000Z</x:v>
      </x:c>
      <x:c r="C7272" s="13" t="n">
        <x:v>90</x:v>
      </x:c>
    </x:row>
    <x:row r="7273" ht="20" customHeight="1">
      <x:c r="A7273" s="1" t="str">
        <x:v>85123A</x:v>
      </x:c>
      <x:c r="B7273" s="9" t="d">
        <x:v>2011-10-29T00:00:00.000Z</x:v>
      </x:c>
      <x:c r="C7273" s="13" t="n">
        <x:v>0</x:v>
      </x:c>
    </x:row>
    <x:row r="7274" ht="20" customHeight="1">
      <x:c r="A7274" s="1" t="str">
        <x:v>85123A</x:v>
      </x:c>
      <x:c r="B7274" s="9" t="d">
        <x:v>2011-10-30T00:00:00.000Z</x:v>
      </x:c>
      <x:c r="C7274" s="13" t="n">
        <x:v>128</x:v>
      </x:c>
    </x:row>
    <x:row r="7275" ht="20" customHeight="1">
      <x:c r="A7275" s="1" t="str">
        <x:v>85123A</x:v>
      </x:c>
      <x:c r="B7275" s="9" t="d">
        <x:v>2011-10-31T00:00:00.000Z</x:v>
      </x:c>
      <x:c r="C7275" s="13" t="n">
        <x:v>147</x:v>
      </x:c>
    </x:row>
    <x:row r="7276" ht="20" customHeight="1">
      <x:c r="A7276" s="1" t="str">
        <x:v>85123A</x:v>
      </x:c>
      <x:c r="B7276" s="9" t="d">
        <x:v>2011-11-01T00:00:00.000Z</x:v>
      </x:c>
      <x:c r="C7276" s="13" t="n">
        <x:v>39</x:v>
      </x:c>
    </x:row>
    <x:row r="7277" ht="20" customHeight="1">
      <x:c r="A7277" s="1" t="str">
        <x:v>85123A</x:v>
      </x:c>
      <x:c r="B7277" s="9" t="d">
        <x:v>2011-11-02T00:00:00.000Z</x:v>
      </x:c>
      <x:c r="C7277" s="13" t="n">
        <x:v>80</x:v>
      </x:c>
    </x:row>
    <x:row r="7278" ht="20" customHeight="1">
      <x:c r="A7278" s="1" t="str">
        <x:v>85123A</x:v>
      </x:c>
      <x:c r="B7278" s="9" t="d">
        <x:v>2011-11-03T00:00:00.000Z</x:v>
      </x:c>
      <x:c r="C7278" s="13" t="n">
        <x:v>1265</x:v>
      </x:c>
    </x:row>
    <x:row r="7279" ht="20" customHeight="1">
      <x:c r="A7279" s="1" t="str">
        <x:v>85123A</x:v>
      </x:c>
      <x:c r="B7279" s="9" t="d">
        <x:v>2011-11-04T00:00:00.000Z</x:v>
      </x:c>
      <x:c r="C7279" s="13" t="n">
        <x:v>85</x:v>
      </x:c>
    </x:row>
    <x:row r="7280" ht="20" customHeight="1">
      <x:c r="A7280" s="1" t="str">
        <x:v>85123A</x:v>
      </x:c>
      <x:c r="B7280" s="9" t="d">
        <x:v>2011-11-05T00:00:00.000Z</x:v>
      </x:c>
      <x:c r="C7280" s="13" t="n">
        <x:v>0</x:v>
      </x:c>
    </x:row>
    <x:row r="7281" ht="20" customHeight="1">
      <x:c r="A7281" s="1" t="str">
        <x:v>85123A</x:v>
      </x:c>
      <x:c r="B7281" s="9" t="d">
        <x:v>2011-11-06T00:00:00.000Z</x:v>
      </x:c>
      <x:c r="C7281" s="13" t="n">
        <x:v>86</x:v>
      </x:c>
    </x:row>
    <x:row r="7282" ht="20" customHeight="1">
      <x:c r="A7282" s="1" t="str">
        <x:v>85123A</x:v>
      </x:c>
      <x:c r="B7282" s="9" t="d">
        <x:v>2011-11-07T00:00:00.000Z</x:v>
      </x:c>
      <x:c r="C7282" s="13" t="n">
        <x:v>95</x:v>
      </x:c>
    </x:row>
    <x:row r="7283" ht="20" customHeight="1">
      <x:c r="A7283" s="1" t="str">
        <x:v>85123A</x:v>
      </x:c>
      <x:c r="B7283" s="9" t="d">
        <x:v>2011-11-08T00:00:00.000Z</x:v>
      </x:c>
      <x:c r="C7283" s="13" t="n">
        <x:v>97</x:v>
      </x:c>
    </x:row>
    <x:row r="7284" ht="20" customHeight="1">
      <x:c r="A7284" s="1" t="str">
        <x:v>85123A</x:v>
      </x:c>
      <x:c r="B7284" s="9" t="d">
        <x:v>2011-11-09T00:00:00.000Z</x:v>
      </x:c>
      <x:c r="C7284" s="13" t="n">
        <x:v>113</x:v>
      </x:c>
    </x:row>
    <x:row r="7285" ht="20" customHeight="1">
      <x:c r="A7285" s="1" t="str">
        <x:v>85123A</x:v>
      </x:c>
      <x:c r="B7285" s="9" t="d">
        <x:v>2011-11-10T00:00:00.000Z</x:v>
      </x:c>
      <x:c r="C7285" s="13" t="n">
        <x:v>71</x:v>
      </x:c>
    </x:row>
    <x:row r="7286" ht="20" customHeight="1">
      <x:c r="A7286" s="1" t="str">
        <x:v>85123A</x:v>
      </x:c>
      <x:c r="B7286" s="9" t="d">
        <x:v>2011-11-11T00:00:00.000Z</x:v>
      </x:c>
      <x:c r="C7286" s="13" t="n">
        <x:v>134</x:v>
      </x:c>
    </x:row>
    <x:row r="7287" ht="20" customHeight="1">
      <x:c r="A7287" s="1" t="str">
        <x:v>85123A</x:v>
      </x:c>
      <x:c r="B7287" s="9" t="d">
        <x:v>2011-11-12T00:00:00.000Z</x:v>
      </x:c>
      <x:c r="C7287" s="13" t="n">
        <x:v>0</x:v>
      </x:c>
    </x:row>
    <x:row r="7288" ht="20" customHeight="1">
      <x:c r="A7288" s="1" t="str">
        <x:v>85123A</x:v>
      </x:c>
      <x:c r="B7288" s="9" t="d">
        <x:v>2011-11-13T00:00:00.000Z</x:v>
      </x:c>
      <x:c r="C7288" s="13" t="n">
        <x:v>65</x:v>
      </x:c>
    </x:row>
    <x:row r="7289" ht="20" customHeight="1">
      <x:c r="A7289" s="1" t="str">
        <x:v>85123A</x:v>
      </x:c>
      <x:c r="B7289" s="9" t="d">
        <x:v>2011-11-14T00:00:00.000Z</x:v>
      </x:c>
      <x:c r="C7289" s="13" t="n">
        <x:v>380</x:v>
      </x:c>
    </x:row>
    <x:row r="7290" ht="20" customHeight="1">
      <x:c r="A7290" s="1" t="str">
        <x:v>85123A</x:v>
      </x:c>
      <x:c r="B7290" s="9" t="d">
        <x:v>2011-11-15T00:00:00.000Z</x:v>
      </x:c>
      <x:c r="C7290" s="13" t="n">
        <x:v>457</x:v>
      </x:c>
    </x:row>
    <x:row r="7291" ht="20" customHeight="1">
      <x:c r="A7291" s="1" t="str">
        <x:v>85123A</x:v>
      </x:c>
      <x:c r="B7291" s="9" t="d">
        <x:v>2011-11-16T00:00:00.000Z</x:v>
      </x:c>
      <x:c r="C7291" s="13" t="n">
        <x:v>157</x:v>
      </x:c>
    </x:row>
    <x:row r="7292" ht="20" customHeight="1">
      <x:c r="A7292" s="1" t="str">
        <x:v>85123A</x:v>
      </x:c>
      <x:c r="B7292" s="9" t="d">
        <x:v>2011-11-17T00:00:00.000Z</x:v>
      </x:c>
      <x:c r="C7292" s="13" t="n">
        <x:v>102</x:v>
      </x:c>
    </x:row>
    <x:row r="7293" ht="20" customHeight="1">
      <x:c r="A7293" s="1" t="str">
        <x:v>85123A</x:v>
      </x:c>
      <x:c r="B7293" s="9" t="d">
        <x:v>2011-11-18T00:00:00.000Z</x:v>
      </x:c>
      <x:c r="C7293" s="13" t="n">
        <x:v>125</x:v>
      </x:c>
    </x:row>
    <x:row r="7294" ht="20" customHeight="1">
      <x:c r="A7294" s="1" t="str">
        <x:v>85123A</x:v>
      </x:c>
      <x:c r="B7294" s="9" t="d">
        <x:v>2011-11-19T00:00:00.000Z</x:v>
      </x:c>
      <x:c r="C7294" s="13" t="n">
        <x:v>0</x:v>
      </x:c>
    </x:row>
    <x:row r="7295" ht="20" customHeight="1">
      <x:c r="A7295" s="1" t="str">
        <x:v>85123A</x:v>
      </x:c>
      <x:c r="B7295" s="9" t="d">
        <x:v>2011-11-20T00:00:00.000Z</x:v>
      </x:c>
      <x:c r="C7295" s="13" t="n">
        <x:v>101</x:v>
      </x:c>
    </x:row>
    <x:row r="7296" ht="20" customHeight="1">
      <x:c r="A7296" s="1" t="str">
        <x:v>85123A</x:v>
      </x:c>
      <x:c r="B7296" s="9" t="d">
        <x:v>2011-11-21T00:00:00.000Z</x:v>
      </x:c>
      <x:c r="C7296" s="13" t="n">
        <x:v>36</x:v>
      </x:c>
    </x:row>
    <x:row r="7297" ht="20" customHeight="1">
      <x:c r="A7297" s="1" t="str">
        <x:v>85123A</x:v>
      </x:c>
      <x:c r="B7297" s="9" t="d">
        <x:v>2011-11-22T00:00:00.000Z</x:v>
      </x:c>
      <x:c r="C7297" s="13" t="n">
        <x:v>253</x:v>
      </x:c>
    </x:row>
    <x:row r="7298" ht="20" customHeight="1">
      <x:c r="A7298" s="1" t="str">
        <x:v>85123A</x:v>
      </x:c>
      <x:c r="B7298" s="9" t="d">
        <x:v>2011-11-23T00:00:00.000Z</x:v>
      </x:c>
      <x:c r="C7298" s="13" t="n">
        <x:v>247</x:v>
      </x:c>
    </x:row>
    <x:row r="7299" ht="20" customHeight="1">
      <x:c r="A7299" s="1" t="str">
        <x:v>85123A</x:v>
      </x:c>
      <x:c r="B7299" s="9" t="d">
        <x:v>2011-11-24T00:00:00.000Z</x:v>
      </x:c>
      <x:c r="C7299" s="13" t="n">
        <x:v>131</x:v>
      </x:c>
    </x:row>
    <x:row r="7300" ht="20" customHeight="1">
      <x:c r="A7300" s="1" t="str">
        <x:v>85123A</x:v>
      </x:c>
      <x:c r="B7300" s="9" t="d">
        <x:v>2011-11-25T00:00:00.000Z</x:v>
      </x:c>
      <x:c r="C7300" s="13" t="n">
        <x:v>222</x:v>
      </x:c>
    </x:row>
    <x:row r="7301" ht="20" customHeight="1">
      <x:c r="A7301" s="1" t="str">
        <x:v>85123A</x:v>
      </x:c>
      <x:c r="B7301" s="9" t="d">
        <x:v>2011-11-26T00:00:00.000Z</x:v>
      </x:c>
      <x:c r="C7301" s="13" t="n">
        <x:v>0</x:v>
      </x:c>
    </x:row>
    <x:row r="7302" ht="20" customHeight="1">
      <x:c r="A7302" s="1" t="str">
        <x:v>85123A</x:v>
      </x:c>
      <x:c r="B7302" s="9" t="d">
        <x:v>2011-11-27T00:00:00.000Z</x:v>
      </x:c>
      <x:c r="C7302" s="13" t="n">
        <x:v>8</x:v>
      </x:c>
    </x:row>
    <x:row r="7303" ht="20" customHeight="1">
      <x:c r="A7303" s="1" t="str">
        <x:v>85123A</x:v>
      </x:c>
      <x:c r="B7303" s="9" t="d">
        <x:v>2011-11-28T00:00:00.000Z</x:v>
      </x:c>
      <x:c r="C7303" s="13" t="n">
        <x:v>133</x:v>
      </x:c>
    </x:row>
    <x:row r="7304" ht="20" customHeight="1">
      <x:c r="A7304" s="1" t="str">
        <x:v>85123A</x:v>
      </x:c>
      <x:c r="B7304" s="9" t="d">
        <x:v>2011-11-29T00:00:00.000Z</x:v>
      </x:c>
      <x:c r="C7304" s="13" t="n">
        <x:v>115</x:v>
      </x:c>
    </x:row>
    <x:row r="7305" ht="20" customHeight="1">
      <x:c r="A7305" s="1" t="str">
        <x:v>85123A</x:v>
      </x:c>
      <x:c r="B7305" s="9" t="d">
        <x:v>2011-11-30T00:00:00.000Z</x:v>
      </x:c>
      <x:c r="C7305" s="13" t="n">
        <x:v>311</x:v>
      </x:c>
    </x:row>
  </x:sheetData>
  <x:pageMargins left="0.7" right="0.7" top="0.75" bottom="0.75" header="0.3" footer="0.3"/>
  <x:tableParts count="1">
    <x:tablePart xmlns:r="http://schemas.openxmlformats.org/officeDocument/2006/relationships" r:id="R5a68f7474106442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KPI Validation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kpi</x:v>
      </x:c>
      <x:c r="B5" s="8" t="str">
        <x:v>reference</x:v>
      </x:c>
      <x:c r="C5" s="8" t="str">
        <x:v>duckdb_sql</x:v>
      </x:c>
      <x:c r="D5" s="8" t="str">
        <x:v>difference</x:v>
      </x:c>
      <x:c r="E5" s="8" t="str">
        <x:v>passed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total_demand</x:v>
      </x:c>
      <x:c r="B6" s="10" t="n">
        <x:v>350997</x:v>
      </x:c>
      <x:c r="C6" s="10" t="n">
        <x:v>350997</x:v>
      </x:c>
      <x:c r="D6" s="10" t="n">
        <x:f>C6-B6</x:f>
        <x:v>0</x:v>
      </x:c>
      <x:c r="E6" s="1" t="b">
        <x:f>ABS(D6)&lt;0.000001</x:f>
        <x:v>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weekly_demand</x:v>
      </x:c>
      <x:c r="B7" s="10" t="n">
        <x:v>350997</x:v>
      </x:c>
      <x:c r="C7" s="10" t="n">
        <x:v>350997</x:v>
      </x:c>
      <x:c r="D7" s="10" t="n">
        <x:f>C7-B7</x:f>
        <x:v>0</x:v>
      </x:c>
      <x:c r="E7" s="1" t="b">
        <x:f>ABS(D7)&lt;0.000001</x:f>
        <x:v>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product_count</x:v>
      </x:c>
      <x:c r="B8" s="10" t="n">
        <x:v>20</x:v>
      </x:c>
      <x:c r="C8" s="10" t="n">
        <x:v>20</x:v>
      </x:c>
      <x:c r="D8" s="10" t="n">
        <x:f>C8-B8</x:f>
        <x:v>0</x:v>
      </x:c>
      <x:c r="E8" s="1" t="b">
        <x:f>ABS(D8)&lt;0.000001</x:f>
        <x:v>1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risk_count</x:v>
      </x:c>
      <x:c r="B9" s="10" t="n">
        <x:v>8</x:v>
      </x:c>
      <x:c r="C9" s="10" t="n">
        <x:v>8</x:v>
      </x:c>
      <x:c r="D9" s="10" t="n">
        <x:f>C9-B9</x:f>
        <x:v>0</x:v>
      </x:c>
      <x:c r="E9" s="1" t="b">
        <x:f>ABS(D9)&lt;0.000001</x:f>
        <x:v>1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overstock_count</x:v>
      </x:c>
      <x:c r="B10" s="10" t="n">
        <x:v>4</x:v>
      </x:c>
      <x:c r="C10" s="10" t="n">
        <x:v>4</x:v>
      </x:c>
      <x:c r="D10" s="10" t="n">
        <x:f>C10-B10</x:f>
        <x:v>0</x:v>
      </x:c>
      <x:c r="E10" s="1" t="b">
        <x:f>ABS(D10)&lt;0.000001</x:f>
        <x:v>1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reorder_points</x:v>
      </x:c>
      <x:c r="B11" s="10" t="n">
        <x:v>32200.7024531258</x:v>
      </x:c>
      <x:c r="C11" s="10" t="n">
        <x:v>32200.7024531258</x:v>
      </x:c>
      <x:c r="D11" s="10" t="n">
        <x:f>C11-B11</x:f>
        <x:v>0</x:v>
      </x:c>
      <x:c r="E11" s="1" t="b">
        <x:f>ABS(D11)&lt;0.000001</x:f>
        <x:v>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days_cover</x:v>
      </x:c>
      <x:c r="B12" s="10" t="n">
        <x:v>34.8567633233</x:v>
      </x:c>
      <x:c r="C12" s="10" t="n">
        <x:v>34.8567633233</x:v>
      </x:c>
      <x:c r="D12" s="10" t="n">
        <x:f>C12-B12</x:f>
        <x:v>0</x:v>
      </x:c>
      <x:c r="E12" s="1" t="b">
        <x:f>ABS(D12)&lt;0.000001</x:f>
        <x:v>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capacity_utilization</x:v>
      </x:c>
      <x:c r="B13" s="10" t="n">
        <x:v>0.7964564139</x:v>
      </x:c>
      <x:c r="C13" s="10" t="n">
        <x:v>0.7964564139</x:v>
      </x:c>
      <x:c r="D13" s="10" t="n">
        <x:f>C13-B13</x:f>
        <x:v>0</x:v>
      </x:c>
      <x:c r="E13" s="1" t="b">
        <x:f>ABS(D13)&lt;0.000001</x:f>
        <x:v>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naive_wape</x:v>
      </x:c>
      <x:c r="B14" s="10" t="n">
        <x:v>0.9253285151</x:v>
      </x:c>
      <x:c r="C14" s="10" t="n">
        <x:v>0.9253285151</x:v>
      </x:c>
      <x:c r="D14" s="10" t="n">
        <x:f>C14-B14</x:f>
        <x:v>0</x:v>
      </x:c>
      <x:c r="E14" s="1" t="b">
        <x:f>ABS(D14)&lt;0.000001</x:f>
        <x:v>1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naive_bias</x:v>
      </x:c>
      <x:c r="B15" s="10" t="n">
        <x:v>-0.1187910644</x:v>
      </x:c>
      <x:c r="C15" s="10" t="n">
        <x:v>-0.1187910644</x:v>
      </x:c>
      <x:c r="D15" s="10" t="n">
        <x:f>C15-B15</x:f>
        <x:v>0</x:v>
      </x:c>
      <x:c r="E15" s="1" t="b">
        <x:f>ABS(D15)&lt;0.000001</x:f>
        <x:v>1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seasonal_naive_wape</x:v>
      </x:c>
      <x:c r="B16" s="10" t="n">
        <x:v>0.9906044678</x:v>
      </x:c>
      <x:c r="C16" s="10" t="n">
        <x:v>0.9906044678</x:v>
      </x:c>
      <x:c r="D16" s="10" t="n">
        <x:f>C16-B16</x:f>
        <x:v>0</x:v>
      </x:c>
      <x:c r="E16" s="1" t="b">
        <x:f>ABS(D16)&lt;0.000001</x:f>
        <x:v>1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seasonal_naive_bias</x:v>
      </x:c>
      <x:c r="B17" s="10" t="n">
        <x:v>-0.0947109067</x:v>
      </x:c>
      <x:c r="C17" s="10" t="n">
        <x:v>-0.0947109067</x:v>
      </x:c>
      <x:c r="D17" s="10" t="n">
        <x:f>C17-B17</x:f>
        <x:v>0</x:v>
      </x:c>
      <x:c r="E17" s="1" t="b">
        <x:f>ABS(D17)&lt;0.000001</x:f>
        <x:v>1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ridge_wape</x:v>
      </x:c>
      <x:c r="B18" s="10" t="n">
        <x:v>0.7664293898</x:v>
      </x:c>
      <x:c r="C18" s="10" t="n">
        <x:v>0.7664293898</x:v>
      </x:c>
      <x:c r="D18" s="10" t="n">
        <x:f>C18-B18</x:f>
        <x:v>0</x:v>
      </x:c>
      <x:c r="E18" s="1" t="b">
        <x:f>ABS(D18)&lt;0.000001</x:f>
        <x:v>1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ridge_bias</x:v>
      </x:c>
      <x:c r="B19" s="10" t="n">
        <x:v>-0.3154998462</x:v>
      </x:c>
      <x:c r="C19" s="10" t="n">
        <x:v>-0.3154998462</x:v>
      </x:c>
      <x:c r="D19" s="10" t="n">
        <x:f>C19-B19</x:f>
        <x:v>0</x:v>
      </x:c>
      <x:c r="E19" s="1" t="b">
        <x:f>ABS(D19)&lt;0.000001</x:f>
        <x:v>1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conditionalFormatting sqref="E6:E19">
    <x:cfRule type="cellIs" dxfId="2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6b1bf11f04451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18" hidden="0" customWidth="1"/>
    <x:col min="5" max="5" width="18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Data Dictionary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Generated from the executed SupplySight pipeline. See docs for definitions.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8" t="str">
        <x:v>dataset</x:v>
      </x:c>
      <x:c r="B5" s="8" t="str">
        <x:v>grain</x:v>
      </x:c>
      <x:c r="C5" s="8" t="str">
        <x:v>column</x:v>
      </x:c>
      <x:c r="D5" s="8" t="str">
        <x:v>type</x:v>
      </x:c>
      <x:c r="E5" s="8" t="str">
        <x:v>nullable_in_run</x:v>
      </x:c>
      <x:c r="F5" s="8" t="str">
        <x:v>lineage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product_master</x:v>
      </x:c>
      <x:c r="B6" s="1" t="str">
        <x:v>one row/product</x:v>
      </x:c>
      <x:c r="C6" s="1" t="str">
        <x:v>product_id</x:v>
      </x:c>
      <x:c r="D6" s="1" t="str">
        <x:v>object</x:v>
      </x:c>
      <x:c r="E6" s="4" t="b">
        <x:v>0</x:v>
      </x:c>
      <x:c r="F6" s="1" t="str">
        <x:v>accepted UCI sales → daily totals → derived analytics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product_master</x:v>
      </x:c>
      <x:c r="B7" s="1" t="str">
        <x:v>one row/product</x:v>
      </x:c>
      <x:c r="C7" s="1" t="str">
        <x:v>description</x:v>
      </x:c>
      <x:c r="D7" s="1" t="str">
        <x:v>object</x:v>
      </x:c>
      <x:c r="E7" s="4" t="b">
        <x:v>0</x:v>
      </x:c>
      <x:c r="F7" s="1" t="str">
        <x:v>accepted UCI sales → daily totals → derived analytics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 t="str">
        <x:v>daily_demand</x:v>
      </x:c>
      <x:c r="B8" s="1" t="str">
        <x:v>product/day</x:v>
      </x:c>
      <x:c r="C8" s="1" t="str">
        <x:v>product_id</x:v>
      </x:c>
      <x:c r="D8" s="1" t="str">
        <x:v>object</x:v>
      </x:c>
      <x:c r="E8" s="4" t="b">
        <x:v>0</x:v>
      </x:c>
      <x:c r="F8" s="1" t="str">
        <x:v>accepted UCI sales → daily totals → derived analytics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 t="str">
        <x:v>daily_demand</x:v>
      </x:c>
      <x:c r="B9" s="1" t="str">
        <x:v>product/day</x:v>
      </x:c>
      <x:c r="C9" s="1" t="str">
        <x:v>date</x:v>
      </x:c>
      <x:c r="D9" s="1" t="str">
        <x:v>datetime64[ns]</x:v>
      </x:c>
      <x:c r="E9" s="4" t="b">
        <x:v>0</x:v>
      </x:c>
      <x:c r="F9" s="1" t="str">
        <x:v>accepted UCI sales → daily totals → derived analytics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 t="str">
        <x:v>daily_demand</x:v>
      </x:c>
      <x:c r="B10" s="1" t="str">
        <x:v>product/day</x:v>
      </x:c>
      <x:c r="C10" s="1" t="str">
        <x:v>units</x:v>
      </x:c>
      <x:c r="D10" s="1" t="str">
        <x:v>float64</x:v>
      </x:c>
      <x:c r="E10" s="4" t="b">
        <x:v>0</x:v>
      </x:c>
      <x:c r="F10" s="1" t="str">
        <x:v>accepted UCI sales → daily totals → derived analytics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1" t="str">
        <x:v>daily_demand</x:v>
      </x:c>
      <x:c r="B11" s="1" t="str">
        <x:v>product/day</x:v>
      </x:c>
      <x:c r="C11" s="1" t="str">
        <x:v>observed_or_assumed_zero</x:v>
      </x:c>
      <x:c r="D11" s="1" t="str">
        <x:v>object</x:v>
      </x:c>
      <x:c r="E11" s="4" t="b">
        <x:v>0</x:v>
      </x:c>
      <x:c r="F11" s="1" t="str">
        <x:v>accepted UCI sales → daily totals → derived analytics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0" customHeight="1">
      <x:c r="A12" s="1" t="str">
        <x:v>weekly_demand</x:v>
      </x:c>
      <x:c r="B12" s="1" t="str">
        <x:v>product/week (edge weeks partial)</x:v>
      </x:c>
      <x:c r="C12" s="1" t="str">
        <x:v>product_id</x:v>
      </x:c>
      <x:c r="D12" s="1" t="str">
        <x:v>object</x:v>
      </x:c>
      <x:c r="E12" s="4" t="b">
        <x:v>0</x:v>
      </x:c>
      <x:c r="F12" s="1" t="str">
        <x:v>accepted UCI sales → daily totals → derived analytics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1" t="str">
        <x:v>weekly_demand</x:v>
      </x:c>
      <x:c r="B13" s="1" t="str">
        <x:v>product/week (edge weeks partial)</x:v>
      </x:c>
      <x:c r="C13" s="1" t="str">
        <x:v>week</x:v>
      </x:c>
      <x:c r="D13" s="1" t="str">
        <x:v>object</x:v>
      </x:c>
      <x:c r="E13" s="4" t="b">
        <x:v>0</x:v>
      </x:c>
      <x:c r="F13" s="1" t="str">
        <x:v>accepted UCI sales → daily totals → derived analytics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0" customHeight="1">
      <x:c r="A14" s="1" t="str">
        <x:v>weekly_demand</x:v>
      </x:c>
      <x:c r="B14" s="1" t="str">
        <x:v>product/week (edge weeks partial)</x:v>
      </x:c>
      <x:c r="C14" s="1" t="str">
        <x:v>units</x:v>
      </x:c>
      <x:c r="D14" s="1" t="str">
        <x:v>float64</x:v>
      </x:c>
      <x:c r="E14" s="4" t="b">
        <x:v>0</x:v>
      </x:c>
      <x:c r="F14" s="1" t="str">
        <x:v>accepted UCI sales → daily totals → derived analytics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0" customHeight="1">
      <x:c r="A15" s="1" t="str">
        <x:v>weekly_demand</x:v>
      </x:c>
      <x:c r="B15" s="1" t="str">
        <x:v>product/week (edge weeks partial)</x:v>
      </x:c>
      <x:c r="C15" s="1" t="str">
        <x:v>days_in_week</x:v>
      </x:c>
      <x:c r="D15" s="1" t="str">
        <x:v>int64</x:v>
      </x:c>
      <x:c r="E15" s="4" t="b">
        <x:v>0</x:v>
      </x:c>
      <x:c r="F15" s="1" t="str">
        <x:v>accepted UCI sales → daily totals → derived analytics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0" customHeight="1">
      <x:c r="A16" s="1" t="str">
        <x:v>date_dimension</x:v>
      </x:c>
      <x:c r="B16" s="1" t="str">
        <x:v>one row/calendar day</x:v>
      </x:c>
      <x:c r="C16" s="1" t="str">
        <x:v>date</x:v>
      </x:c>
      <x:c r="D16" s="1" t="str">
        <x:v>object</x:v>
      </x:c>
      <x:c r="E16" s="4" t="b">
        <x:v>0</x:v>
      </x:c>
      <x:c r="F16" s="1" t="str">
        <x:v>accepted UCI sales → daily totals → derived analytics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0" customHeight="1">
      <x:c r="A17" s="1" t="str">
        <x:v>date_dimension</x:v>
      </x:c>
      <x:c r="B17" s="1" t="str">
        <x:v>one row/calendar day</x:v>
      </x:c>
      <x:c r="C17" s="1" t="str">
        <x:v>year</x:v>
      </x:c>
      <x:c r="D17" s="1" t="str">
        <x:v>int32</x:v>
      </x:c>
      <x:c r="E17" s="4" t="b">
        <x:v>0</x:v>
      </x:c>
      <x:c r="F17" s="1" t="str">
        <x:v>accepted UCI sales → daily totals → derived analytics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0" customHeight="1">
      <x:c r="A18" s="1" t="str">
        <x:v>date_dimension</x:v>
      </x:c>
      <x:c r="B18" s="1" t="str">
        <x:v>one row/calendar day</x:v>
      </x:c>
      <x:c r="C18" s="1" t="str">
        <x:v>month</x:v>
      </x:c>
      <x:c r="D18" s="1" t="str">
        <x:v>int32</x:v>
      </x:c>
      <x:c r="E18" s="4" t="b">
        <x:v>0</x:v>
      </x:c>
      <x:c r="F18" s="1" t="str">
        <x:v>accepted UCI sales → daily totals → derived analytics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0" customHeight="1">
      <x:c r="A19" s="1" t="str">
        <x:v>date_dimension</x:v>
      </x:c>
      <x:c r="B19" s="1" t="str">
        <x:v>one row/calendar day</x:v>
      </x:c>
      <x:c r="C19" s="1" t="str">
        <x:v>week</x:v>
      </x:c>
      <x:c r="D19" s="1" t="str">
        <x:v>object</x:v>
      </x:c>
      <x:c r="E19" s="4" t="b">
        <x:v>0</x:v>
      </x:c>
      <x:c r="F19" s="1" t="str">
        <x:v>accepted UCI sales → daily totals → derived analytics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0" customHeight="1">
      <x:c r="A20" s="1" t="str">
        <x:v>forecast_results</x:v>
      </x:c>
      <x:c r="B20" s="1" t="str">
        <x:v>product/fold/model/target day</x:v>
      </x:c>
      <x:c r="C20" s="1" t="str">
        <x:v>product_id</x:v>
      </x:c>
      <x:c r="D20" s="1" t="str">
        <x:v>object</x:v>
      </x:c>
      <x:c r="E20" s="4" t="b">
        <x:v>0</x:v>
      </x:c>
      <x:c r="F20" s="1" t="str">
        <x:v>accepted UCI sales → daily totals → derived analytics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0" customHeight="1">
      <x:c r="A21" s="1" t="str">
        <x:v>forecast_results</x:v>
      </x:c>
      <x:c r="B21" s="1" t="str">
        <x:v>product/fold/model/target day</x:v>
      </x:c>
      <x:c r="C21" s="1" t="str">
        <x:v>fold</x:v>
      </x:c>
      <x:c r="D21" s="1" t="str">
        <x:v>int64</x:v>
      </x:c>
      <x:c r="E21" s="4" t="b">
        <x:v>0</x:v>
      </x:c>
      <x:c r="F21" s="1" t="str">
        <x:v>accepted UCI sales → daily totals → derived analytics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0" customHeight="1">
      <x:c r="A22" s="1" t="str">
        <x:v>forecast_results</x:v>
      </x:c>
      <x:c r="B22" s="1" t="str">
        <x:v>product/fold/model/target day</x:v>
      </x:c>
      <x:c r="C22" s="1" t="str">
        <x:v>train_end</x:v>
      </x:c>
      <x:c r="D22" s="1" t="str">
        <x:v>datetime64[ns]</x:v>
      </x:c>
      <x:c r="E22" s="4" t="b">
        <x:v>0</x:v>
      </x:c>
      <x:c r="F22" s="1" t="str">
        <x:v>accepted UCI sales → daily totals → derived analytics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0" customHeight="1">
      <x:c r="A23" s="1" t="str">
        <x:v>forecast_results</x:v>
      </x:c>
      <x:c r="B23" s="1" t="str">
        <x:v>product/fold/model/target day</x:v>
      </x:c>
      <x:c r="C23" s="1" t="str">
        <x:v>date</x:v>
      </x:c>
      <x:c r="D23" s="1" t="str">
        <x:v>datetime64[ns]</x:v>
      </x:c>
      <x:c r="E23" s="4" t="b">
        <x:v>0</x:v>
      </x:c>
      <x:c r="F23" s="1" t="str">
        <x:v>accepted UCI sales → daily totals → derived analytics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0" customHeight="1">
      <x:c r="A24" s="1" t="str">
        <x:v>forecast_results</x:v>
      </x:c>
      <x:c r="B24" s="1" t="str">
        <x:v>product/fold/model/target day</x:v>
      </x:c>
      <x:c r="C24" s="1" t="str">
        <x:v>model</x:v>
      </x:c>
      <x:c r="D24" s="1" t="str">
        <x:v>object</x:v>
      </x:c>
      <x:c r="E24" s="4" t="b">
        <x:v>0</x:v>
      </x:c>
      <x:c r="F24" s="1" t="str">
        <x:v>accepted UCI sales → daily totals → derived analytics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0" customHeight="1">
      <x:c r="A25" s="1" t="str">
        <x:v>forecast_results</x:v>
      </x:c>
      <x:c r="B25" s="1" t="str">
        <x:v>product/fold/model/target day</x:v>
      </x:c>
      <x:c r="C25" s="1" t="str">
        <x:v>actual</x:v>
      </x:c>
      <x:c r="D25" s="1" t="str">
        <x:v>float64</x:v>
      </x:c>
      <x:c r="E25" s="4" t="b">
        <x:v>0</x:v>
      </x:c>
      <x:c r="F25" s="1" t="str">
        <x:v>accepted UCI sales → daily totals → derived analytics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0" customHeight="1">
      <x:c r="A26" s="1" t="str">
        <x:v>forecast_results</x:v>
      </x:c>
      <x:c r="B26" s="1" t="str">
        <x:v>product/fold/model/target day</x:v>
      </x:c>
      <x:c r="C26" s="1" t="str">
        <x:v>predicted</x:v>
      </x:c>
      <x:c r="D26" s="1" t="str">
        <x:v>float64</x:v>
      </x:c>
      <x:c r="E26" s="4" t="b">
        <x:v>0</x:v>
      </x:c>
      <x:c r="F26" s="1" t="str">
        <x:v>accepted UCI sales → daily totals → derived analytics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0" customHeight="1">
      <x:c r="A27" s="1" t="str">
        <x:v>forecast_results</x:v>
      </x:c>
      <x:c r="B27" s="1" t="str">
        <x:v>product/fold/model/target day</x:v>
      </x:c>
      <x:c r="C27" s="1" t="str">
        <x:v>absolute_error</x:v>
      </x:c>
      <x:c r="D27" s="1" t="str">
        <x:v>float64</x:v>
      </x:c>
      <x:c r="E27" s="4" t="b">
        <x:v>0</x:v>
      </x:c>
      <x:c r="F27" s="1" t="str">
        <x:v>accepted UCI sales → daily totals → derived analytics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0" customHeight="1">
      <x:c r="A28" s="1" t="str">
        <x:v>forecast_results</x:v>
      </x:c>
      <x:c r="B28" s="1" t="str">
        <x:v>product/fold/model/target day</x:v>
      </x:c>
      <x:c r="C28" s="1" t="str">
        <x:v>signed_error</x:v>
      </x:c>
      <x:c r="D28" s="1" t="str">
        <x:v>float64</x:v>
      </x:c>
      <x:c r="E28" s="4" t="b">
        <x:v>0</x:v>
      </x:c>
      <x:c r="F28" s="1" t="str">
        <x:v>accepted UCI sales → daily totals → derived analytics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0" customHeight="1">
      <x:c r="A29" s="1" t="str">
        <x:v>future_forecast</x:v>
      </x:c>
      <x:c r="B29" s="1" t="str">
        <x:v>product/future day</x:v>
      </x:c>
      <x:c r="C29" s="1" t="str">
        <x:v>product_id</x:v>
      </x:c>
      <x:c r="D29" s="1" t="str">
        <x:v>object</x:v>
      </x:c>
      <x:c r="E29" s="4" t="b">
        <x:v>0</x:v>
      </x:c>
      <x:c r="F29" s="1" t="str">
        <x:v>accepted UCI sales → daily totals → derived analytics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" t="str">
        <x:v>future_forecast</x:v>
      </x:c>
      <x:c r="B30" s="1" t="str">
        <x:v>product/future day</x:v>
      </x:c>
      <x:c r="C30" s="1" t="str">
        <x:v>as_of</x:v>
      </x:c>
      <x:c r="D30" s="1" t="str">
        <x:v>datetime64[ns]</x:v>
      </x:c>
      <x:c r="E30" s="4" t="b">
        <x:v>0</x:v>
      </x:c>
      <x:c r="F30" s="1" t="str">
        <x:v>accepted UCI sales → daily totals → derived analytics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0" customHeight="1">
      <x:c r="A31" s="1" t="str">
        <x:v>future_forecast</x:v>
      </x:c>
      <x:c r="B31" s="1" t="str">
        <x:v>product/future day</x:v>
      </x:c>
      <x:c r="C31" s="1" t="str">
        <x:v>date</x:v>
      </x:c>
      <x:c r="D31" s="1" t="str">
        <x:v>datetime64[ns]</x:v>
      </x:c>
      <x:c r="E31" s="4" t="b">
        <x:v>0</x:v>
      </x:c>
      <x:c r="F31" s="1" t="str">
        <x:v>accepted UCI sales → daily totals → derived analytics</x:v>
      </x:c>
    </x:row>
    <x:row r="32" ht="20" customHeight="1">
      <x:c r="A32" s="1" t="str">
        <x:v>future_forecast</x:v>
      </x:c>
      <x:c r="B32" s="1" t="str">
        <x:v>product/future day</x:v>
      </x:c>
      <x:c r="C32" s="1" t="str">
        <x:v>model</x:v>
      </x:c>
      <x:c r="D32" s="1" t="str">
        <x:v>object</x:v>
      </x:c>
      <x:c r="E32" s="4" t="b">
        <x:v>0</x:v>
      </x:c>
      <x:c r="F32" s="1" t="str">
        <x:v>accepted UCI sales → daily totals → derived analytics</x:v>
      </x:c>
    </x:row>
    <x:row r="33" ht="20" customHeight="1">
      <x:c r="A33" s="1" t="str">
        <x:v>future_forecast</x:v>
      </x:c>
      <x:c r="B33" s="1" t="str">
        <x:v>product/future day</x:v>
      </x:c>
      <x:c r="C33" s="1" t="str">
        <x:v>predicted</x:v>
      </x:c>
      <x:c r="D33" s="1" t="str">
        <x:v>float64</x:v>
      </x:c>
      <x:c r="E33" s="4" t="b">
        <x:v>0</x:v>
      </x:c>
      <x:c r="F33" s="1" t="str">
        <x:v>accepted UCI sales → daily totals → derived analytics</x:v>
      </x:c>
    </x:row>
    <x:row r="34" ht="20" customHeight="1">
      <x:c r="A34" s="1" t="str">
        <x:v>inventory_risk</x:v>
      </x:c>
      <x:c r="B34" s="1" t="str">
        <x:v>product/as-of scenario</x:v>
      </x:c>
      <x:c r="C34" s="1" t="str">
        <x:v>product_id</x:v>
      </x:c>
      <x:c r="D34" s="1" t="str">
        <x:v>object</x:v>
      </x:c>
      <x:c r="E34" s="4" t="b">
        <x:v>0</x:v>
      </x:c>
      <x:c r="F34" s="1" t="str">
        <x:v>SYNTHETIC planning plus historical demand and prespecified forecast</x:v>
      </x:c>
    </x:row>
    <x:row r="35" ht="20" customHeight="1">
      <x:c r="A35" s="1" t="str">
        <x:v>inventory_risk</x:v>
      </x:c>
      <x:c r="B35" s="1" t="str">
        <x:v>product/as-of scenario</x:v>
      </x:c>
      <x:c r="C35" s="1" t="str">
        <x:v>as_of</x:v>
      </x:c>
      <x:c r="D35" s="1" t="str">
        <x:v>datetime64[ns]</x:v>
      </x:c>
      <x:c r="E35" s="4" t="b">
        <x:v>0</x:v>
      </x:c>
      <x:c r="F35" s="1" t="str">
        <x:v>SYNTHETIC planning plus historical demand and prespecified forecast</x:v>
      </x:c>
    </x:row>
    <x:row r="36" ht="20" customHeight="1">
      <x:c r="A36" s="1" t="str">
        <x:v>inventory_risk</x:v>
      </x:c>
      <x:c r="B36" s="1" t="str">
        <x:v>product/as-of scenario</x:v>
      </x:c>
      <x:c r="C36" s="1" t="str">
        <x:v>mean_daily_28d</x:v>
      </x:c>
      <x:c r="D36" s="1" t="str">
        <x:v>float64</x:v>
      </x:c>
      <x:c r="E36" s="4" t="b">
        <x:v>0</x:v>
      </x:c>
      <x:c r="F36" s="1" t="str">
        <x:v>SYNTHETIC planning plus historical demand and prespecified forecast</x:v>
      </x:c>
    </x:row>
    <x:row r="37" ht="20" customHeight="1">
      <x:c r="A37" s="1" t="str">
        <x:v>inventory_risk</x:v>
      </x:c>
      <x:c r="B37" s="1" t="str">
        <x:v>product/as-of scenario</x:v>
      </x:c>
      <x:c r="C37" s="1" t="str">
        <x:v>std_daily_28d</x:v>
      </x:c>
      <x:c r="D37" s="1" t="str">
        <x:v>float64</x:v>
      </x:c>
      <x:c r="E37" s="4" t="b">
        <x:v>0</x:v>
      </x:c>
      <x:c r="F37" s="1" t="str">
        <x:v>SYNTHETIC planning plus historical demand and prespecified forecast</x:v>
      </x:c>
    </x:row>
    <x:row r="38" ht="20" customHeight="1">
      <x:c r="A38" s="1" t="str">
        <x:v>inventory_risk</x:v>
      </x:c>
      <x:c r="B38" s="1" t="str">
        <x:v>product/as-of scenario</x:v>
      </x:c>
      <x:c r="C38" s="1" t="str">
        <x:v>on_hand</x:v>
      </x:c>
      <x:c r="D38" s="1" t="str">
        <x:v>float64</x:v>
      </x:c>
      <x:c r="E38" s="4" t="b">
        <x:v>0</x:v>
      </x:c>
      <x:c r="F38" s="1" t="str">
        <x:v>SYNTHETIC planning plus historical demand and prespecified forecast</x:v>
      </x:c>
    </x:row>
    <x:row r="39" ht="20" customHeight="1">
      <x:c r="A39" s="1" t="str">
        <x:v>inventory_risk</x:v>
      </x:c>
      <x:c r="B39" s="1" t="str">
        <x:v>product/as-of scenario</x:v>
      </x:c>
      <x:c r="C39" s="1" t="str">
        <x:v>lead_days</x:v>
      </x:c>
      <x:c r="D39" s="1" t="str">
        <x:v>int64</x:v>
      </x:c>
      <x:c r="E39" s="4" t="b">
        <x:v>0</x:v>
      </x:c>
      <x:c r="F39" s="1" t="str">
        <x:v>SYNTHETIC planning plus historical demand and prespecified forecast</x:v>
      </x:c>
    </x:row>
    <x:row r="40" ht="20" customHeight="1">
      <x:c r="A40" s="1" t="str">
        <x:v>inventory_risk</x:v>
      </x:c>
      <x:c r="B40" s="1" t="str">
        <x:v>product/as-of scenario</x:v>
      </x:c>
      <x:c r="C40" s="1" t="str">
        <x:v>weekly_capacity</x:v>
      </x:c>
      <x:c r="D40" s="1" t="str">
        <x:v>float64</x:v>
      </x:c>
      <x:c r="E40" s="4" t="b">
        <x:v>0</x:v>
      </x:c>
      <x:c r="F40" s="1" t="str">
        <x:v>SYNTHETIC planning plus historical demand and prespecified forecast</x:v>
      </x:c>
    </x:row>
    <x:row r="41" ht="20" customHeight="1">
      <x:c r="A41" s="1" t="str">
        <x:v>inventory_risk</x:v>
      </x:c>
      <x:c r="B41" s="1" t="str">
        <x:v>product/as-of scenario</x:v>
      </x:c>
      <x:c r="C41" s="1" t="str">
        <x:v>forecast_daily</x:v>
      </x:c>
      <x:c r="D41" s="1" t="str">
        <x:v>float64</x:v>
      </x:c>
      <x:c r="E41" s="4" t="b">
        <x:v>0</x:v>
      </x:c>
      <x:c r="F41" s="1" t="str">
        <x:v>SYNTHETIC planning plus historical demand and prespecified forecast</x:v>
      </x:c>
    </x:row>
    <x:row r="42" ht="20" customHeight="1">
      <x:c r="A42" s="1" t="str">
        <x:v>inventory_risk</x:v>
      </x:c>
      <x:c r="B42" s="1" t="str">
        <x:v>product/as-of scenario</x:v>
      </x:c>
      <x:c r="C42" s="1" t="str">
        <x:v>days_cover</x:v>
      </x:c>
      <x:c r="D42" s="1" t="str">
        <x:v>float64</x:v>
      </x:c>
      <x:c r="E42" s="4" t="b">
        <x:v>0</x:v>
      </x:c>
      <x:c r="F42" s="1" t="str">
        <x:v>SYNTHETIC planning plus historical demand and prespecified forecast</x:v>
      </x:c>
    </x:row>
    <x:row r="43" ht="20" customHeight="1">
      <x:c r="A43" s="1" t="str">
        <x:v>inventory_risk</x:v>
      </x:c>
      <x:c r="B43" s="1" t="str">
        <x:v>product/as-of scenario</x:v>
      </x:c>
      <x:c r="C43" s="1" t="str">
        <x:v>reorder_point</x:v>
      </x:c>
      <x:c r="D43" s="1" t="str">
        <x:v>float64</x:v>
      </x:c>
      <x:c r="E43" s="4" t="b">
        <x:v>0</x:v>
      </x:c>
      <x:c r="F43" s="1" t="str">
        <x:v>SYNTHETIC planning plus historical demand and prespecified forecast</x:v>
      </x:c>
    </x:row>
    <x:row r="44" ht="20" customHeight="1">
      <x:c r="A44" s="1" t="str">
        <x:v>inventory_risk</x:v>
      </x:c>
      <x:c r="B44" s="1" t="str">
        <x:v>product/as-of scenario</x:v>
      </x:c>
      <x:c r="C44" s="1" t="str">
        <x:v>stock_risk</x:v>
      </x:c>
      <x:c r="D44" s="1" t="str">
        <x:v>bool</x:v>
      </x:c>
      <x:c r="E44" s="4" t="b">
        <x:v>0</x:v>
      </x:c>
      <x:c r="F44" s="1" t="str">
        <x:v>SYNTHETIC planning plus historical demand and prespecified forecast</x:v>
      </x:c>
    </x:row>
    <x:row r="45" ht="20" customHeight="1">
      <x:c r="A45" s="1" t="str">
        <x:v>inventory_risk</x:v>
      </x:c>
      <x:c r="B45" s="1" t="str">
        <x:v>product/as-of scenario</x:v>
      </x:c>
      <x:c r="C45" s="1" t="str">
        <x:v>overstock</x:v>
      </x:c>
      <x:c r="D45" s="1" t="str">
        <x:v>bool</x:v>
      </x:c>
      <x:c r="E45" s="4" t="b">
        <x:v>0</x:v>
      </x:c>
      <x:c r="F45" s="1" t="str">
        <x:v>SYNTHETIC planning plus historical demand and prespecified forecast</x:v>
      </x:c>
    </x:row>
    <x:row r="46" ht="20" customHeight="1">
      <x:c r="A46" s="1" t="str">
        <x:v>inventory_risk</x:v>
      </x:c>
      <x:c r="B46" s="1" t="str">
        <x:v>product/as-of scenario</x:v>
      </x:c>
      <x:c r="C46" s="1" t="str">
        <x:v>planned_utilization</x:v>
      </x:c>
      <x:c r="D46" s="1" t="str">
        <x:v>float64</x:v>
      </x:c>
      <x:c r="E46" s="4" t="b">
        <x:v>0</x:v>
      </x:c>
      <x:c r="F46" s="1" t="str">
        <x:v>SYNTHETIC planning plus historical demand and prespecified forecast</x:v>
      </x:c>
    </x:row>
    <x:row r="47" ht="20" customHeight="1">
      <x:c r="A47" s="1" t="str">
        <x:v>inventory_risk</x:v>
      </x:c>
      <x:c r="B47" s="1" t="str">
        <x:v>product/as-of scenario</x:v>
      </x:c>
      <x:c r="C47" s="1" t="str">
        <x:v>demand_cv</x:v>
      </x:c>
      <x:c r="D47" s="1" t="str">
        <x:v>float64</x:v>
      </x:c>
      <x:c r="E47" s="4" t="b">
        <x:v>0</x:v>
      </x:c>
      <x:c r="F47" s="1" t="str">
        <x:v>SYNTHETIC planning plus historical demand and prespecified forecast</x:v>
      </x:c>
    </x:row>
    <x:row r="48" ht="20" customHeight="1">
      <x:c r="A48" s="1" t="str">
        <x:v>inventory_risk</x:v>
      </x:c>
      <x:c r="B48" s="1" t="str">
        <x:v>product/as-of scenario</x:v>
      </x:c>
      <x:c r="C48" s="1" t="str">
        <x:v>wow_change</x:v>
      </x:c>
      <x:c r="D48" s="1" t="str">
        <x:v>float64</x:v>
      </x:c>
      <x:c r="E48" s="4" t="b">
        <x:v>0</x:v>
      </x:c>
      <x:c r="F48" s="1" t="str">
        <x:v>SYNTHETIC planning plus historical demand and prespecified forecast</x:v>
      </x:c>
    </x:row>
    <x:row r="49" ht="20" customHeight="1">
      <x:c r="A49" s="1" t="str">
        <x:v>inventory_risk</x:v>
      </x:c>
      <x:c r="B49" s="1" t="str">
        <x:v>product/as-of scenario</x:v>
      </x:c>
      <x:c r="C49" s="1" t="str">
        <x:v>planning_source</x:v>
      </x:c>
      <x:c r="D49" s="1" t="str">
        <x:v>object</x:v>
      </x:c>
      <x:c r="E49" s="4" t="b">
        <x:v>0</x:v>
      </x:c>
      <x:c r="F49" s="1" t="str">
        <x:v>SYNTHETIC planning plus historical demand and prespecified forecast</x:v>
      </x:c>
    </x:row>
    <x:row r="50" ht="20" customHeight="1">
      <x:c r="A50" s="1" t="str">
        <x:v>product_forecast_scores</x:v>
      </x:c>
      <x:c r="B50" s="1" t="str">
        <x:v>product/model, pooled across folds</x:v>
      </x:c>
      <x:c r="C50" s="1" t="str">
        <x:v>product_id</x:v>
      </x:c>
      <x:c r="D50" s="1" t="str">
        <x:v>object</x:v>
      </x:c>
      <x:c r="E50" s="4" t="b">
        <x:v>0</x:v>
      </x:c>
      <x:c r="F50" s="1" t="str">
        <x:v>accepted UCI sales → daily totals → derived analytics</x:v>
      </x:c>
    </x:row>
    <x:row r="51" ht="20" customHeight="1">
      <x:c r="A51" s="1" t="str">
        <x:v>product_forecast_scores</x:v>
      </x:c>
      <x:c r="B51" s="1" t="str">
        <x:v>product/model, pooled across folds</x:v>
      </x:c>
      <x:c r="C51" s="1" t="str">
        <x:v>model</x:v>
      </x:c>
      <x:c r="D51" s="1" t="str">
        <x:v>object</x:v>
      </x:c>
      <x:c r="E51" s="4" t="b">
        <x:v>0</x:v>
      </x:c>
      <x:c r="F51" s="1" t="str">
        <x:v>accepted UCI sales → daily totals → derived analytics</x:v>
      </x:c>
    </x:row>
    <x:row r="52" ht="20" customHeight="1">
      <x:c r="A52" s="1" t="str">
        <x:v>product_forecast_scores</x:v>
      </x:c>
      <x:c r="B52" s="1" t="str">
        <x:v>product/model, pooled across folds</x:v>
      </x:c>
      <x:c r="C52" s="1" t="str">
        <x:v>mae</x:v>
      </x:c>
      <x:c r="D52" s="1" t="str">
        <x:v>float64</x:v>
      </x:c>
      <x:c r="E52" s="4" t="b">
        <x:v>0</x:v>
      </x:c>
      <x:c r="F52" s="1" t="str">
        <x:v>accepted UCI sales → daily totals → derived analytics</x:v>
      </x:c>
    </x:row>
    <x:row r="53" ht="20" customHeight="1">
      <x:c r="A53" s="1" t="str">
        <x:v>product_forecast_scores</x:v>
      </x:c>
      <x:c r="B53" s="1" t="str">
        <x:v>product/model, pooled across folds</x:v>
      </x:c>
      <x:c r="C53" s="1" t="str">
        <x:v>wape</x:v>
      </x:c>
      <x:c r="D53" s="1" t="str">
        <x:v>float64</x:v>
      </x:c>
      <x:c r="E53" s="4" t="b">
        <x:v>0</x:v>
      </x:c>
      <x:c r="F53" s="1" t="str">
        <x:v>accepted UCI sales → daily totals → derived analytics</x:v>
      </x:c>
    </x:row>
    <x:row r="54" ht="20" customHeight="1">
      <x:c r="A54" s="1" t="str">
        <x:v>product_forecast_scores</x:v>
      </x:c>
      <x:c r="B54" s="1" t="str">
        <x:v>product/model, pooled across folds</x:v>
      </x:c>
      <x:c r="C54" s="1" t="str">
        <x:v>bias</x:v>
      </x:c>
      <x:c r="D54" s="1" t="str">
        <x:v>float64</x:v>
      </x:c>
      <x:c r="E54" s="4" t="b">
        <x:v>0</x:v>
      </x:c>
      <x:c r="F54" s="1" t="str">
        <x:v>accepted UCI sales → daily totals → derived analytics</x:v>
      </x:c>
    </x:row>
    <x:row r="55" ht="20" customHeight="1">
      <x:c r="A55" s="1" t="str">
        <x:v>product_forecast_scores</x:v>
      </x:c>
      <x:c r="B55" s="1" t="str">
        <x:v>product/model, pooled across folds</x:v>
      </x:c>
      <x:c r="C55" s="1" t="str">
        <x:v>mape_nonzero_only</x:v>
      </x:c>
      <x:c r="D55" s="1" t="str">
        <x:v>float64</x:v>
      </x:c>
      <x:c r="E55" s="4" t="b">
        <x:v>0</x:v>
      </x:c>
      <x:c r="F55" s="1" t="str">
        <x:v>accepted UCI sales → daily totals → derived analytics</x:v>
      </x:c>
    </x:row>
    <x:row r="56" ht="20" customHeight="1">
      <x:c r="A56" s="1" t="str">
        <x:v>product_forecast_scores</x:v>
      </x:c>
      <x:c r="B56" s="1" t="str">
        <x:v>product/model, pooled across folds</x:v>
      </x:c>
      <x:c r="C56" s="1" t="str">
        <x:v>absolute_error</x:v>
      </x:c>
      <x:c r="D56" s="1" t="str">
        <x:v>float64</x:v>
      </x:c>
      <x:c r="E56" s="4" t="b">
        <x:v>0</x:v>
      </x:c>
      <x:c r="F56" s="1" t="str">
        <x:v>accepted UCI sales → daily totals → derived analytics</x:v>
      </x:c>
    </x:row>
    <x:row r="57" ht="20" customHeight="1">
      <x:c r="A57" s="1" t="str">
        <x:v>product_forecast_scores</x:v>
      </x:c>
      <x:c r="B57" s="1" t="str">
        <x:v>product/model, pooled across folds</x:v>
      </x:c>
      <x:c r="C57" s="1" t="str">
        <x:v>actual_units</x:v>
      </x:c>
      <x:c r="D57" s="1" t="str">
        <x:v>float64</x:v>
      </x:c>
      <x:c r="E57" s="4" t="b">
        <x:v>0</x:v>
      </x:c>
      <x:c r="F57" s="1" t="str">
        <x:v>accepted UCI sales → daily totals → derived analytics</x:v>
      </x:c>
    </x:row>
  </x:sheetData>
  <x:pageMargins left="0.7" right="0.7" top="0.75" bottom="0.75" header="0.3" footer="0.3"/>
  <x:tableParts count="1">
    <x:tablePart xmlns:r="http://schemas.openxmlformats.org/officeDocument/2006/relationships" r:id="Rd4313684f6b947c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Weekly capacity and stock exceptions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SYNTHETIC scenario. Linked to editable inputs on Inventory Risk. Units per week.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6" customHeight="1">
      <x:c r="A5" s="19" t="str">
        <x:v>Product</x:v>
      </x:c>
      <x:c r="B5" s="19" t="str">
        <x:v>Weekly demand</x:v>
      </x:c>
      <x:c r="C5" s="19" t="str">
        <x:v>Weekly capacity</x:v>
      </x:c>
      <x:c r="D5" s="19" t="str">
        <x:v>Demand / capacity</x:v>
      </x:c>
      <x:c r="E5" s="19" t="str">
        <x:v>Shortfall flag</x:v>
      </x:c>
      <x:c r="F5" s="19" t="str">
        <x:v>Shortfall units</x:v>
      </x:c>
      <x:c r="G5" s="19" t="str">
        <x:v>On hand</x:v>
      </x:c>
      <x:c r="H5" s="19" t="str">
        <x:v>Lead days</x:v>
      </x:c>
      <x:c r="I5" s="19" t="str">
        <x:v>Daily forecast</x:v>
      </x:c>
      <x:c r="J5" s="19" t="str">
        <x:v>Daily std dev</x:v>
      </x:c>
      <x:c r="K5" s="19" t="str">
        <x:v>Lead demand</x:v>
      </x:c>
      <x:c r="L5" s="19" t="str">
        <x:v>Lead stock risk</x:v>
      </x:c>
      <x:c r="M5" s="19" t="str">
        <x:v>Forecast cover days</x:v>
      </x:c>
      <x:c r="N5" s="19" t="str">
        <x:v>Reorder threshold</x:v>
      </x:c>
      <x:c r="O5" s="19" t="str">
        <x:v>Reorder flag</x:v>
      </x:c>
      <x:c r="P5" s="19" t="str">
        <x:v>Any exception</x:v>
      </x:c>
    </x:row>
    <x:row r="6">
      <x:c r="A6" s="1" t="str">
        <x:f>'Inventory Risk'!A6</x:f>
        <x:v>20725</x:v>
      </x:c>
      <x:c r="B6" s="15" t="n">
        <x:f>I6*7</x:f>
        <x:v>353.00000000020003</x:v>
      </x:c>
      <x:c r="C6" s="15" t="n">
        <x:f>'Inventory Risk'!G6</x:f>
        <x:v>525</x:v>
      </x:c>
      <x:c r="D6" s="11" t="n">
        <x:f>B6/C6</x:f>
        <x:v>0.6723809523813334</x:v>
      </x:c>
      <x:c r="E6" s="20" t="n">
        <x:f>IF(B6&gt;C6,1,0)</x:f>
        <x:v>0</x:v>
      </x:c>
      <x:c r="F6" s="15" t="n">
        <x:f>MAX(0,B6-C6)</x:f>
        <x:v>0</x:v>
      </x:c>
      <x:c r="G6" s="15" t="n">
        <x:f>'Inventory Risk'!E6</x:f>
        <x:v>4054</x:v>
      </x:c>
      <x:c r="H6" s="15" t="n">
        <x:f>'Inventory Risk'!F6</x:f>
        <x:v>20</x:v>
      </x:c>
      <x:c r="I6" s="15" t="n">
        <x:f>'Inventory Risk'!H6</x:f>
        <x:v>50.4285714286</x:v>
      </x:c>
      <x:c r="J6" s="15" t="n">
        <x:f>'Inventory Risk'!D6</x:f>
        <x:v>53.8719546703</x:v>
      </x:c>
      <x:c r="K6" s="15" t="n">
        <x:f>I6*H6</x:f>
        <x:v>1008.5714285720001</x:v>
      </x:c>
      <x:c r="L6" s="20" t="n">
        <x:f>IF(G6&lt;K6,1,0)</x:f>
        <x:v>0</x:v>
      </x:c>
      <x:c r="M6" s="15" t="n">
        <x:f>IF(I6=0,"",G6/I6)</x:f>
        <x:v>80.39093484414708</x:v>
      </x:c>
      <x:c r="N6" s="15" t="n">
        <x:f>K6+1.65*J6*SQRT(H6)</x:f>
        <x:v>1406.0938925598077</x:v>
      </x:c>
      <x:c r="O6" s="20" t="n">
        <x:f>IF(G6&lt;N6,1,0)</x:f>
        <x:v>0</x:v>
      </x:c>
      <x:c r="P6" s="20" t="n">
        <x:f>IF(E6+L6+O6&gt;0,1,0)</x:f>
        <x:v>0</x:v>
      </x:c>
    </x:row>
    <x:row r="7">
      <x:c r="A7" s="1" t="str">
        <x:f>'Inventory Risk'!A7</x:f>
        <x:v>21181</x:v>
      </x:c>
      <x:c r="B7" s="15" t="n">
        <x:f>I7*7</x:f>
        <x:v>761.9999999997</x:v>
      </x:c>
      <x:c r="C7" s="15" t="n">
        <x:f>'Inventory Risk'!G7</x:f>
        <x:v>342</x:v>
      </x:c>
      <x:c r="D7" s="11" t="n">
        <x:f>B7/C7</x:f>
        <x:v>2.2280701754377192</x:v>
      </x:c>
      <x:c r="E7" s="20" t="n">
        <x:f>IF(B7&gt;C7,1,0)</x:f>
        <x:v>1</x:v>
      </x:c>
      <x:c r="F7" s="15" t="n">
        <x:f>MAX(0,B7-C7)</x:f>
        <x:v>419.9999999997</x:v>
      </x:c>
      <x:c r="G7" s="15" t="n">
        <x:f>'Inventory Risk'!E7</x:f>
        <x:v>1303</x:v>
      </x:c>
      <x:c r="H7" s="15" t="n">
        <x:f>'Inventory Risk'!F7</x:f>
        <x:v>5</x:v>
      </x:c>
      <x:c r="I7" s="15" t="n">
        <x:f>'Inventory Risk'!H7</x:f>
        <x:v>108.8571428571</x:v>
      </x:c>
      <x:c r="J7" s="15" t="n">
        <x:f>'Inventory Risk'!D7</x:f>
        <x:v>86.0432007654</x:v>
      </x:c>
      <x:c r="K7" s="15" t="n">
        <x:f>I7*H7</x:f>
        <x:v>544.2857142855</x:v>
      </x:c>
      <x:c r="L7" s="20" t="n">
        <x:f>IF(G7&lt;K7,1,0)</x:f>
        <x:v>0</x:v>
      </x:c>
      <x:c r="M7" s="15" t="n">
        <x:f>IF(I7=0,"",G7/I7)</x:f>
        <x:v>11.969816272970592</x:v>
      </x:c>
      <x:c r="N7" s="15" t="n">
        <x:f>K7+1.65*J7*SQRT(H7)</x:f>
        <x:v>861.7431500421089</x:v>
      </x:c>
      <x:c r="O7" s="20" t="n">
        <x:f>IF(G7&lt;N7,1,0)</x:f>
        <x:v>0</x:v>
      </x:c>
      <x:c r="P7" s="20" t="n">
        <x:f>IF(E7+L7+O7&gt;0,1,0)</x:f>
        <x:v>1</x:v>
      </x:c>
    </x:row>
    <x:row r="8">
      <x:c r="A8" s="1" t="str">
        <x:f>'Inventory Risk'!A8</x:f>
        <x:v>21212</x:v>
      </x:c>
      <x:c r="B8" s="15" t="n">
        <x:f>I8*7</x:f>
        <x:v>414.0000000003</x:v>
      </x:c>
      <x:c r="C8" s="15" t="n">
        <x:f>'Inventory Risk'!G8</x:f>
        <x:v>588</x:v>
      </x:c>
      <x:c r="D8" s="11" t="n">
        <x:f>B8/C8</x:f>
        <x:v>0.7040816326535715</x:v>
      </x:c>
      <x:c r="E8" s="20" t="n">
        <x:f>IF(B8&gt;C8,1,0)</x:f>
        <x:v>0</x:v>
      </x:c>
      <x:c r="F8" s="15" t="n">
        <x:f>MAX(0,B8-C8)</x:f>
        <x:v>0</x:v>
      </x:c>
      <x:c r="G8" s="15" t="n">
        <x:f>'Inventory Risk'!E8</x:f>
        <x:v>3363</x:v>
      </x:c>
      <x:c r="H8" s="15" t="n">
        <x:f>'Inventory Risk'!F8</x:f>
        <x:v>5</x:v>
      </x:c>
      <x:c r="I8" s="15" t="n">
        <x:f>'Inventory Risk'!H8</x:f>
        <x:v>59.1428571429</x:v>
      </x:c>
      <x:c r="J8" s="15" t="n">
        <x:f>'Inventory Risk'!D8</x:f>
        <x:v>101.1248722912</x:v>
      </x:c>
      <x:c r="K8" s="15" t="n">
        <x:f>I8*H8</x:f>
        <x:v>295.71428571449997</x:v>
      </x:c>
      <x:c r="L8" s="20" t="n">
        <x:f>IF(G8&lt;K8,1,0)</x:f>
        <x:v>0</x:v>
      </x:c>
      <x:c r="M8" s="15" t="n">
        <x:f>IF(I8=0,"",G8/I8)</x:f>
        <x:v>56.86231884053851</x:v>
      </x:c>
      <x:c r="N8" s="15" t="n">
        <x:f>K8+1.65*J8*SQRT(H8)</x:f>
        <x:v>668.8157320020283</x:v>
      </x:c>
      <x:c r="O8" s="20" t="n">
        <x:f>IF(G8&lt;N8,1,0)</x:f>
        <x:v>0</x:v>
      </x:c>
      <x:c r="P8" s="20" t="n">
        <x:f>IF(E8+L8+O8&gt;0,1,0)</x:f>
        <x:v>0</x:v>
      </x:c>
    </x:row>
    <x:row r="9">
      <x:c r="A9" s="1" t="str">
        <x:f>'Inventory Risk'!A9</x:f>
        <x:v>21733</x:v>
      </x:c>
      <x:c r="B9" s="15" t="n">
        <x:f>I9*7</x:f>
        <x:v>362.0000000001</x:v>
      </x:c>
      <x:c r="C9" s="15" t="n">
        <x:f>'Inventory Risk'!G9</x:f>
        <x:v>458</x:v>
      </x:c>
      <x:c r="D9" s="11" t="n">
        <x:f>B9/C9</x:f>
        <x:v>0.790393013100655</x:v>
      </x:c>
      <x:c r="E9" s="20" t="n">
        <x:f>IF(B9&gt;C9,1,0)</x:f>
        <x:v>0</x:v>
      </x:c>
      <x:c r="F9" s="15" t="n">
        <x:f>MAX(0,B9-C9)</x:f>
        <x:v>0</x:v>
      </x:c>
      <x:c r="G9" s="15" t="n">
        <x:f>'Inventory Risk'!E9</x:f>
        <x:v>2312</x:v>
      </x:c>
      <x:c r="H9" s="15" t="n">
        <x:f>'Inventory Risk'!F9</x:f>
        <x:v>7</x:v>
      </x:c>
      <x:c r="I9" s="15" t="n">
        <x:f>'Inventory Risk'!H9</x:f>
        <x:v>51.7142857143</x:v>
      </x:c>
      <x:c r="J9" s="15" t="n">
        <x:f>'Inventory Risk'!D9</x:f>
        <x:v>99.5063004364</x:v>
      </x:c>
      <x:c r="K9" s="15" t="n">
        <x:f>I9*H9</x:f>
        <x:v>362.0000000001</x:v>
      </x:c>
      <x:c r="L9" s="20" t="n">
        <x:f>IF(G9&lt;K9,1,0)</x:f>
        <x:v>0</x:v>
      </x:c>
      <x:c r="M9" s="15" t="n">
        <x:f>IF(I9=0,"",G9/I9)</x:f>
        <x:v>44.70718232042964</x:v>
      </x:c>
      <x:c r="N9" s="15" t="n">
        <x:f>K9+1.65*J9*SQRT(H9)</x:f>
        <x:v>796.3937259841073</x:v>
      </x:c>
      <x:c r="O9" s="20" t="n">
        <x:f>IF(G9&lt;N9,1,0)</x:f>
        <x:v>0</x:v>
      </x:c>
      <x:c r="P9" s="20" t="n">
        <x:f>IF(E9+L9+O9&gt;0,1,0)</x:f>
        <x:v>0</x:v>
      </x:c>
    </x:row>
    <x:row r="10">
      <x:c r="A10" s="1" t="str">
        <x:f>'Inventory Risk'!A10</x:f>
        <x:v>21754</x:v>
      </x:c>
      <x:c r="B10" s="15" t="n">
        <x:f>I10*7</x:f>
        <x:v>52.0000000002</x:v>
      </x:c>
      <x:c r="C10" s="15" t="n">
        <x:f>'Inventory Risk'!G10</x:f>
        <x:v>59</x:v>
      </x:c>
      <x:c r="D10" s="11" t="n">
        <x:f>B10/C10</x:f>
        <x:v>0.8813559322067795</x:v>
      </x:c>
      <x:c r="E10" s="20" t="n">
        <x:f>IF(B10&gt;C10,1,0)</x:f>
        <x:v>0</x:v>
      </x:c>
      <x:c r="F10" s="15" t="n">
        <x:f>MAX(0,B10-C10)</x:f>
        <x:v>0</x:v>
      </x:c>
      <x:c r="G10" s="15" t="n">
        <x:f>'Inventory Risk'!E10</x:f>
        <x:v>211</x:v>
      </x:c>
      <x:c r="H10" s="15" t="n">
        <x:f>'Inventory Risk'!F10</x:f>
        <x:v>15</x:v>
      </x:c>
      <x:c r="I10" s="15" t="n">
        <x:f>'Inventory Risk'!H10</x:f>
        <x:v>7.4285714286</x:v>
      </x:c>
      <x:c r="J10" s="15" t="n">
        <x:f>'Inventory Risk'!D10</x:f>
        <x:v>7.1560592279</x:v>
      </x:c>
      <x:c r="K10" s="15" t="n">
        <x:f>I10*H10</x:f>
        <x:v>111.428571429</x:v>
      </x:c>
      <x:c r="L10" s="20" t="n">
        <x:f>IF(G10&lt;K10,1,0)</x:f>
        <x:v>0</x:v>
      </x:c>
      <x:c r="M10" s="15" t="n">
        <x:f>IF(I10=0,"",G10/I10)</x:f>
        <x:v>28.40384615373691</x:v>
      </x:c>
      <x:c r="N10" s="15" t="n">
        <x:f>K10+1.65*J10*SQRT(H10)</x:f>
        <x:v>157.1588134823155</x:v>
      </x:c>
      <x:c r="O10" s="20" t="n">
        <x:f>IF(G10&lt;N10,1,0)</x:f>
        <x:v>0</x:v>
      </x:c>
      <x:c r="P10" s="20" t="n">
        <x:f>IF(E10+L10+O10&gt;0,1,0)</x:f>
        <x:v>0</x:v>
      </x:c>
    </x:row>
    <x:row r="11">
      <x:c r="A11" s="1" t="str">
        <x:f>'Inventory Risk'!A11</x:f>
        <x:v>22111</x:v>
      </x:c>
      <x:c r="B11" s="15" t="n">
        <x:f>I11*7</x:f>
        <x:v>176.99999999989998</x:v>
      </x:c>
      <x:c r="C11" s="15" t="n">
        <x:f>'Inventory Risk'!G11</x:f>
        <x:v>199</x:v>
      </x:c>
      <x:c r="D11" s="11" t="n">
        <x:f>B11/C11</x:f>
        <x:v>0.8894472361804019</x:v>
      </x:c>
      <x:c r="E11" s="20" t="n">
        <x:f>IF(B11&gt;C11,1,0)</x:f>
        <x:v>0</x:v>
      </x:c>
      <x:c r="F11" s="15" t="n">
        <x:f>MAX(0,B11-C11)</x:f>
        <x:v>0</x:v>
      </x:c>
      <x:c r="G11" s="15" t="n">
        <x:f>'Inventory Risk'!E11</x:f>
        <x:v>280</x:v>
      </x:c>
      <x:c r="H11" s="15" t="n">
        <x:f>'Inventory Risk'!F11</x:f>
        <x:v>13</x:v>
      </x:c>
      <x:c r="I11" s="15" t="n">
        <x:f>'Inventory Risk'!H11</x:f>
        <x:v>25.2857142857</x:v>
      </x:c>
      <x:c r="J11" s="15" t="n">
        <x:f>'Inventory Risk'!D11</x:f>
        <x:v>28.9955133757</x:v>
      </x:c>
      <x:c r="K11" s="15" t="n">
        <x:f>I11*H11</x:f>
        <x:v>328.7142857141</x:v>
      </x:c>
      <x:c r="L11" s="20" t="n">
        <x:f>IF(G11&lt;K11,1,0)</x:f>
        <x:v>1</x:v>
      </x:c>
      <x:c r="M11" s="15" t="n">
        <x:f>IF(I11=0,"",G11/I11)</x:f>
        <x:v>11.073446327689872</x:v>
      </x:c>
      <x:c r="N11" s="15" t="n">
        <x:f>K11+1.65*J11*SQRT(H11)</x:f>
        <x:v>501.21322260100567</x:v>
      </x:c>
      <x:c r="O11" s="20" t="n">
        <x:f>IF(G11&lt;N11,1,0)</x:f>
        <x:v>1</x:v>
      </x:c>
      <x:c r="P11" s="20" t="n">
        <x:f>IF(E11+L11+O11&gt;0,1,0)</x:f>
        <x:v>1</x:v>
      </x:c>
    </x:row>
    <x:row r="12">
      <x:c r="A12" s="1" t="str">
        <x:f>'Inventory Risk'!A12</x:f>
        <x:v>22197</x:v>
      </x:c>
      <x:c r="B12" s="15" t="n">
        <x:f>I12*7</x:f>
        <x:v>2457</x:v>
      </x:c>
      <x:c r="C12" s="15" t="n">
        <x:f>'Inventory Risk'!G12</x:f>
        <x:v>3281</x:v>
      </x:c>
      <x:c r="D12" s="11" t="n">
        <x:f>B12/C12</x:f>
        <x:v>0.7488570557756782</x:v>
      </x:c>
      <x:c r="E12" s="20" t="n">
        <x:f>IF(B12&gt;C12,1,0)</x:f>
        <x:v>0</x:v>
      </x:c>
      <x:c r="F12" s="15" t="n">
        <x:f>MAX(0,B12-C12)</x:f>
        <x:v>0</x:v>
      </x:c>
      <x:c r="G12" s="15" t="n">
        <x:f>'Inventory Risk'!E12</x:f>
        <x:v>10833</x:v>
      </x:c>
      <x:c r="H12" s="15" t="n">
        <x:f>'Inventory Risk'!F12</x:f>
        <x:v>8</x:v>
      </x:c>
      <x:c r="I12" s="15" t="n">
        <x:f>'Inventory Risk'!H12</x:f>
        <x:v>351</x:v>
      </x:c>
      <x:c r="J12" s="15" t="n">
        <x:f>'Inventory Risk'!D12</x:f>
        <x:v>500.3062786424</x:v>
      </x:c>
      <x:c r="K12" s="15" t="n">
        <x:f>I12*H12</x:f>
        <x:v>2808</x:v>
      </x:c>
      <x:c r="L12" s="20" t="n">
        <x:f>IF(G12&lt;K12,1,0)</x:f>
        <x:v>0</x:v>
      </x:c>
      <x:c r="M12" s="15" t="n">
        <x:f>IF(I12=0,"",G12/I12)</x:f>
        <x:v>30.863247863247864</x:v>
      </x:c>
      <x:c r="N12" s="15" t="n">
        <x:f>K12+1.65*J12*SQRT(H12)</x:f>
        <x:v>5142.881751168434</x:v>
      </x:c>
      <x:c r="O12" s="20" t="n">
        <x:f>IF(G12&lt;N12,1,0)</x:f>
        <x:v>0</x:v>
      </x:c>
      <x:c r="P12" s="20" t="n">
        <x:f>IF(E12+L12+O12&gt;0,1,0)</x:f>
        <x:v>0</x:v>
      </x:c>
    </x:row>
    <x:row r="13">
      <x:c r="A13" s="1" t="str">
        <x:f>'Inventory Risk'!A13</x:f>
        <x:v>22423</x:v>
      </x:c>
      <x:c r="B13" s="15" t="n">
        <x:f>I13*7</x:f>
        <x:v>295.9999999999</x:v>
      </x:c>
      <x:c r="C13" s="15" t="n">
        <x:f>'Inventory Risk'!G13</x:f>
        <x:v>290</x:v>
      </x:c>
      <x:c r="D13" s="11" t="n">
        <x:f>B13/C13</x:f>
        <x:v>1.020689655172069</x:v>
      </x:c>
      <x:c r="E13" s="20" t="n">
        <x:f>IF(B13&gt;C13,1,0)</x:f>
        <x:v>1</x:v>
      </x:c>
      <x:c r="F13" s="15" t="n">
        <x:f>MAX(0,B13-C13)</x:f>
        <x:v>5.999999999900012</x:v>
      </x:c>
      <x:c r="G13" s="15" t="n">
        <x:f>'Inventory Risk'!E13</x:f>
        <x:v>909</x:v>
      </x:c>
      <x:c r="H13" s="15" t="n">
        <x:f>'Inventory Risk'!F13</x:f>
        <x:v>13</x:v>
      </x:c>
      <x:c r="I13" s="15" t="n">
        <x:f>'Inventory Risk'!H13</x:f>
        <x:v>42.2857142857</x:v>
      </x:c>
      <x:c r="J13" s="15" t="n">
        <x:f>'Inventory Risk'!D13</x:f>
        <x:v>30.8778865461</x:v>
      </x:c>
      <x:c r="K13" s="15" t="n">
        <x:f>I13*H13</x:f>
        <x:v>549.7142857141</x:v>
      </x:c>
      <x:c r="L13" s="20" t="n">
        <x:f>IF(G13&lt;K13,1,0)</x:f>
        <x:v>0</x:v>
      </x:c>
      <x:c r="M13" s="15" t="n">
        <x:f>IF(I13=0,"",G13/I13)</x:f>
        <x:v>21.496621621628883</x:v>
      </x:c>
      <x:c r="N13" s="15" t="n">
        <x:f>K13+1.65*J13*SQRT(H13)</x:f>
        <x:v>733.4117610269733</x:v>
      </x:c>
      <x:c r="O13" s="20" t="n">
        <x:f>IF(G13&lt;N13,1,0)</x:f>
        <x:v>0</x:v>
      </x:c>
      <x:c r="P13" s="20" t="n">
        <x:f>IF(E13+L13+O13&gt;0,1,0)</x:f>
        <x:v>1</x:v>
      </x:c>
    </x:row>
    <x:row r="14">
      <x:c r="A14" s="1" t="str">
        <x:f>'Inventory Risk'!A14</x:f>
        <x:v>22457</x:v>
      </x:c>
      <x:c r="B14" s="15" t="n">
        <x:f>I14*7</x:f>
        <x:v>238</x:v>
      </x:c>
      <x:c r="C14" s="15" t="n">
        <x:f>'Inventory Risk'!G14</x:f>
        <x:v>285</x:v>
      </x:c>
      <x:c r="D14" s="11" t="n">
        <x:f>B14/C14</x:f>
        <x:v>0.8350877192982457</x:v>
      </x:c>
      <x:c r="E14" s="20" t="n">
        <x:f>IF(B14&gt;C14,1,0)</x:f>
        <x:v>0</x:v>
      </x:c>
      <x:c r="F14" s="15" t="n">
        <x:f>MAX(0,B14-C14)</x:f>
        <x:v>0</x:v>
      </x:c>
      <x:c r="G14" s="15" t="n">
        <x:f>'Inventory Risk'!E14</x:f>
        <x:v>2338</x:v>
      </x:c>
      <x:c r="H14" s="15" t="n">
        <x:f>'Inventory Risk'!F14</x:f>
        <x:v>14</x:v>
      </x:c>
      <x:c r="I14" s="15" t="n">
        <x:f>'Inventory Risk'!H14</x:f>
        <x:v>34</x:v>
      </x:c>
      <x:c r="J14" s="15" t="n">
        <x:f>'Inventory Risk'!D14</x:f>
        <x:v>21.0645267147</x:v>
      </x:c>
      <x:c r="K14" s="15" t="n">
        <x:f>I14*H14</x:f>
        <x:v>476</x:v>
      </x:c>
      <x:c r="L14" s="20" t="n">
        <x:f>IF(G14&lt;K14,1,0)</x:f>
        <x:v>0</x:v>
      </x:c>
      <x:c r="M14" s="15" t="n">
        <x:f>IF(I14=0,"",G14/I14)</x:f>
        <x:v>68.76470588235294</x:v>
      </x:c>
      <x:c r="N14" s="15" t="n">
        <x:f>K14+1.65*J14*SQRT(H14)</x:f>
        <x:v>606.0467992685745</x:v>
      </x:c>
      <x:c r="O14" s="20" t="n">
        <x:f>IF(G14&lt;N14,1,0)</x:f>
        <x:v>0</x:v>
      </x:c>
      <x:c r="P14" s="20" t="n">
        <x:f>IF(E14+L14+O14&gt;0,1,0)</x:f>
        <x:v>0</x:v>
      </x:c>
    </x:row>
    <x:row r="15">
      <x:c r="A15" s="1" t="str">
        <x:f>'Inventory Risk'!A15</x:f>
        <x:v>22469</x:v>
      </x:c>
      <x:c r="B15" s="15" t="n">
        <x:f>I15*7</x:f>
        <x:v>792.9999999999</x:v>
      </x:c>
      <x:c r="C15" s="15" t="n">
        <x:f>'Inventory Risk'!G15</x:f>
        <x:v>950</x:v>
      </x:c>
      <x:c r="D15" s="11" t="n">
        <x:f>B15/C15</x:f>
        <x:v>0.8347368421051579</x:v>
      </x:c>
      <x:c r="E15" s="20" t="n">
        <x:f>IF(B15&gt;C15,1,0)</x:f>
        <x:v>0</x:v>
      </x:c>
      <x:c r="F15" s="15" t="n">
        <x:f>MAX(0,B15-C15)</x:f>
        <x:v>0</x:v>
      </x:c>
      <x:c r="G15" s="15" t="n">
        <x:f>'Inventory Risk'!E15</x:f>
        <x:v>3311</x:v>
      </x:c>
      <x:c r="H15" s="15" t="n">
        <x:f>'Inventory Risk'!F15</x:f>
        <x:v>16</x:v>
      </x:c>
      <x:c r="I15" s="15" t="n">
        <x:f>'Inventory Risk'!H15</x:f>
        <x:v>113.2857142857</x:v>
      </x:c>
      <x:c r="J15" s="15" t="n">
        <x:f>'Inventory Risk'!D15</x:f>
        <x:v>166.2936301503</x:v>
      </x:c>
      <x:c r="K15" s="15" t="n">
        <x:f>I15*H15</x:f>
        <x:v>1812.5714285712</x:v>
      </x:c>
      <x:c r="L15" s="20" t="n">
        <x:f>IF(G15&lt;K15,1,0)</x:f>
        <x:v>0</x:v>
      </x:c>
      <x:c r="M15" s="15" t="n">
        <x:f>IF(I15=0,"",G15/I15)</x:f>
        <x:v>29.22698612862916</x:v>
      </x:c>
      <x:c r="N15" s="15" t="n">
        <x:f>K15+1.65*J15*SQRT(H15)</x:f>
        <x:v>2910.10938756318</x:v>
      </x:c>
      <x:c r="O15" s="20" t="n">
        <x:f>IF(G15&lt;N15,1,0)</x:f>
        <x:v>0</x:v>
      </x:c>
      <x:c r="P15" s="20" t="n">
        <x:f>IF(E15+L15+O15&gt;0,1,0)</x:f>
        <x:v>0</x:v>
      </x:c>
    </x:row>
    <x:row r="16">
      <x:c r="A16" s="1" t="str">
        <x:f>'Inventory Risk'!A16</x:f>
        <x:v>22470</x:v>
      </x:c>
      <x:c r="B16" s="15" t="n">
        <x:f>I16*7</x:f>
        <x:v>827.9999999999</x:v>
      </x:c>
      <x:c r="C16" s="15" t="n">
        <x:f>'Inventory Risk'!G16</x:f>
        <x:v>308</x:v>
      </x:c>
      <x:c r="D16" s="11" t="n">
        <x:f>B16/C16</x:f>
        <x:v>2.6883116883113636</x:v>
      </x:c>
      <x:c r="E16" s="20" t="n">
        <x:f>IF(B16&gt;C16,1,0)</x:f>
        <x:v>1</x:v>
      </x:c>
      <x:c r="F16" s="15" t="n">
        <x:f>MAX(0,B16-C16)</x:f>
        <x:v>519.9999999999</x:v>
      </x:c>
      <x:c r="G16" s="15" t="n">
        <x:f>'Inventory Risk'!E16</x:f>
        <x:v>736</x:v>
      </x:c>
      <x:c r="H16" s="15" t="n">
        <x:f>'Inventory Risk'!F16</x:f>
        <x:v>10</x:v>
      </x:c>
      <x:c r="I16" s="15" t="n">
        <x:f>'Inventory Risk'!H16</x:f>
        <x:v>118.2857142857</x:v>
      </x:c>
      <x:c r="J16" s="15" t="n">
        <x:f>'Inventory Risk'!D16</x:f>
        <x:v>145.794213898</x:v>
      </x:c>
      <x:c r="K16" s="15" t="n">
        <x:f>I16*H16</x:f>
        <x:v>1182.8571428569999</x:v>
      </x:c>
      <x:c r="L16" s="20" t="n">
        <x:f>IF(G16&lt;K16,1,0)</x:f>
        <x:v>1</x:v>
      </x:c>
      <x:c r="M16" s="15" t="n">
        <x:f>IF(I16=0,"",G16/I16)</x:f>
        <x:v>6.222222222222974</x:v>
      </x:c>
      <x:c r="N16" s="15" t="n">
        <x:f>K16+1.65*J16*SQRT(H16)</x:f>
        <x:v>1943.576089082902</x:v>
      </x:c>
      <x:c r="O16" s="20" t="n">
        <x:f>IF(G16&lt;N16,1,0)</x:f>
        <x:v>1</x:v>
      </x:c>
      <x:c r="P16" s="20" t="n">
        <x:f>IF(E16+L16+O16&gt;0,1,0)</x:f>
        <x:v>1</x:v>
      </x:c>
    </x:row>
    <x:row r="17">
      <x:c r="A17" s="1" t="str">
        <x:f>'Inventory Risk'!A17</x:f>
        <x:v>22666</x:v>
      </x:c>
      <x:c r="B17" s="15" t="n">
        <x:f>I17*7</x:f>
        <x:v>176.0000000003</x:v>
      </x:c>
      <x:c r="C17" s="15" t="n">
        <x:f>'Inventory Risk'!G17</x:f>
        <x:v>289</x:v>
      </x:c>
      <x:c r="D17" s="11" t="n">
        <x:f>B17/C17</x:f>
        <x:v>0.6089965397934256</x:v>
      </x:c>
      <x:c r="E17" s="20" t="n">
        <x:f>IF(B17&gt;C17,1,0)</x:f>
        <x:v>0</x:v>
      </x:c>
      <x:c r="F17" s="15" t="n">
        <x:f>MAX(0,B17-C17)</x:f>
        <x:v>0</x:v>
      </x:c>
      <x:c r="G17" s="15" t="n">
        <x:f>'Inventory Risk'!E17</x:f>
        <x:v>2856</x:v>
      </x:c>
      <x:c r="H17" s="15" t="n">
        <x:f>'Inventory Risk'!F17</x:f>
        <x:v>6</x:v>
      </x:c>
      <x:c r="I17" s="15" t="n">
        <x:f>'Inventory Risk'!H17</x:f>
        <x:v>25.1428571429</x:v>
      </x:c>
      <x:c r="J17" s="15" t="n">
        <x:f>'Inventory Risk'!D17</x:f>
        <x:v>72.7244940912</x:v>
      </x:c>
      <x:c r="K17" s="15" t="n">
        <x:f>I17*H17</x:f>
        <x:v>150.8571428574</x:v>
      </x:c>
      <x:c r="L17" s="20" t="n">
        <x:f>IF(G17&lt;K17,1,0)</x:f>
        <x:v>0</x:v>
      </x:c>
      <x:c r="M17" s="15" t="n">
        <x:f>IF(I17=0,"",G17/I17)</x:f>
        <x:v>113.59090909071547</x:v>
      </x:c>
      <x:c r="N17" s="15" t="n">
        <x:f>K17+1.65*J17*SQRT(H17)</x:f>
        <x:v>444.78468169445887</x:v>
      </x:c>
      <x:c r="O17" s="20" t="n">
        <x:f>IF(G17&lt;N17,1,0)</x:f>
        <x:v>0</x:v>
      </x:c>
      <x:c r="P17" s="20" t="n">
        <x:f>IF(E17+L17+O17&gt;0,1,0)</x:f>
        <x:v>0</x:v>
      </x:c>
    </x:row>
    <x:row r="18">
      <x:c r="A18" s="1" t="str">
        <x:f>'Inventory Risk'!A18</x:f>
        <x:v>22720</x:v>
      </x:c>
      <x:c r="B18" s="15" t="n">
        <x:f>I18*7</x:f>
        <x:v>152.9999999997</x:v>
      </x:c>
      <x:c r="C18" s="15" t="n">
        <x:f>'Inventory Risk'!G18</x:f>
        <x:v>171</x:v>
      </x:c>
      <x:c r="D18" s="11" t="n">
        <x:f>B18/C18</x:f>
        <x:v>0.8947368421035088</x:v>
      </x:c>
      <x:c r="E18" s="20" t="n">
        <x:f>IF(B18&gt;C18,1,0)</x:f>
        <x:v>0</x:v>
      </x:c>
      <x:c r="F18" s="15" t="n">
        <x:f>MAX(0,B18-C18)</x:f>
        <x:v>0</x:v>
      </x:c>
      <x:c r="G18" s="15" t="n">
        <x:f>'Inventory Risk'!E18</x:f>
        <x:v>369</x:v>
      </x:c>
      <x:c r="H18" s="15" t="n">
        <x:f>'Inventory Risk'!F18</x:f>
        <x:v>21</x:v>
      </x:c>
      <x:c r="I18" s="15" t="n">
        <x:f>'Inventory Risk'!H18</x:f>
        <x:v>21.8571428571</x:v>
      </x:c>
      <x:c r="J18" s="15" t="n">
        <x:f>'Inventory Risk'!D18</x:f>
        <x:v>15.7037302211</x:v>
      </x:c>
      <x:c r="K18" s="15" t="n">
        <x:f>I18*H18</x:f>
        <x:v>458.99999999910005</x:v>
      </x:c>
      <x:c r="L18" s="20" t="n">
        <x:f>IF(G18&lt;K18,1,0)</x:f>
        <x:v>1</x:v>
      </x:c>
      <x:c r="M18" s="15" t="n">
        <x:f>IF(I18=0,"",G18/I18)</x:f>
        <x:v>16.88235294120957</x:v>
      </x:c>
      <x:c r="N18" s="15" t="n">
        <x:f>K18+1.65*J18*SQRT(H18)</x:f>
        <x:v>577.739828510838</x:v>
      </x:c>
      <x:c r="O18" s="20" t="n">
        <x:f>IF(G18&lt;N18,1,0)</x:f>
        <x:v>1</x:v>
      </x:c>
      <x:c r="P18" s="20" t="n">
        <x:f>IF(E18+L18+O18&gt;0,1,0)</x:f>
        <x:v>1</x:v>
      </x:c>
    </x:row>
    <x:row r="19">
      <x:c r="A19" s="1" t="str">
        <x:f>'Inventory Risk'!A19</x:f>
        <x:v>22722</x:v>
      </x:c>
      <x:c r="B19" s="15" t="n">
        <x:f>I19*7</x:f>
        <x:v>78.9999999999</x:v>
      </x:c>
      <x:c r="C19" s="15" t="n">
        <x:f>'Inventory Risk'!G19</x:f>
        <x:v>83</x:v>
      </x:c>
      <x:c r="D19" s="11" t="n">
        <x:f>B19/C19</x:f>
        <x:v>0.9518072289144578</x:v>
      </x:c>
      <x:c r="E19" s="20" t="n">
        <x:f>IF(B19&gt;C19,1,0)</x:f>
        <x:v>0</x:v>
      </x:c>
      <x:c r="F19" s="15" t="n">
        <x:f>MAX(0,B19-C19)</x:f>
        <x:v>0</x:v>
      </x:c>
      <x:c r="G19" s="15" t="n">
        <x:f>'Inventory Risk'!E19</x:f>
        <x:v>109</x:v>
      </x:c>
      <x:c r="H19" s="15" t="n">
        <x:f>'Inventory Risk'!F19</x:f>
        <x:v>20</x:v>
      </x:c>
      <x:c r="I19" s="15" t="n">
        <x:f>'Inventory Risk'!H19</x:f>
        <x:v>11.2857142857</x:v>
      </x:c>
      <x:c r="J19" s="15" t="n">
        <x:f>'Inventory Risk'!D19</x:f>
        <x:v>16.5264167011</x:v>
      </x:c>
      <x:c r="K19" s="15" t="n">
        <x:f>I19*H19</x:f>
        <x:v>225.71428571399997</x:v>
      </x:c>
      <x:c r="L19" s="20" t="n">
        <x:f>IF(G19&lt;K19,1,0)</x:f>
        <x:v>1</x:v>
      </x:c>
      <x:c r="M19" s="15" t="n">
        <x:f>IF(I19=0,"",G19/I19)</x:f>
        <x:v>9.658227848113492</x:v>
      </x:c>
      <x:c r="N19" s="15" t="n">
        <x:f>K19+1.65*J19*SQRT(H19)</x:f>
        <x:v>347.6631165688865</x:v>
      </x:c>
      <x:c r="O19" s="20" t="n">
        <x:f>IF(G19&lt;N19,1,0)</x:f>
        <x:v>1</x:v>
      </x:c>
      <x:c r="P19" s="20" t="n">
        <x:f>IF(E19+L19+O19&gt;0,1,0)</x:f>
        <x:v>1</x:v>
      </x:c>
    </x:row>
    <x:row r="20">
      <x:c r="A20" s="1" t="str">
        <x:f>'Inventory Risk'!A20</x:f>
        <x:v>22960</x:v>
      </x:c>
      <x:c r="B20" s="15" t="n">
        <x:f>I20*7</x:f>
        <x:v>343</x:v>
      </x:c>
      <x:c r="C20" s="15" t="n">
        <x:f>'Inventory Risk'!G20</x:f>
        <x:v>290</x:v>
      </x:c>
      <x:c r="D20" s="11" t="n">
        <x:f>B20/C20</x:f>
        <x:v>1.1827586206896552</x:v>
      </x:c>
      <x:c r="E20" s="20" t="n">
        <x:f>IF(B20&gt;C20,1,0)</x:f>
        <x:v>1</x:v>
      </x:c>
      <x:c r="F20" s="15" t="n">
        <x:f>MAX(0,B20-C20)</x:f>
        <x:v>53</x:v>
      </x:c>
      <x:c r="G20" s="15" t="n">
        <x:f>'Inventory Risk'!E20</x:f>
        <x:v>644</x:v>
      </x:c>
      <x:c r="H20" s="15" t="n">
        <x:f>'Inventory Risk'!F20</x:f>
        <x:v>11</x:v>
      </x:c>
      <x:c r="I20" s="15" t="n">
        <x:f>'Inventory Risk'!H20</x:f>
        <x:v>49</x:v>
      </x:c>
      <x:c r="J20" s="15" t="n">
        <x:f>'Inventory Risk'!D20</x:f>
        <x:v>49.484523967</x:v>
      </x:c>
      <x:c r="K20" s="15" t="n">
        <x:f>I20*H20</x:f>
        <x:v>539</x:v>
      </x:c>
      <x:c r="L20" s="20" t="n">
        <x:f>IF(G20&lt;K20,1,0)</x:f>
        <x:v>0</x:v>
      </x:c>
      <x:c r="M20" s="15" t="n">
        <x:f>IF(I20=0,"",G20/I20)</x:f>
        <x:v>13.142857142857142</x:v>
      </x:c>
      <x:c r="N20" s="15" t="n">
        <x:f>K20+1.65*J20*SQRT(H20)</x:f>
        <x:v>809.8006382310155</x:v>
      </x:c>
      <x:c r="O20" s="20" t="n">
        <x:f>IF(G20&lt;N20,1,0)</x:f>
        <x:v>1</x:v>
      </x:c>
      <x:c r="P20" s="20" t="n">
        <x:f>IF(E20+L20+O20&gt;0,1,0)</x:f>
        <x:v>1</x:v>
      </x:c>
    </x:row>
    <x:row r="21">
      <x:c r="A21" s="1" t="str">
        <x:f>'Inventory Risk'!A21</x:f>
        <x:v>22961</x:v>
      </x:c>
      <x:c r="B21" s="15" t="n">
        <x:f>I21*7</x:f>
        <x:v>318.99999999979997</x:v>
      </x:c>
      <x:c r="C21" s="15" t="n">
        <x:f>'Inventory Risk'!G21</x:f>
        <x:v>506</x:v>
      </x:c>
      <x:c r="D21" s="11" t="n">
        <x:f>B21/C21</x:f>
        <x:v>0.6304347826083003</x:v>
      </x:c>
      <x:c r="E21" s="20" t="n">
        <x:f>IF(B21&gt;C21,1,0)</x:f>
        <x:v>0</x:v>
      </x:c>
      <x:c r="F21" s="15" t="n">
        <x:f>MAX(0,B21-C21)</x:f>
        <x:v>0</x:v>
      </x:c>
      <x:c r="G21" s="15" t="n">
        <x:f>'Inventory Risk'!E21</x:f>
        <x:v>3522</x:v>
      </x:c>
      <x:c r="H21" s="15" t="n">
        <x:f>'Inventory Risk'!F21</x:f>
        <x:v>7</x:v>
      </x:c>
      <x:c r="I21" s="15" t="n">
        <x:f>'Inventory Risk'!H21</x:f>
        <x:v>45.5714285714</x:v>
      </x:c>
      <x:c r="J21" s="15" t="n">
        <x:f>'Inventory Risk'!D21</x:f>
        <x:v>51.0455353941</x:v>
      </x:c>
      <x:c r="K21" s="15" t="n">
        <x:f>I21*H21</x:f>
        <x:v>318.99999999979997</x:v>
      </x:c>
      <x:c r="L21" s="20" t="n">
        <x:f>IF(G21&lt;K21,1,0)</x:f>
        <x:v>0</x:v>
      </x:c>
      <x:c r="M21" s="15" t="n">
        <x:f>IF(I21=0,"",G21/I21)</x:f>
        <x:v>77.28526645772871</x:v>
      </x:c>
      <x:c r="N21" s="15" t="n">
        <x:f>K21+1.65*J21*SQRT(H21)</x:f>
        <x:v>541.8387571181411</x:v>
      </x:c>
      <x:c r="O21" s="20" t="n">
        <x:f>IF(G21&lt;N21,1,0)</x:f>
        <x:v>0</x:v>
      </x:c>
      <x:c r="P21" s="20" t="n">
        <x:f>IF(E21+L21+O21&gt;0,1,0)</x:f>
        <x:v>0</x:v>
      </x:c>
    </x:row>
    <x:row r="22">
      <x:c r="A22" s="1" t="str">
        <x:f>'Inventory Risk'!A22</x:f>
        <x:v>84378</x:v>
      </x:c>
      <x:c r="B22" s="15" t="n">
        <x:f>I22*7</x:f>
        <x:v>862.0000000003</x:v>
      </x:c>
      <x:c r="C22" s="15" t="n">
        <x:f>'Inventory Risk'!G22</x:f>
        <x:v>262</x:v>
      </x:c>
      <x:c r="D22" s="11" t="n">
        <x:f>B22/C22</x:f>
        <x:v>3.2900763358790077</x:v>
      </x:c>
      <x:c r="E22" s="20" t="n">
        <x:f>IF(B22&gt;C22,1,0)</x:f>
        <x:v>1</x:v>
      </x:c>
      <x:c r="F22" s="15" t="n">
        <x:f>MAX(0,B22-C22)</x:f>
        <x:v>600.0000000003</x:v>
      </x:c>
      <x:c r="G22" s="15" t="n">
        <x:f>'Inventory Risk'!E22</x:f>
        <x:v>2946</x:v>
      </x:c>
      <x:c r="H22" s="15" t="n">
        <x:f>'Inventory Risk'!F22</x:f>
        <x:v>20</x:v>
      </x:c>
      <x:c r="I22" s="15" t="n">
        <x:f>'Inventory Risk'!H22</x:f>
        <x:v>123.1428571429</x:v>
      </x:c>
      <x:c r="J22" s="15" t="n">
        <x:f>'Inventory Risk'!D22</x:f>
        <x:v>143.5676749687</x:v>
      </x:c>
      <x:c r="K22" s="15" t="n">
        <x:f>I22*H22</x:f>
        <x:v>2462.857142858</x:v>
      </x:c>
      <x:c r="L22" s="20" t="n">
        <x:f>IF(G22&lt;K22,1,0)</x:f>
        <x:v>0</x:v>
      </x:c>
      <x:c r="M22" s="15" t="n">
        <x:f>IF(I22=0,"",G22/I22)</x:f>
        <x:v>23.92343387470165</x:v>
      </x:c>
      <x:c r="N22" s="15" t="n">
        <x:f>K22+1.65*J22*SQRT(H22)</x:f>
        <x:v>3522.246508843307</x:v>
      </x:c>
      <x:c r="O22" s="20" t="n">
        <x:f>IF(G22&lt;N22,1,0)</x:f>
        <x:v>1</x:v>
      </x:c>
      <x:c r="P22" s="20" t="n">
        <x:f>IF(E22+L22+O22&gt;0,1,0)</x:f>
        <x:v>1</x:v>
      </x:c>
    </x:row>
    <x:row r="23">
      <x:c r="A23" s="1" t="str">
        <x:f>'Inventory Risk'!A23</x:f>
        <x:v>84879</x:v>
      </x:c>
      <x:c r="B23" s="15" t="n">
        <x:f>I23*7</x:f>
        <x:v>929.9999999997</x:v>
      </x:c>
      <x:c r="C23" s="15" t="n">
        <x:f>'Inventory Risk'!G23</x:f>
        <x:v>1534</x:v>
      </x:c>
      <x:c r="D23" s="11" t="n">
        <x:f>B23/C23</x:f>
        <x:v>0.6062581486308344</x:v>
      </x:c>
      <x:c r="E23" s="20" t="n">
        <x:f>IF(B23&gt;C23,1,0)</x:f>
        <x:v>0</x:v>
      </x:c>
      <x:c r="F23" s="15" t="n">
        <x:f>MAX(0,B23-C23)</x:f>
        <x:v>0</x:v>
      </x:c>
      <x:c r="G23" s="15" t="n">
        <x:f>'Inventory Risk'!E23</x:f>
        <x:v>1896</x:v>
      </x:c>
      <x:c r="H23" s="15" t="n">
        <x:f>'Inventory Risk'!F23</x:f>
        <x:v>15</x:v>
      </x:c>
      <x:c r="I23" s="15" t="n">
        <x:f>'Inventory Risk'!H23</x:f>
        <x:v>132.8571428571</x:v>
      </x:c>
      <x:c r="J23" s="15" t="n">
        <x:f>'Inventory Risk'!D23</x:f>
        <x:v>243.8390941308</x:v>
      </x:c>
      <x:c r="K23" s="15" t="n">
        <x:f>I23*H23</x:f>
        <x:v>1992.8571428565</x:v>
      </x:c>
      <x:c r="L23" s="20" t="n">
        <x:f>IF(G23&lt;K23,1,0)</x:f>
        <x:v>1</x:v>
      </x:c>
      <x:c r="M23" s="15" t="n">
        <x:f>IF(I23=0,"",G23/I23)</x:f>
        <x:v>14.270967741940087</x:v>
      </x:c>
      <x:c r="N23" s="15" t="n">
        <x:f>K23+1.65*J23*SQRT(H23)</x:f>
        <x:v>3551.0919815492703</x:v>
      </x:c>
      <x:c r="O23" s="20" t="n">
        <x:f>IF(G23&lt;N23,1,0)</x:f>
        <x:v>1</x:v>
      </x:c>
      <x:c r="P23" s="20" t="n">
        <x:f>IF(E23+L23+O23&gt;0,1,0)</x:f>
        <x:v>1</x:v>
      </x:c>
    </x:row>
    <x:row r="24">
      <x:c r="A24" s="1" t="str">
        <x:f>'Inventory Risk'!A24</x:f>
        <x:v>85099B</x:v>
      </x:c>
      <x:c r="B24" s="15" t="n">
        <x:f>I24*7</x:f>
        <x:v>724.0000000002</x:v>
      </x:c>
      <x:c r="C24" s="15" t="n">
        <x:f>'Inventory Risk'!G24</x:f>
        <x:v>1899</x:v>
      </x:c>
      <x:c r="D24" s="11" t="n">
        <x:f>B24/C24</x:f>
        <x:v>0.38125329120600315</x:v>
      </x:c>
      <x:c r="E24" s="20" t="n">
        <x:f>IF(B24&gt;C24,1,0)</x:f>
        <x:v>0</x:v>
      </x:c>
      <x:c r="F24" s="15" t="n">
        <x:f>MAX(0,B24-C24)</x:f>
        <x:v>0</x:v>
      </x:c>
      <x:c r="G24" s="15" t="n">
        <x:f>'Inventory Risk'!E24</x:f>
        <x:v>7982</x:v>
      </x:c>
      <x:c r="H24" s="15" t="n">
        <x:f>'Inventory Risk'!F24</x:f>
        <x:v>13</x:v>
      </x:c>
      <x:c r="I24" s="15" t="n">
        <x:f>'Inventory Risk'!H24</x:f>
        <x:v>103.4285714286</x:v>
      </x:c>
      <x:c r="J24" s="15" t="n">
        <x:f>'Inventory Risk'!D24</x:f>
        <x:v>248.5555208374</x:v>
      </x:c>
      <x:c r="K24" s="15" t="n">
        <x:f>I24*H24</x:f>
        <x:v>1344.5714285718</x:v>
      </x:c>
      <x:c r="L24" s="20" t="n">
        <x:f>IF(G24&lt;K24,1,0)</x:f>
        <x:v>0</x:v>
      </x:c>
      <x:c r="M24" s="15" t="n">
        <x:f>IF(I24=0,"",G24/I24)</x:f>
        <x:v>77.17403314914996</x:v>
      </x:c>
      <x:c r="N24" s="15" t="n">
        <x:f>K24+1.65*J24*SQRT(H24)</x:f>
        <x:v>2823.267892616991</x:v>
      </x:c>
      <x:c r="O24" s="20" t="n">
        <x:f>IF(G24&lt;N24,1,0)</x:f>
        <x:v>0</x:v>
      </x:c>
      <x:c r="P24" s="20" t="n">
        <x:f>IF(E24+L24+O24&gt;0,1,0)</x:f>
        <x:v>0</x:v>
      </x:c>
    </x:row>
    <x:row r="25">
      <x:c r="A25" s="1" t="str">
        <x:f>'Inventory Risk'!A25</x:f>
        <x:v>85123A</x:v>
      </x:c>
      <x:c r="B25" s="15" t="n">
        <x:f>I25*7</x:f>
        <x:v>920.0000000002001</x:v>
      </x:c>
      <x:c r="C25" s="15" t="n">
        <x:f>'Inventory Risk'!G25</x:f>
        <x:v>1791</x:v>
      </x:c>
      <x:c r="D25" s="11" t="n">
        <x:f>B25/C25</x:f>
        <x:v>0.5136795086544947</x:v>
      </x:c>
      <x:c r="E25" s="20" t="n">
        <x:f>IF(B25&gt;C25,1,0)</x:f>
        <x:v>0</x:v>
      </x:c>
      <x:c r="F25" s="15" t="n">
        <x:f>MAX(0,B25-C25)</x:f>
        <x:v>0</x:v>
      </x:c>
      <x:c r="G25" s="15" t="n">
        <x:f>'Inventory Risk'!E25</x:f>
        <x:v>663</x:v>
      </x:c>
      <x:c r="H25" s="15" t="n">
        <x:f>'Inventory Risk'!F25</x:f>
        <x:v>17</x:v>
      </x:c>
      <x:c r="I25" s="15" t="n">
        <x:f>'Inventory Risk'!H25</x:f>
        <x:v>131.4285714286</x:v>
      </x:c>
      <x:c r="J25" s="15" t="n">
        <x:f>'Inventory Risk'!D25</x:f>
        <x:v>238.2051160154</x:v>
      </x:c>
      <x:c r="K25" s="15" t="n">
        <x:f>I25*H25</x:f>
        <x:v>2234.2857142862003</x:v>
      </x:c>
      <x:c r="L25" s="20" t="n">
        <x:f>IF(G25&lt;K25,1,0)</x:f>
        <x:v>1</x:v>
      </x:c>
      <x:c r="M25" s="15" t="n">
        <x:f>IF(I25=0,"",G25/I25)</x:f>
        <x:v>5.044565217390208</x:v>
      </x:c>
      <x:c r="N25" s="15" t="n">
        <x:f>K25+1.65*J25*SQRT(H25)</x:f>
        <x:v>3854.8247232113054</x:v>
      </x:c>
      <x:c r="O25" s="20" t="n">
        <x:f>IF(G25&lt;N25,1,0)</x:f>
        <x:v>1</x:v>
      </x:c>
      <x:c r="P25" s="20" t="n">
        <x:f>IF(E25+L25+O25&gt;0,1,0)</x:f>
        <x:v>1</x:v>
      </x:c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 t="str">
        <x:v>Cover uses forecast demand. Inventory Risk retains historical cover. Equality does not flag.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</x:sheetData>
  <x:conditionalFormatting sqref="E6:E25">
    <x:cfRule type="cellIs" dxfId="3" priority="1" operator="equal">
      <x:formula>1</x:formula>
    </x:cfRule>
  </x:conditionalFormatting>
  <x:conditionalFormatting sqref="L6:L25">
    <x:cfRule type="cellIs" dxfId="4" priority="2" operator="equal">
      <x:formula>1</x:formula>
    </x:cfRule>
  </x:conditionalFormatting>
  <x:conditionalFormatting sqref="O6:O25">
    <x:cfRule type="cellIs" dxfId="5" priority="3" operator="equal">
      <x:formula>1</x:formula>
    </x:cfRule>
  </x:conditionalFormatting>
  <x:conditionalFormatting sqref="P6:P25">
    <x:cfRule type="cellIs" dxfId="6" priority="4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c2801b1e7b409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Forecast comparison on reused historical periods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All 20 products. Three rolling origins, 14 days each. No holdout tuning.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6" customHeight="1">
      <x:c r="A5" s="19" t="str">
        <x:v>Model</x:v>
      </x:c>
      <x:c r="B5" s="19" t="str">
        <x:v>MAE units</x:v>
      </x:c>
      <x:c r="C5" s="19" t="str">
        <x:v>WAPE</x:v>
      </x:c>
      <x:c r="D5" s="19" t="str">
        <x:v>Bias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 t="str">
        <x:v>croston_sba</x:v>
      </x:c>
      <x:c r="B6" s="21" t="n">
        <x:v>60.09442115810038</x:v>
      </x:c>
      <x:c r="C6" s="22" t="n">
        <x:v>0.8291608701183364</x:v>
      </x:c>
      <x:c r="D6" s="22" t="n">
        <x:v>-0.1828752332464749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 t="str">
        <x:v>naive</x:v>
      </x:c>
      <x:c r="B7" s="21" t="n">
        <x:v>67.06428571428572</x:v>
      </x:c>
      <x:c r="C7" s="22" t="n">
        <x:v>0.9253285151116952</x:v>
      </x:c>
      <x:c r="D7" s="22" t="n">
        <x:v>-0.1187910643889618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>
      <x:c r="A8" s="1" t="str">
        <x:v>ridge</x:v>
      </x:c>
      <x:c r="B8" s="21" t="n">
        <x:v>55.54788244192644</x:v>
      </x:c>
      <x:c r="C8" s="22" t="n">
        <x:v>0.76642938980319</x:v>
      </x:c>
      <x:c r="D8" s="22" t="n">
        <x:v>-0.3154998461555157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>
      <x:c r="A9" s="1" t="str">
        <x:v>seasonal_naive</x:v>
      </x:c>
      <x:c r="B9" s="21" t="n">
        <x:v>71.79523809523809</x:v>
      </x:c>
      <x:c r="C9" s="22" t="n">
        <x:v>0.990604467805519</x:v>
      </x:c>
      <x:c r="D9" s="22" t="n">
        <x:v>-0.0947109067017082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>
      <x:c r="A11" s="1" t="str">
        <x:v>Negative bias means underforecasting. Croston SBA alpha is fixed at 0.1.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36" customHeight="1">
      <x:c r="A18" s="19" t="str">
        <x:v>Target date</x:v>
      </x:c>
      <x:c r="B18" s="19" t="str">
        <x:v>Actual units</x:v>
      </x:c>
      <x:c r="C18" s="19" t="str">
        <x:v>Croston SBA</x:v>
      </x:c>
      <x:c r="D18" s="19" t="str">
        <x:v>Naive</x:v>
      </x:c>
      <x:c r="E18" s="19" t="str">
        <x:v>Ridge</x:v>
      </x:c>
      <x:c r="F18" s="19" t="str">
        <x:v>Seasonal naive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 t="str">
        <x:v>2011-11-17</x:v>
      </x:c>
      <x:c r="B19" s="13" t="n">
        <x:v>1029</x:v>
      </x:c>
      <x:c r="C19" s="13" t="n">
        <x:v>1550.239181067212</x:v>
      </x:c>
      <x:c r="D19" s="13" t="n">
        <x:v>1796</x:v>
      </x:c>
      <x:c r="E19" s="13" t="n">
        <x:v>1444.4510441654818</x:v>
      </x:c>
      <x:c r="F19" s="13" t="n">
        <x:v>2618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 t="str">
        <x:v>2011-11-18</x:v>
      </x:c>
      <x:c r="B20" s="13" t="n">
        <x:v>1713</x:v>
      </x:c>
      <x:c r="C20" s="13" t="n">
        <x:v>1550.239181067212</x:v>
      </x:c>
      <x:c r="D20" s="13" t="n">
        <x:v>1796</x:v>
      </x:c>
      <x:c r="E20" s="13" t="n">
        <x:v>937.176500138159</x:v>
      </x:c>
      <x:c r="F20" s="13" t="n">
        <x:v>931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 t="str">
        <x:v>2011-11-19</x:v>
      </x:c>
      <x:c r="B21" s="13" t="n">
        <x:v>0</x:v>
      </x:c>
      <x:c r="C21" s="13" t="n">
        <x:v>1550.239181067212</x:v>
      </x:c>
      <x:c r="D21" s="13" t="n">
        <x:v>1796</x:v>
      </x:c>
      <x:c r="E21" s="13" t="n">
        <x:v>533.933026865459</x:v>
      </x:c>
      <x:c r="F21" s="13" t="n">
        <x:v>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 t="str">
        <x:v>2011-11-20</x:v>
      </x:c>
      <x:c r="B22" s="13" t="n">
        <x:v>863</x:v>
      </x:c>
      <x:c r="C22" s="13" t="n">
        <x:v>1550.239181067212</x:v>
      </x:c>
      <x:c r="D22" s="13" t="n">
        <x:v>1796</x:v>
      </x:c>
      <x:c r="E22" s="13" t="n">
        <x:v>611.9658654029938</x:v>
      </x:c>
      <x:c r="F22" s="13" t="n">
        <x:v>761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 t="str">
        <x:v>2011-11-21</x:v>
      </x:c>
      <x:c r="B23" s="13" t="n">
        <x:v>1445</x:v>
      </x:c>
      <x:c r="C23" s="13" t="n">
        <x:v>1550.239181067212</x:v>
      </x:c>
      <x:c r="D23" s="13" t="n">
        <x:v>1796</x:v>
      </x:c>
      <x:c r="E23" s="13" t="n">
        <x:v>1352.0793429975297</x:v>
      </x:c>
      <x:c r="F23" s="13" t="n">
        <x:v>4039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 t="str">
        <x:v>2011-11-22</x:v>
      </x:c>
      <x:c r="B24" s="13" t="n">
        <x:v>2342</x:v>
      </x:c>
      <x:c r="C24" s="13" t="n">
        <x:v>1550.239181067212</x:v>
      </x:c>
      <x:c r="D24" s="13" t="n">
        <x:v>1796</x:v>
      </x:c>
      <x:c r="E24" s="13" t="n">
        <x:v>1444.7929603777409</x:v>
      </x:c>
      <x:c r="F24" s="13" t="n">
        <x:v>1749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 t="str">
        <x:v>2011-11-23</x:v>
      </x:c>
      <x:c r="B25" s="13" t="n">
        <x:v>1791</x:v>
      </x:c>
      <x:c r="C25" s="13" t="n">
        <x:v>1550.239181067212</x:v>
      </x:c>
      <x:c r="D25" s="13" t="n">
        <x:v>1796</x:v>
      </x:c>
      <x:c r="E25" s="13" t="n">
        <x:v>1672.1489181176023</x:v>
      </x:c>
      <x:c r="F25" s="13" t="n">
        <x:v>1796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 t="str">
        <x:v>2011-11-24</x:v>
      </x:c>
      <x:c r="B26" s="13" t="n">
        <x:v>1752</x:v>
      </x:c>
      <x:c r="C26" s="13" t="n">
        <x:v>1550.239181067212</x:v>
      </x:c>
      <x:c r="D26" s="13" t="n">
        <x:v>1796</x:v>
      </x:c>
      <x:c r="E26" s="13" t="n">
        <x:v>1438.8348924858678</x:v>
      </x:c>
      <x:c r="F26" s="13" t="n">
        <x:v>2618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 t="str">
        <x:v>2011-11-25</x:v>
      </x:c>
      <x:c r="B27" s="13" t="n">
        <x:v>1356</x:v>
      </x:c>
      <x:c r="C27" s="13" t="n">
        <x:v>1550.239181067212</x:v>
      </x:c>
      <x:c r="D27" s="13" t="n">
        <x:v>1796</x:v>
      </x:c>
      <x:c r="E27" s="13" t="n">
        <x:v>926.8744722271358</x:v>
      </x:c>
      <x:c r="F27" s="13" t="n">
        <x:v>931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 t="str">
        <x:v>2011-11-26</x:v>
      </x:c>
      <x:c r="B28" s="13" t="n">
        <x:v>0</x:v>
      </x:c>
      <x:c r="C28" s="13" t="n">
        <x:v>1550.239181067212</x:v>
      </x:c>
      <x:c r="D28" s="13" t="n">
        <x:v>1796</x:v>
      </x:c>
      <x:c r="E28" s="13" t="n">
        <x:v>538.0591868496155</x:v>
      </x:c>
      <x:c r="F28" s="13" t="n">
        <x:v>0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t="str">
        <x:v>2011-11-27</x:v>
      </x:c>
      <x:c r="B29" s="23" t="n">
        <x:v>280</x:v>
      </x:c>
      <x:c r="C29" s="23" t="n">
        <x:v>1550.239181067212</x:v>
      </x:c>
      <x:c r="D29" s="23" t="n">
        <x:v>1796</x:v>
      </x:c>
      <x:c r="E29" s="23" t="n">
        <x:v>573.2030621346596</x:v>
      </x:c>
      <x:c r="F29" s="23" t="n">
        <x:v>761</x:v>
      </x:c>
    </x:row>
    <x:row r="30">
      <x:c r="A30" t="str">
        <x:v>2011-11-28</x:v>
      </x:c>
      <x:c r="B30" s="23" t="n">
        <x:v>2748</x:v>
      </x:c>
      <x:c r="C30" s="23" t="n">
        <x:v>1550.239181067212</x:v>
      </x:c>
      <x:c r="D30" s="23" t="n">
        <x:v>1796</x:v>
      </x:c>
      <x:c r="E30" s="23" t="n">
        <x:v>994.2299941887926</x:v>
      </x:c>
      <x:c r="F30" s="23" t="n">
        <x:v>4039</x:v>
      </x:c>
    </x:row>
    <x:row r="31">
      <x:c r="A31" t="str">
        <x:v>2011-11-29</x:v>
      </x:c>
      <x:c r="B31" s="23" t="n">
        <x:v>2981</x:v>
      </x:c>
      <x:c r="C31" s="23" t="n">
        <x:v>1550.239181067212</x:v>
      </x:c>
      <x:c r="D31" s="23" t="n">
        <x:v>1796</x:v>
      </x:c>
      <x:c r="E31" s="23" t="n">
        <x:v>1427.2956701198557</x:v>
      </x:c>
      <x:c r="F31" s="23" t="n">
        <x:v>1749</x:v>
      </x:c>
    </x:row>
    <x:row r="32">
      <x:c r="A32" t="str">
        <x:v>2011-11-30</x:v>
      </x:c>
      <x:c r="B32" s="23" t="n">
        <x:v>2121</x:v>
      </x:c>
      <x:c r="C32" s="23" t="n">
        <x:v>1550.239181067212</x:v>
      </x:c>
      <x:c r="D32" s="23" t="n">
        <x:v>1796</x:v>
      </x:c>
      <x:c r="E32" s="23" t="n">
        <x:v>1596.8103190457553</x:v>
      </x:c>
      <x:c r="F32" s="23" t="n">
        <x:v>1796</x:v>
      </x:c>
    </x:row>
    <x:row r="35" ht="36" customHeight="1">
      <x:c r="A35" s="19" t="str">
        <x:v>Product</x:v>
      </x:c>
      <x:c r="B35" s="19" t="str">
        <x:v>Model</x:v>
      </x:c>
      <x:c r="C35" s="19" t="str">
        <x:v>MAE units</x:v>
      </x:c>
      <x:c r="D35" s="19" t="str">
        <x:v>WAPE</x:v>
      </x:c>
      <x:c r="E35" s="19" t="str">
        <x:v>Bias</x:v>
      </x:c>
      <x:c r="F35" s="19" t="str">
        <x:v>Actual units</x:v>
      </x:c>
      <x:c r="G35" s="19" t="str">
        <x:v>Underforecast units</x:v>
      </x:c>
    </x:row>
    <x:row r="36">
      <x:c r="A36" t="str">
        <x:v>20725</x:v>
      </x:c>
      <x:c r="B36" t="str">
        <x:v>croston_sba</x:v>
      </x:c>
      <x:c r="C36" s="25" t="n">
        <x:v>42.20455518934239</x:v>
      </x:c>
      <x:c r="D36" s="26" t="n">
        <x:v>0.7150428874354097</x:v>
      </x:c>
      <x:c r="E36" s="26" t="n">
        <x:v>-0.0633790152071008</x:v>
      </x:c>
      <x:c r="F36" s="25" t="n">
        <x:v>2479</x:v>
      </x:c>
      <x:c r="G36" s="25" t="n">
        <x:v>964.8539483253918</x:v>
      </x:c>
    </x:row>
    <x:row r="37">
      <x:c r="A37" t="str">
        <x:v>20725</x:v>
      </x:c>
      <x:c r="B37" t="str">
        <x:v>naive</x:v>
      </x:c>
      <x:c r="C37" s="25" t="n">
        <x:v>41.40476190476191</x:v>
      </x:c>
      <x:c r="D37" s="26" t="n">
        <x:v>0.7014925373134329</x:v>
      </x:c>
      <x:c r="E37" s="26" t="n">
        <x:v>0.1803146430012101</x:v>
      </x:c>
      <x:c r="F37" s="25" t="n">
        <x:v>2479</x:v>
      </x:c>
      <x:c r="G37" s="25" t="n">
        <x:v>646</x:v>
      </x:c>
    </x:row>
    <x:row r="38">
      <x:c r="A38" t="str">
        <x:v>20725</x:v>
      </x:c>
      <x:c r="B38" t="str">
        <x:v>ridge</x:v>
      </x:c>
      <x:c r="C38" s="25" t="n">
        <x:v>36.80997840833006</x:v>
      </x:c>
      <x:c r="D38" s="26" t="n">
        <x:v>0.62364626589345</x:v>
      </x:c>
      <x:c r="E38" s="26" t="n">
        <x:v>-0.0799400578745103</x:v>
      </x:c>
      <x:c r="F38" s="25" t="n">
        <x:v>2479</x:v>
      </x:c>
      <x:c r="G38" s="25" t="n">
        <x:v>872.095248310387</x:v>
      </x:c>
    </x:row>
    <x:row r="39">
      <x:c r="A39" t="str">
        <x:v>20725</x:v>
      </x:c>
      <x:c r="B39" t="str">
        <x:v>seasonal_naive</x:v>
      </x:c>
      <x:c r="C39" s="25" t="n">
        <x:v>51.97619047619048</x:v>
      </x:c>
      <x:c r="D39" s="26" t="n">
        <x:v>0.8805970149253731</x:v>
      </x:c>
      <x:c r="E39" s="26" t="n">
        <x:v>0.0980233965308592</x:v>
      </x:c>
      <x:c r="F39" s="25" t="n">
        <x:v>2479</x:v>
      </x:c>
      <x:c r="G39" s="25" t="n">
        <x:v>970</x:v>
      </x:c>
    </x:row>
    <x:row r="40">
      <x:c r="A40" t="str">
        <x:v>21181</x:v>
      </x:c>
      <x:c r="B40" t="str">
        <x:v>croston_sba</x:v>
      </x:c>
      <x:c r="C40" s="25" t="n">
        <x:v>66.8950015422129</x:v>
      </x:c>
      <x:c r="D40" s="26" t="n">
        <x:v>1.4040929858935238</x:v>
      </x:c>
      <x:c r="E40" s="26" t="n">
        <x:v>-0.0652494026035198</x:v>
      </x:c>
      <x:c r="F40" s="25" t="n">
        <x:v>2001</x:v>
      </x:c>
      <x:c r="G40" s="25" t="n">
        <x:v>1470.0770596912926</x:v>
      </x:c>
    </x:row>
    <x:row r="41">
      <x:c r="A41" t="str">
        <x:v>21181</x:v>
      </x:c>
      <x:c r="B41" t="str">
        <x:v>naive</x:v>
      </x:c>
      <x:c r="C41" s="25" t="n">
        <x:v>45.54761904761905</x:v>
      </x:c>
      <x:c r="D41" s="26" t="n">
        <x:v>0.9560219890054972</x:v>
      </x:c>
      <x:c r="E41" s="26" t="n">
        <x:v>-0.8250874562718641</x:v>
      </x:c>
      <x:c r="F41" s="25" t="n">
        <x:v>2001</x:v>
      </x:c>
      <x:c r="G41" s="25" t="n">
        <x:v>1782</x:v>
      </x:c>
    </x:row>
    <x:row r="42">
      <x:c r="A42" t="str">
        <x:v>21181</x:v>
      </x:c>
      <x:c r="B42" t="str">
        <x:v>ridge</x:v>
      </x:c>
      <x:c r="C42" s="25" t="n">
        <x:v>57.73966621435927</x:v>
      </x:c>
      <x:c r="D42" s="26" t="n">
        <x:v>1.2119270269880509</x:v>
      </x:c>
      <x:c r="E42" s="26" t="n">
        <x:v>-0.2637055408613157</x:v>
      </x:c>
      <x:c r="F42" s="25" t="n">
        <x:v>2001</x:v>
      </x:c>
      <x:c r="G42" s="25" t="n">
        <x:v>1476.3703841332913</x:v>
      </x:c>
    </x:row>
    <x:row r="43">
      <x:c r="A43" t="str">
        <x:v>21181</x:v>
      </x:c>
      <x:c r="B43" t="str">
        <x:v>seasonal_naive</x:v>
      </x:c>
      <x:c r="C43" s="25" t="n">
        <x:v>55.023809523809526</x:v>
      </x:c>
      <x:c r="D43" s="26" t="n">
        <x:v>1.1549225387306348</x:v>
      </x:c>
      <x:c r="E43" s="26" t="n">
        <x:v>-0.3143428285857071</x:v>
      </x:c>
      <x:c r="F43" s="25" t="n">
        <x:v>2001</x:v>
      </x:c>
      <x:c r="G43" s="25" t="n">
        <x:v>1470</x:v>
      </x:c>
    </x:row>
    <x:row r="44">
      <x:c r="A44" t="str">
        <x:v>21212</x:v>
      </x:c>
      <x:c r="B44" t="str">
        <x:v>croston_sba</x:v>
      </x:c>
      <x:c r="C44" s="25" t="n">
        <x:v>55.56026843634196</x:v>
      </x:c>
      <x:c r="D44" s="26" t="n">
        <x:v>0.695745758594622</x:v>
      </x:c>
      <x:c r="E44" s="26" t="n">
        <x:v>0.0058721203092409</x:v>
      </x:c>
      <x:c r="F44" s="25" t="n">
        <x:v>3354</x:v>
      </x:c>
      <x:c r="G44" s="25" t="n">
        <x:v>1156.918091404584</x:v>
      </x:c>
    </x:row>
    <x:row r="45">
      <x:c r="A45" t="str">
        <x:v>21212</x:v>
      </x:c>
      <x:c r="B45" t="str">
        <x:v>naive</x:v>
      </x:c>
      <x:c r="C45" s="25" t="n">
        <x:v>93.28571428571428</x:v>
      </x:c>
      <x:c r="D45" s="26" t="n">
        <x:v>1.1681574239713777</x:v>
      </x:c>
      <x:c r="E45" s="26" t="n">
        <x:v>0.2814549791293977</x:v>
      </x:c>
      <x:c r="F45" s="25" t="n">
        <x:v>3354</x:v>
      </x:c>
      <x:c r="G45" s="25" t="n">
        <x:v>1487</x:v>
      </x:c>
    </x:row>
    <x:row r="46">
      <x:c r="A46" t="str">
        <x:v>21212</x:v>
      </x:c>
      <x:c r="B46" t="str">
        <x:v>ridge</x:v>
      </x:c>
      <x:c r="C46" s="25" t="n">
        <x:v>73.33725802667425</x:v>
      </x:c>
      <x:c r="D46" s="26" t="n">
        <x:v>0.918355646130089</x:v>
      </x:c>
      <x:c r="E46" s="26" t="n">
        <x:v>0.3364549280679702</x:v>
      </x:c>
      <x:c r="F46" s="25" t="n">
        <x:v>3354</x:v>
      </x:c>
      <x:c r="G46" s="25" t="n">
        <x:v>975.8475041901734</x:v>
      </x:c>
    </x:row>
    <x:row r="47">
      <x:c r="A47" t="str">
        <x:v>21212</x:v>
      </x:c>
      <x:c r="B47" t="str">
        <x:v>seasonal_naive</x:v>
      </x:c>
      <x:c r="C47" s="25" t="n">
        <x:v>80</x:v>
      </x:c>
      <x:c r="D47" s="26" t="n">
        <x:v>1.0017889087656529</x:v>
      </x:c>
      <x:c r="E47" s="26" t="n">
        <x:v>0.084675014907573</x:v>
      </x:c>
      <x:c r="F47" s="25" t="n">
        <x:v>3354</x:v>
      </x:c>
      <x:c r="G47" s="25" t="n">
        <x:v>1538</x:v>
      </x:c>
    </x:row>
    <x:row r="48">
      <x:c r="A48" t="str">
        <x:v>21733</x:v>
      </x:c>
      <x:c r="B48" t="str">
        <x:v>croston_sba</x:v>
      </x:c>
      <x:c r="C48" s="25" t="n">
        <x:v>34.43913387938648</x:v>
      </x:c>
      <x:c r="D48" s="26" t="n">
        <x:v>0.8503489846762095</x:v>
      </x:c>
      <x:c r="E48" s="26" t="n">
        <x:v>-0.4664621596755645</x:v>
      </x:c>
      <x:c r="F48" s="25" t="n">
        <x:v>1701</x:v>
      </x:c>
      <x:c r="G48" s="25" t="n">
        <x:v>1119.9478782711838</x:v>
      </x:c>
    </x:row>
    <x:row r="49">
      <x:c r="A49" t="str">
        <x:v>21733</x:v>
      </x:c>
      <x:c r="B49" t="str">
        <x:v>naive</x:v>
      </x:c>
      <x:c r="C49" s="25" t="n">
        <x:v>35.11904761904762</x:v>
      </x:c>
      <x:c r="D49" s="26" t="n">
        <x:v>0.8671369782480893</x:v>
      </x:c>
      <x:c r="E49" s="26" t="n">
        <x:v>-0.7037037037037037</x:v>
      </x:c>
      <x:c r="F49" s="25" t="n">
        <x:v>1701</x:v>
      </x:c>
      <x:c r="G49" s="25" t="n">
        <x:v>1336</x:v>
      </x:c>
    </x:row>
    <x:row r="50">
      <x:c r="A50" t="str">
        <x:v>21733</x:v>
      </x:c>
      <x:c r="B50" t="str">
        <x:v>ridge</x:v>
      </x:c>
      <x:c r="C50" s="25" t="n">
        <x:v>34.46775771566505</x:v>
      </x:c>
      <x:c r="D50" s="26" t="n">
        <x:v>0.8510557460658037</x:v>
      </x:c>
      <x:c r="E50" s="26" t="n">
        <x:v>-0.5532905906472709</x:v>
      </x:c>
      <x:c r="F50" s="25" t="n">
        <x:v>1701</x:v>
      </x:c>
      <x:c r="G50" s="25" t="n">
        <x:v>1194.39655937447</x:v>
      </x:c>
    </x:row>
    <x:row r="51">
      <x:c r="A51" t="str">
        <x:v>21733</x:v>
      </x:c>
      <x:c r="B51" t="str">
        <x:v>seasonal_naive</x:v>
      </x:c>
      <x:c r="C51" s="25" t="n">
        <x:v>36.45238095238095</x:v>
      </x:c>
      <x:c r="D51" s="26" t="n">
        <x:v>0.9000587889476779</x:v>
      </x:c>
      <x:c r="E51" s="26" t="n">
        <x:v>-0.5296884185773074</x:v>
      </x:c>
      <x:c r="F51" s="25" t="n">
        <x:v>1701</x:v>
      </x:c>
      <x:c r="G51" s="25" t="n">
        <x:v>1216</x:v>
      </x:c>
    </x:row>
    <x:row r="52">
      <x:c r="A52" t="str">
        <x:v>21754</x:v>
      </x:c>
      <x:c r="B52" t="str">
        <x:v>croston_sba</x:v>
      </x:c>
      <x:c r="C52" s="25" t="n">
        <x:v>4.983186491318317</x:v>
      </x:c>
      <x:c r="D52" s="26" t="n">
        <x:v>0.6862092873290797</x:v>
      </x:c>
      <x:c r="E52" s="26" t="n">
        <x:v>-0.2767791766394647</x:v>
      </x:c>
      <x:c r="F52" s="25" t="n">
        <x:v>305</x:v>
      </x:c>
      <x:c r="G52" s="25" t="n">
        <x:v>146.85574075520304</x:v>
      </x:c>
    </x:row>
    <x:row r="53">
      <x:c r="A53" t="str">
        <x:v>21754</x:v>
      </x:c>
      <x:c r="B53" t="str">
        <x:v>naive</x:v>
      </x:c>
      <x:c r="C53" s="25" t="n">
        <x:v>6.023809523809524</x:v>
      </x:c>
      <x:c r="D53" s="26" t="n">
        <x:v>0.8295081967213115</x:v>
      </x:c>
      <x:c r="E53" s="26" t="n">
        <x:v>0.1475409836065573</x:v>
      </x:c>
      <x:c r="F53" s="25" t="n">
        <x:v>305</x:v>
      </x:c>
      <x:c r="G53" s="25" t="n">
        <x:v>104</x:v>
      </x:c>
    </x:row>
    <x:row r="54">
      <x:c r="A54" t="str">
        <x:v>21754</x:v>
      </x:c>
      <x:c r="B54" t="str">
        <x:v>ridge</x:v>
      </x:c>
      <x:c r="C54" s="25" t="n">
        <x:v>4.752412978117171</x:v>
      </x:c>
      <x:c r="D54" s="26" t="n">
        <x:v>0.6544306396095776</x:v>
      </x:c>
      <x:c r="E54" s="26" t="n">
        <x:v>-0.0960176067768543</x:v>
      </x:c>
      <x:c r="F54" s="25" t="n">
        <x:v>305</x:v>
      </x:c>
      <x:c r="G54" s="25" t="n">
        <x:v>114.44335757393088</x:v>
      </x:c>
    </x:row>
    <x:row r="55">
      <x:c r="A55" t="str">
        <x:v>21754</x:v>
      </x:c>
      <x:c r="B55" t="str">
        <x:v>seasonal_naive</x:v>
      </x:c>
      <x:c r="C55" s="25" t="n">
        <x:v>5.690476190476191</x:v>
      </x:c>
      <x:c r="D55" s="26" t="n">
        <x:v>0.7836065573770492</x:v>
      </x:c>
      <x:c r="E55" s="26" t="n">
        <x:v>-0.1737704918032787</x:v>
      </x:c>
      <x:c r="F55" s="25" t="n">
        <x:v>305</x:v>
      </x:c>
      <x:c r="G55" s="25" t="n">
        <x:v>146</x:v>
      </x:c>
    </x:row>
    <x:row r="56">
      <x:c r="A56" t="str">
        <x:v>22111</x:v>
      </x:c>
      <x:c r="B56" t="str">
        <x:v>croston_sba</x:v>
      </x:c>
      <x:c r="C56" s="25" t="n">
        <x:v>20.952447033217307</x:v>
      </x:c>
      <x:c r="D56" s="26" t="n">
        <x:v>0.7599333120856019</x:v>
      </x:c>
      <x:c r="E56" s="26" t="n">
        <x:v>-0.1512180058903601</x:v>
      </x:c>
      <x:c r="F56" s="25" t="n">
        <x:v>1158</x:v>
      </x:c>
      <x:c r="G56" s="25" t="n">
        <x:v>527.556613108082</x:v>
      </x:c>
    </x:row>
    <x:row r="57">
      <x:c r="A57" t="str">
        <x:v>22111</x:v>
      </x:c>
      <x:c r="B57" t="str">
        <x:v>naive</x:v>
      </x:c>
      <x:c r="C57" s="25" t="n">
        <x:v>54.285714285714285</x:v>
      </x:c>
      <x:c r="D57" s="26" t="n">
        <x:v>1.9689119170984453</x:v>
      </x:c>
      <x:c r="E57" s="26" t="n">
        <x:v>1.1278065630397236</x:v>
      </x:c>
      <x:c r="F57" s="25" t="n">
        <x:v>1158</x:v>
      </x:c>
      <x:c r="G57" s="25" t="n">
        <x:v>487</x:v>
      </x:c>
    </x:row>
    <x:row r="58">
      <x:c r="A58" t="str">
        <x:v>22111</x:v>
      </x:c>
      <x:c r="B58" t="str">
        <x:v>ridge</x:v>
      </x:c>
      <x:c r="C58" s="25" t="n">
        <x:v>19.03221612829841</x:v>
      </x:c>
      <x:c r="D58" s="26" t="n">
        <x:v>0.6902876315963153</x:v>
      </x:c>
      <x:c r="E58" s="26" t="n">
        <x:v>-0.4635118421401445</x:v>
      </x:c>
      <x:c r="F58" s="25" t="n">
        <x:v>1158</x:v>
      </x:c>
      <x:c r="G58" s="25" t="n">
        <x:v>668.0498952934101</x:v>
      </x:c>
    </x:row>
    <x:row r="59">
      <x:c r="A59" t="str">
        <x:v>22111</x:v>
      </x:c>
      <x:c r="B59" t="str">
        <x:v>seasonal_naive</x:v>
      </x:c>
      <x:c r="C59" s="25" t="n">
        <x:v>22.714285714285715</x:v>
      </x:c>
      <x:c r="D59" s="26" t="n">
        <x:v>0.8238341968911918</x:v>
      </x:c>
      <x:c r="E59" s="26" t="n">
        <x:v>0.0241796200345423</x:v>
      </x:c>
      <x:c r="F59" s="25" t="n">
        <x:v>1158</x:v>
      </x:c>
      <x:c r="G59" s="25" t="n">
        <x:v>463</x:v>
      </x:c>
    </x:row>
    <x:row r="60">
      <x:c r="A60" t="str">
        <x:v>22197</x:v>
      </x:c>
      <x:c r="B60" t="str">
        <x:v>croston_sba</x:v>
      </x:c>
      <x:c r="C60" s="25" t="n">
        <x:v>288.03176497318015</x:v>
      </x:c>
      <x:c r="D60" s="26" t="n">
        <x:v>0.7793669713228686</x:v>
      </x:c>
      <x:c r="E60" s="26" t="n">
        <x:v>-0.2611858567263664</x:v>
      </x:c>
      <x:c r="F60" s="25" t="n">
        <x:v>15522</x:v>
      </x:c>
      <x:c r="G60" s="25" t="n">
        <x:v>8075.730498490114</x:v>
      </x:c>
    </x:row>
    <x:row r="61">
      <x:c r="A61" t="str">
        <x:v>22197</x:v>
      </x:c>
      <x:c r="B61" t="str">
        <x:v>naive</x:v>
      </x:c>
      <x:c r="C61" s="25" t="n">
        <x:v>294.7619047619048</x:v>
      </x:c>
      <x:c r="D61" s="26" t="n">
        <x:v>0.7975776317484861</x:v>
      </x:c>
      <x:c r="E61" s="26" t="n">
        <x:v>-0.3045999226903749</x:v>
      </x:c>
      <x:c r="F61" s="25" t="n">
        <x:v>15522</x:v>
      </x:c>
      <x:c r="G61" s="25" t="n">
        <x:v>8554</x:v>
      </x:c>
    </x:row>
    <x:row r="62">
      <x:c r="A62" t="str">
        <x:v>22197</x:v>
      </x:c>
      <x:c r="B62" t="str">
        <x:v>ridge</x:v>
      </x:c>
      <x:c r="C62" s="25" t="n">
        <x:v>298.21373054901466</x:v>
      </x:c>
      <x:c r="D62" s="26" t="n">
        <x:v>0.8069177092551615</x:v>
      </x:c>
      <x:c r="E62" s="26" t="n">
        <x:v>-0.5351260665119508</x:v>
      </x:c>
      <x:c r="F62" s="25" t="n">
        <x:v>15522</x:v>
      </x:c>
      <x:c r="G62" s="25" t="n">
        <x:v>10415.601743728555</x:v>
      </x:c>
    </x:row>
    <x:row r="63">
      <x:c r="A63" t="str">
        <x:v>22197</x:v>
      </x:c>
      <x:c r="B63" t="str">
        <x:v>seasonal_naive</x:v>
      </x:c>
      <x:c r="C63" s="25" t="n">
        <x:v>426.8571428571428</x:v>
      </x:c>
      <x:c r="D63" s="26" t="n">
        <x:v>1.1550057982218789</x:v>
      </x:c>
      <x:c r="E63" s="26" t="n">
        <x:v>-0.052183996907615</x:v>
      </x:c>
      <x:c r="F63" s="25" t="n">
        <x:v>15522</x:v>
      </x:c>
      <x:c r="G63" s="25" t="n">
        <x:v>9369</x:v>
      </x:c>
    </x:row>
    <x:row r="64">
      <x:c r="A64" t="str">
        <x:v>22423</x:v>
      </x:c>
      <x:c r="B64" t="str">
        <x:v>croston_sba</x:v>
      </x:c>
      <x:c r="C64" s="25" t="n">
        <x:v>23.730028280144925</x:v>
      </x:c>
      <x:c r="D64" s="26" t="n">
        <x:v>0.7206516180521235</x:v>
      </x:c>
      <x:c r="E64" s="26" t="n">
        <x:v>-0.1410705889365931</x:v>
      </x:c>
      <x:c r="F64" s="25" t="n">
        <x:v>1383</x:v>
      </x:c>
      <x:c r="G64" s="25" t="n">
        <x:v>595.8809061326976</x:v>
      </x:c>
    </x:row>
    <x:row r="65">
      <x:c r="A65" t="str">
        <x:v>22423</x:v>
      </x:c>
      <x:c r="B65" t="str">
        <x:v>naive</x:v>
      </x:c>
      <x:c r="C65" s="25" t="n">
        <x:v>30.404761904761905</x:v>
      </x:c>
      <x:c r="D65" s="26" t="n">
        <x:v>0.923355025307303</x:v>
      </x:c>
      <x:c r="E65" s="26" t="n">
        <x:v>-0.3318872017353579</x:v>
      </x:c>
      <x:c r="F65" s="25" t="n">
        <x:v>1383</x:v>
      </x:c>
      <x:c r="G65" s="25" t="n">
        <x:v>868</x:v>
      </x:c>
    </x:row>
    <x:row r="66">
      <x:c r="A66" t="str">
        <x:v>22423</x:v>
      </x:c>
      <x:c r="B66" t="str">
        <x:v>ridge</x:v>
      </x:c>
      <x:c r="C66" s="25" t="n">
        <x:v>20.41659134219919</x:v>
      </x:c>
      <x:c r="D66" s="26" t="n">
        <x:v>0.6200266351210165</x:v>
      </x:c>
      <x:c r="E66" s="26" t="n">
        <x:v>0.0201987146514467</x:v>
      </x:c>
      <x:c r="F66" s="25" t="n">
        <x:v>1383</x:v>
      </x:c>
      <x:c r="G66" s="25" t="n">
        <x:v>414.7810070047074</x:v>
      </x:c>
    </x:row>
    <x:row r="67">
      <x:c r="A67" t="str">
        <x:v>22423</x:v>
      </x:c>
      <x:c r="B67" t="str">
        <x:v>seasonal_naive</x:v>
      </x:c>
      <x:c r="C67" s="25" t="n">
        <x:v>20.5</x:v>
      </x:c>
      <x:c r="D67" s="26" t="n">
        <x:v>0.6225596529284165</x:v>
      </x:c>
      <x:c r="E67" s="26" t="n">
        <x:v>-0.1279826464208243</x:v>
      </x:c>
      <x:c r="F67" s="25" t="n">
        <x:v>1383</x:v>
      </x:c>
      <x:c r="G67" s="25" t="n">
        <x:v>519</x:v>
      </x:c>
    </x:row>
    <x:row r="68">
      <x:c r="A68" t="str">
        <x:v>22457</x:v>
      </x:c>
      <x:c r="B68" t="str">
        <x:v>croston_sba</x:v>
      </x:c>
      <x:c r="C68" s="25" t="n">
        <x:v>17.334886210975313</x:v>
      </x:c>
      <x:c r="D68" s="26" t="n">
        <x:v>0.7194320364238765</x:v>
      </x:c>
      <x:c r="E68" s="26" t="n">
        <x:v>0.0221525728681809</x:v>
      </x:c>
      <x:c r="F68" s="25" t="n">
        <x:v>1012</x:v>
      </x:c>
      <x:c r="G68" s="25" t="n">
        <x:v>352.8234085591821</x:v>
      </x:c>
    </x:row>
    <x:row r="69">
      <x:c r="A69" t="str">
        <x:v>22457</x:v>
      </x:c>
      <x:c r="B69" t="str">
        <x:v>naive</x:v>
      </x:c>
      <x:c r="C69" s="25" t="n">
        <x:v>35.714285714285715</x:v>
      </x:c>
      <x:c r="D69" s="26" t="n">
        <x:v>1.482213438735178</x:v>
      </x:c>
      <x:c r="E69" s="26" t="n">
        <x:v>0.6324110671936759</x:v>
      </x:c>
      <x:c r="F69" s="25" t="n">
        <x:v>1012</x:v>
      </x:c>
      <x:c r="G69" s="25" t="n">
        <x:v>430</x:v>
      </x:c>
    </x:row>
    <x:row r="70">
      <x:c r="A70" t="str">
        <x:v>22457</x:v>
      </x:c>
      <x:c r="B70" t="str">
        <x:v>ridge</x:v>
      </x:c>
      <x:c r="C70" s="25" t="n">
        <x:v>14.070663262841522</x:v>
      </x:c>
      <x:c r="D70" s="26" t="n">
        <x:v>0.58396033304283</x:v>
      </x:c>
      <x:c r="E70" s="26" t="n">
        <x:v>-0.1036190769068799</x:v>
      </x:c>
      <x:c r="F70" s="25" t="n">
        <x:v>1012</x:v>
      </x:c>
      <x:c r="G70" s="25" t="n">
        <x:v>347.9151814345532</x:v>
      </x:c>
    </x:row>
    <x:row r="71">
      <x:c r="A71" t="str">
        <x:v>22457</x:v>
      </x:c>
      <x:c r="B71" t="str">
        <x:v>seasonal_naive</x:v>
      </x:c>
      <x:c r="C71" s="25" t="n">
        <x:v>20.285714285714285</x:v>
      </x:c>
      <x:c r="D71" s="26" t="n">
        <x:v>0.841897233201581</x:v>
      </x:c>
      <x:c r="E71" s="26" t="n">
        <x:v>0.2292490118577075</x:v>
      </x:c>
      <x:c r="F71" s="25" t="n">
        <x:v>1012</x:v>
      </x:c>
      <x:c r="G71" s="25" t="n">
        <x:v>310</x:v>
      </x:c>
    </x:row>
    <x:row r="72">
      <x:c r="A72" t="str">
        <x:v>22469</x:v>
      </x:c>
      <x:c r="B72" t="str">
        <x:v>croston_sba</x:v>
      </x:c>
      <x:c r="C72" s="25" t="n">
        <x:v>64.2874082896302</x:v>
      </x:c>
      <x:c r="D72" s="26" t="n">
        <x:v>0.821189521947831</x:v>
      </x:c>
      <x:c r="E72" s="26" t="n">
        <x:v>-0.4300422893950165</x:v>
      </x:c>
      <x:c r="F72" s="25" t="n">
        <x:v>3288</x:v>
      </x:c>
      <x:c r="G72" s="25" t="n">
        <x:v>2057.025097847641</x:v>
      </x:c>
    </x:row>
    <x:row r="73">
      <x:c r="A73" t="str">
        <x:v>22469</x:v>
      </x:c>
      <x:c r="B73" t="str">
        <x:v>naive</x:v>
      </x:c>
      <x:c r="C73" s="25" t="n">
        <x:v>66.0952380952381</x:v>
      </x:c>
      <x:c r="D73" s="26" t="n">
        <x:v>0.8442822384428224</x:v>
      </x:c>
      <x:c r="E73" s="26" t="n">
        <x:v>-0.6593673965936739</x:v>
      </x:c>
      <x:c r="F73" s="25" t="n">
        <x:v>3288</x:v>
      </x:c>
      <x:c r="G73" s="25" t="n">
        <x:v>2472</x:v>
      </x:c>
    </x:row>
    <x:row r="74">
      <x:c r="A74" t="str">
        <x:v>22469</x:v>
      </x:c>
      <x:c r="B74" t="str">
        <x:v>ridge</x:v>
      </x:c>
      <x:c r="C74" s="25" t="n">
        <x:v>61.59647738762547</x:v>
      </x:c>
      <x:c r="D74" s="26" t="n">
        <x:v>0.7868163169952158</x:v>
      </x:c>
      <x:c r="E74" s="26" t="n">
        <x:v>-0.4635379702956009</x:v>
      </x:c>
      <x:c r="F74" s="25" t="n">
        <x:v>3288</x:v>
      </x:c>
      <x:c r="G74" s="25" t="n">
        <x:v>2055.582448306103</x:v>
      </x:c>
    </x:row>
    <x:row r="75">
      <x:c r="A75" t="str">
        <x:v>22469</x:v>
      </x:c>
      <x:c r="B75" t="str">
        <x:v>seasonal_naive</x:v>
      </x:c>
      <x:c r="C75" s="25" t="n">
        <x:v>63.04761904761905</x:v>
      </x:c>
      <x:c r="D75" s="26" t="n">
        <x:v>0.805352798053528</x:v>
      </x:c>
      <x:c r="E75" s="26" t="n">
        <x:v>-0.49330900243309</x:v>
      </x:c>
      <x:c r="F75" s="25" t="n">
        <x:v>3288</x:v>
      </x:c>
      <x:c r="G75" s="25" t="n">
        <x:v>2135</x:v>
      </x:c>
    </x:row>
    <x:row r="76">
      <x:c r="A76" t="str">
        <x:v>22470</x:v>
      </x:c>
      <x:c r="B76" t="str">
        <x:v>croston_sba</x:v>
      </x:c>
      <x:c r="C76" s="25" t="n">
        <x:v>42.59397272412201</x:v>
      </x:c>
      <x:c r="D76" s="26" t="n">
        <x:v>0.9293230412535712</x:v>
      </x:c>
      <x:c r="E76" s="26" t="n">
        <x:v>-0.4874911186448126</x:v>
      </x:c>
      <x:c r="F76" s="25" t="n">
        <x:v>1925</x:v>
      </x:c>
      <x:c r="G76" s="25" t="n">
        <x:v>1363.683628902194</x:v>
      </x:c>
    </x:row>
    <x:row r="77">
      <x:c r="A77" t="str">
        <x:v>22470</x:v>
      </x:c>
      <x:c r="B77" t="str">
        <x:v>naive</x:v>
      </x:c>
      <x:c r="C77" s="25" t="n">
        <x:v>41.30952380952381</x:v>
      </x:c>
      <x:c r="D77" s="26" t="n">
        <x:v>0.9012987012987012</x:v>
      </x:c>
      <x:c r="E77" s="26" t="n">
        <x:v>-0.5781818181818181</x:v>
      </x:c>
      <x:c r="F77" s="25" t="n">
        <x:v>1925</x:v>
      </x:c>
      <x:c r="G77" s="25" t="n">
        <x:v>1424</x:v>
      </x:c>
    </x:row>
    <x:row r="78">
      <x:c r="A78" t="str">
        <x:v>22470</x:v>
      </x:c>
      <x:c r="B78" t="str">
        <x:v>ridge</x:v>
      </x:c>
      <x:c r="C78" s="25" t="n">
        <x:v>41.32692869292411</x:v>
      </x:c>
      <x:c r="D78" s="26" t="n">
        <x:v>0.9016784442092534</x:v>
      </x:c>
      <x:c r="E78" s="26" t="n">
        <x:v>-0.5118055689416333</x:v>
      </x:c>
      <x:c r="F78" s="25" t="n">
        <x:v>1925</x:v>
      </x:c>
      <x:c r="G78" s="25" t="n">
        <x:v>1360.4783626577284</x:v>
      </x:c>
    </x:row>
    <x:row r="79">
      <x:c r="A79" t="str">
        <x:v>22470</x:v>
      </x:c>
      <x:c r="B79" t="str">
        <x:v>seasonal_naive</x:v>
      </x:c>
      <x:c r="C79" s="25" t="n">
        <x:v>40.023809523809526</x:v>
      </x:c>
      <x:c r="D79" s="26" t="n">
        <x:v>0.8732467532467533</x:v>
      </x:c>
      <x:c r="E79" s="26" t="n">
        <x:v>-0.5397402597402597</x:v>
      </x:c>
      <x:c r="F79" s="25" t="n">
        <x:v>1925</x:v>
      </x:c>
      <x:c r="G79" s="25" t="n">
        <x:v>1360</x:v>
      </x:c>
    </x:row>
    <x:row r="80">
      <x:c r="A80" t="str">
        <x:v>22666</x:v>
      </x:c>
      <x:c r="B80" t="str">
        <x:v>croston_sba</x:v>
      </x:c>
      <x:c r="C80" s="25" t="n">
        <x:v>26.65360406360288</x:v>
      </x:c>
      <x:c r="D80" s="26" t="n">
        <x:v>0.8159266550082513</x:v>
      </x:c>
      <x:c r="E80" s="26" t="n">
        <x:v>-0.2170283815490562</x:v>
      </x:c>
      <x:c r="F80" s="25" t="n">
        <x:v>1372</x:v>
      </x:c>
      <x:c r="G80" s="25" t="n">
        <x:v>708.6071550783129</x:v>
      </x:c>
    </x:row>
    <x:row r="81">
      <x:c r="A81" t="str">
        <x:v>22666</x:v>
      </x:c>
      <x:c r="B81" t="str">
        <x:v>naive</x:v>
      </x:c>
      <x:c r="C81" s="25" t="n">
        <x:v>36.23809523809524</x:v>
      </x:c>
      <x:c r="D81" s="26" t="n">
        <x:v>1.10932944606414</x:v>
      </x:c>
      <x:c r="E81" s="26" t="n">
        <x:v>0.3163265306122449</x:v>
      </x:c>
      <x:c r="F81" s="25" t="n">
        <x:v>1372</x:v>
      </x:c>
      <x:c r="G81" s="25" t="n">
        <x:v>544</x:v>
      </x:c>
    </x:row>
    <x:row r="82">
      <x:c r="A82" t="str">
        <x:v>22666</x:v>
      </x:c>
      <x:c r="B82" t="str">
        <x:v>ridge</x:v>
      </x:c>
      <x:c r="C82" s="25" t="n">
        <x:v>25.45589243940404</x:v>
      </x:c>
      <x:c r="D82" s="26" t="n">
        <x:v>0.779262013451144</x:v>
      </x:c>
      <x:c r="E82" s="26" t="n">
        <x:v>-0.4228189399040408</x:v>
      </x:c>
      <x:c r="F82" s="25" t="n">
        <x:v>1372</x:v>
      </x:c>
      <x:c r="G82" s="25" t="n">
        <x:v>824.6275340016567</x:v>
      </x:c>
    </x:row>
    <x:row r="83">
      <x:c r="A83" t="str">
        <x:v>22666</x:v>
      </x:c>
      <x:c r="B83" t="str">
        <x:v>seasonal_naive</x:v>
      </x:c>
      <x:c r="C83" s="25" t="n">
        <x:v>34.333333333333336</x:v>
      </x:c>
      <x:c r="D83" s="26" t="n">
        <x:v>1.0510204081632653</x:v>
      </x:c>
      <x:c r="E83" s="26" t="n">
        <x:v>-0.1282798833819242</x:v>
      </x:c>
      <x:c r="F83" s="25" t="n">
        <x:v>1372</x:v>
      </x:c>
      <x:c r="G83" s="25" t="n">
        <x:v>809</x:v>
      </x:c>
    </x:row>
    <x:row r="84">
      <x:c r="A84" t="str">
        <x:v>22720</x:v>
      </x:c>
      <x:c r="B84" t="str">
        <x:v>croston_sba</x:v>
      </x:c>
      <x:c r="C84" s="25" t="n">
        <x:v>13.914816600162954</x:v>
      </x:c>
      <x:c r="D84" s="26" t="n">
        <x:v>0.8038821144523303</x:v>
      </x:c>
      <x:c r="E84" s="26" t="n">
        <x:v>0.3438829012255642</x:v>
      </x:c>
      <x:c r="F84" s="25" t="n">
        <x:v>727</x:v>
      </x:c>
      <x:c r="G84" s="25" t="n">
        <x:v>167.2097140079294</x:v>
      </x:c>
    </x:row>
    <x:row r="85">
      <x:c r="A85" t="str">
        <x:v>22720</x:v>
      </x:c>
      <x:c r="B85" t="str">
        <x:v>naive</x:v>
      </x:c>
      <x:c r="C85" s="25" t="n">
        <x:v>13.214285714285714</x:v>
      </x:c>
      <x:c r="D85" s="26" t="n">
        <x:v>0.7634112792297112</x:v>
      </x:c>
      <x:c r="E85" s="26" t="n">
        <x:v>0.2324621733149931</x:v>
      </x:c>
      <x:c r="F85" s="25" t="n">
        <x:v>727</x:v>
      </x:c>
      <x:c r="G85" s="25" t="n">
        <x:v>193</x:v>
      </x:c>
    </x:row>
    <x:row r="86">
      <x:c r="A86" t="str">
        <x:v>22720</x:v>
      </x:c>
      <x:c r="B86" t="str">
        <x:v>ridge</x:v>
      </x:c>
      <x:c r="C86" s="25" t="n">
        <x:v>11.963159731533572</x:v>
      </x:c>
      <x:c r="D86" s="26" t="n">
        <x:v>0.6911316488643879</x:v>
      </x:c>
      <x:c r="E86" s="26" t="n">
        <x:v>0.2509299114622926</x:v>
      </x:c>
      <x:c r="F86" s="25" t="n">
        <x:v>727</x:v>
      </x:c>
      <x:c r="G86" s="25" t="n">
        <x:v>160.01333154566163</x:v>
      </x:c>
    </x:row>
    <x:row r="87">
      <x:c r="A87" t="str">
        <x:v>22720</x:v>
      </x:c>
      <x:c r="B87" t="str">
        <x:v>seasonal_naive</x:v>
      </x:c>
      <x:c r="C87" s="25" t="n">
        <x:v>17.642857142857142</x:v>
      </x:c>
      <x:c r="D87" s="26" t="n">
        <x:v>1.0192572214580469</x:v>
      </x:c>
      <x:c r="E87" s="26" t="n">
        <x:v>0.4360385144429161</x:v>
      </x:c>
      <x:c r="F87" s="25" t="n">
        <x:v>727</x:v>
      </x:c>
      <x:c r="G87" s="25" t="n">
        <x:v>212</x:v>
      </x:c>
    </x:row>
    <x:row r="88">
      <x:c r="A88" t="str">
        <x:v>22722</x:v>
      </x:c>
      <x:c r="B88" t="str">
        <x:v>croston_sba</x:v>
      </x:c>
      <x:c r="C88" s="25" t="n">
        <x:v>14.022204210924228</x:v>
      </x:c>
      <x:c r="D88" s="26" t="n">
        <x:v>0.8365519557653659</x:v>
      </x:c>
      <x:c r="E88" s="26" t="n">
        <x:v>0.1329624210756456</x:v>
      </x:c>
      <x:c r="F88" s="25" t="n">
        <x:v>704</x:v>
      </x:c>
      <x:c r="G88" s="25" t="n">
        <x:v>247.66351621078155</x:v>
      </x:c>
    </x:row>
    <x:row r="89">
      <x:c r="A89" t="str">
        <x:v>22722</x:v>
      </x:c>
      <x:c r="B89" t="str">
        <x:v>naive</x:v>
      </x:c>
      <x:c r="C89" s="25" t="n">
        <x:v>17.523809523809526</x:v>
      </x:c>
      <x:c r="D89" s="26" t="n">
        <x:v>1.0454545454545454</x:v>
      </x:c>
      <x:c r="E89" s="26" t="n">
        <x:v>0.3125</x:v>
      </x:c>
      <x:c r="F89" s="25" t="n">
        <x:v>704</x:v>
      </x:c>
      <x:c r="G89" s="25" t="n">
        <x:v>258</x:v>
      </x:c>
    </x:row>
    <x:row r="90">
      <x:c r="A90" t="str">
        <x:v>22722</x:v>
      </x:c>
      <x:c r="B90" t="str">
        <x:v>ridge</x:v>
      </x:c>
      <x:c r="C90" s="25" t="n">
        <x:v>10.90969504251822</x:v>
      </x:c>
      <x:c r="D90" s="26" t="n">
        <x:v>0.6508624883320528</x:v>
      </x:c>
      <x:c r="E90" s="26" t="n">
        <x:v>0.0416458154712096</x:v>
      </x:c>
      <x:c r="F90" s="25" t="n">
        <x:v>704</x:v>
      </x:c>
      <x:c r="G90" s="25" t="n">
        <x:v>214.44426884701684</x:v>
      </x:c>
    </x:row>
    <x:row r="91">
      <x:c r="A91" t="str">
        <x:v>22722</x:v>
      </x:c>
      <x:c r="B91" t="str">
        <x:v>seasonal_naive</x:v>
      </x:c>
      <x:c r="C91" s="25" t="n">
        <x:v>14.80952380952381</x:v>
      </x:c>
      <x:c r="D91" s="26" t="n">
        <x:v>0.8835227272727273</x:v>
      </x:c>
      <x:c r="E91" s="26" t="n">
        <x:v>-0.2045454545454545</x:v>
      </x:c>
      <x:c r="F91" s="25" t="n">
        <x:v>704</x:v>
      </x:c>
      <x:c r="G91" s="25" t="n">
        <x:v>383</x:v>
      </x:c>
    </x:row>
    <x:row r="92">
      <x:c r="A92" t="str">
        <x:v>22960</x:v>
      </x:c>
      <x:c r="B92" t="str">
        <x:v>croston_sba</x:v>
      </x:c>
      <x:c r="C92" s="25" t="n">
        <x:v>26.557559455397225</x:v>
      </x:c>
      <x:c r="D92" s="26" t="n">
        <x:v>0.889487637262108</x:v>
      </x:c>
      <x:c r="E92" s="26" t="n">
        <x:v>-0.2037571116073166</x:v>
      </x:c>
      <x:c r="F92" s="25" t="n">
        <x:v>1254</x:v>
      </x:c>
      <x:c r="G92" s="25" t="n">
        <x:v>685.4644575411291</x:v>
      </x:c>
    </x:row>
    <x:row r="93">
      <x:c r="A93" t="str">
        <x:v>22960</x:v>
      </x:c>
      <x:c r="B93" t="str">
        <x:v>naive</x:v>
      </x:c>
      <x:c r="C93" s="25" t="n">
        <x:v>35.666666666666664</x:v>
      </x:c>
      <x:c r="D93" s="26" t="n">
        <x:v>1.1945773524720893</x:v>
      </x:c>
      <x:c r="E93" s="26" t="n">
        <x:v>0.1052631578947368</x:v>
      </x:c>
      <x:c r="F93" s="25" t="n">
        <x:v>1254</x:v>
      </x:c>
      <x:c r="G93" s="25" t="n">
        <x:v>683</x:v>
      </x:c>
    </x:row>
    <x:row r="94">
      <x:c r="A94" t="str">
        <x:v>22960</x:v>
      </x:c>
      <x:c r="B94" t="str">
        <x:v>ridge</x:v>
      </x:c>
      <x:c r="C94" s="25" t="n">
        <x:v>24.206868816344542</x:v>
      </x:c>
      <x:c r="D94" s="26" t="n">
        <x:v>0.8107563718392911</x:v>
      </x:c>
      <x:c r="E94" s="26" t="n">
        <x:v>-0.257756715598592</x:v>
      </x:c>
      <x:c r="F94" s="25" t="n">
        <x:v>1254</x:v>
      </x:c>
      <x:c r="G94" s="25" t="n">
        <x:v>669.9577058235526</x:v>
      </x:c>
    </x:row>
    <x:row r="95">
      <x:c r="A95" t="str">
        <x:v>22960</x:v>
      </x:c>
      <x:c r="B95" t="str">
        <x:v>seasonal_naive</x:v>
      </x:c>
      <x:c r="C95" s="25" t="n">
        <x:v>29.428571428571427</x:v>
      </x:c>
      <x:c r="D95" s="26" t="n">
        <x:v>0.985645933014354</x:v>
      </x:c>
      <x:c r="E95" s="26" t="n">
        <x:v>-0.1403508771929824</x:v>
      </x:c>
      <x:c r="F95" s="25" t="n">
        <x:v>1254</x:v>
      </x:c>
      <x:c r="G95" s="25" t="n">
        <x:v>706</x:v>
      </x:c>
    </x:row>
    <x:row r="96">
      <x:c r="A96" t="str">
        <x:v>22961</x:v>
      </x:c>
      <x:c r="B96" t="str">
        <x:v>croston_sba</x:v>
      </x:c>
      <x:c r="C96" s="25" t="n">
        <x:v>38.56203677655745</x:v>
      </x:c>
      <x:c r="D96" s="26" t="n">
        <x:v>0.8361412207616999</x:v>
      </x:c>
      <x:c r="E96" s="26" t="n">
        <x:v>0.062910661825106</x:v>
      </x:c>
      <x:c r="F96" s="25" t="n">
        <x:v>1937</x:v>
      </x:c>
      <x:c r="G96" s="25" t="n">
        <x:v>748.8737963300913</x:v>
      </x:c>
    </x:row>
    <x:row r="97">
      <x:c r="A97" t="str">
        <x:v>22961</x:v>
      </x:c>
      <x:c r="B97" t="str">
        <x:v>naive</x:v>
      </x:c>
      <x:c r="C97" s="25" t="n">
        <x:v>33.30952380952381</x:v>
      </x:c>
      <x:c r="D97" s="26" t="n">
        <x:v>0.7222509034589571</x:v>
      </x:c>
      <x:c r="E97" s="26" t="n">
        <x:v>-0.2555498193082086</x:v>
      </x:c>
      <x:c r="F97" s="25" t="n">
        <x:v>1937</x:v>
      </x:c>
      <x:c r="G97" s="25" t="n">
        <x:v>947</x:v>
      </x:c>
    </x:row>
    <x:row r="98">
      <x:c r="A98" t="str">
        <x:v>22961</x:v>
      </x:c>
      <x:c r="B98" t="str">
        <x:v>ridge</x:v>
      </x:c>
      <x:c r="C98" s="25" t="n">
        <x:v>32.697814445407104</x:v>
      </x:c>
      <x:c r="D98" s="26" t="n">
        <x:v>0.7089872001585433</x:v>
      </x:c>
      <x:c r="E98" s="26" t="n">
        <x:v>-0.1034334638145502</x:v>
      </x:c>
      <x:c r="F98" s="25" t="n">
        <x:v>1937</x:v>
      </x:c>
      <x:c r="G98" s="25" t="n">
        <x:v>786.8294130579411</x:v>
      </x:c>
    </x:row>
    <x:row r="99">
      <x:c r="A99" t="str">
        <x:v>22961</x:v>
      </x:c>
      <x:c r="B99" t="str">
        <x:v>seasonal_naive</x:v>
      </x:c>
      <x:c r="C99" s="25" t="n">
        <x:v>33.595238095238095</x:v>
      </x:c>
      <x:c r="D99" s="26" t="n">
        <x:v>0.7284460505937016</x:v>
      </x:c>
      <x:c r="E99" s="26" t="n">
        <x:v>0.1182240578213732</x:v>
      </x:c>
      <x:c r="F99" s="25" t="n">
        <x:v>1937</x:v>
      </x:c>
      <x:c r="G99" s="25" t="n">
        <x:v>591</x:v>
      </x:c>
    </x:row>
    <x:row r="100">
      <x:c r="A100" t="str">
        <x:v>84378</x:v>
      </x:c>
      <x:c r="B100" t="str">
        <x:v>croston_sba</x:v>
      </x:c>
      <x:c r="C100" s="25" t="n">
        <x:v>36.65559056164819</x:v>
      </x:c>
      <x:c r="D100" s="26" t="n">
        <x:v>0.8878516745035894</x:v>
      </x:c>
      <x:c r="E100" s="26" t="n">
        <x:v>-0.6169889832349398</x:v>
      </x:c>
      <x:c r="F100" s="25" t="n">
        <x:v>1734</x:v>
      </x:c>
      <x:c r="G100" s="25" t="n">
        <x:v>1304.6968502593047</x:v>
      </x:c>
    </x:row>
    <x:row r="101">
      <x:c r="A101" t="str">
        <x:v>84378</x:v>
      </x:c>
      <x:c r="B101" t="str">
        <x:v>naive</x:v>
      </x:c>
      <x:c r="C101" s="25" t="n">
        <x:v>38.42857142857143</x:v>
      </x:c>
      <x:c r="D101" s="26" t="n">
        <x:v>0.9307958477508652</x:v>
      </x:c>
      <x:c r="E101" s="26" t="n">
        <x:v>-0.7174163783160323</x:v>
      </x:c>
      <x:c r="F101" s="25" t="n">
        <x:v>1734</x:v>
      </x:c>
      <x:c r="G101" s="25" t="n">
        <x:v>1429</x:v>
      </x:c>
    </x:row>
    <x:row r="102">
      <x:c r="A102" t="str">
        <x:v>84378</x:v>
      </x:c>
      <x:c r="B102" t="str">
        <x:v>ridge</x:v>
      </x:c>
      <x:c r="C102" s="25" t="n">
        <x:v>36.57158444785845</x:v>
      </x:c>
      <x:c r="D102" s="26" t="n">
        <x:v>0.8858169243425923</x:v>
      </x:c>
      <x:c r="E102" s="26" t="n">
        <x:v>-0.6355733895514056</x:v>
      </x:c>
      <x:c r="F102" s="25" t="n">
        <x:v>1734</x:v>
      </x:c>
      <x:c r="G102" s="25" t="n">
        <x:v>1319.0454021460962</x:v>
      </x:c>
    </x:row>
    <x:row r="103">
      <x:c r="A103" t="str">
        <x:v>84378</x:v>
      </x:c>
      <x:c r="B103" t="str">
        <x:v>seasonal_naive</x:v>
      </x:c>
      <x:c r="C103" s="25" t="n">
        <x:v>40.90476190476191</x:v>
      </x:c>
      <x:c r="D103" s="26" t="n">
        <x:v>0.9907727797001152</x:v>
      </x:c>
      <x:c r="E103" s="26" t="n">
        <x:v>-0.5963091118800461</x:v>
      </x:c>
      <x:c r="F103" s="25" t="n">
        <x:v>1734</x:v>
      </x:c>
      <x:c r="G103" s="25" t="n">
        <x:v>1376</x:v>
      </x:c>
    </x:row>
    <x:row r="104">
      <x:c r="A104" t="str">
        <x:v>84879</x:v>
      </x:c>
      <x:c r="B104" t="str">
        <x:v>croston_sba</x:v>
      </x:c>
      <x:c r="C104" s="25" t="n">
        <x:v>113.60423232396003</x:v>
      </x:c>
      <x:c r="D104" s="26" t="n">
        <x:v>0.7525832425246565</x:v>
      </x:c>
      <x:c r="E104" s="26" t="n">
        <x:v>-0.1557302460005068</x:v>
      </x:c>
      <x:c r="F104" s="25" t="n">
        <x:v>6340</x:v>
      </x:c>
      <x:c r="G104" s="25" t="n">
        <x:v>2879.353758624768</x:v>
      </x:c>
    </x:row>
    <x:row r="105">
      <x:c r="A105" t="str">
        <x:v>84879</x:v>
      </x:c>
      <x:c r="B105" t="str">
        <x:v>naive</x:v>
      </x:c>
      <x:c r="C105" s="25" t="n">
        <x:v>142.04761904761904</x:v>
      </x:c>
      <x:c r="D105" s="26" t="n">
        <x:v>0.9410094637223976</x:v>
      </x:c>
      <x:c r="E105" s="26" t="n">
        <x:v>0.2697160883280757</x:v>
      </x:c>
      <x:c r="F105" s="25" t="n">
        <x:v>6340</x:v>
      </x:c>
      <x:c r="G105" s="25" t="n">
        <x:v>2128</x:v>
      </x:c>
    </x:row>
    <x:row r="106">
      <x:c r="A106" t="str">
        <x:v>84879</x:v>
      </x:c>
      <x:c r="B106" t="str">
        <x:v>ridge</x:v>
      </x:c>
      <x:c r="C106" s="25" t="n">
        <x:v>98.3156769655314</x:v>
      </x:c>
      <x:c r="D106" s="26" t="n">
        <x:v>0.6513025918852238</x:v>
      </x:c>
      <x:c r="E106" s="26" t="n">
        <x:v>-0.3751356000120366</x:v>
      </x:c>
      <x:c r="F106" s="25" t="n">
        <x:v>6340</x:v>
      </x:c>
      <x:c r="G106" s="25" t="n">
        <x:v>3253.8090683143155</x:v>
      </x:c>
    </x:row>
    <x:row r="107">
      <x:c r="A107" t="str">
        <x:v>84879</x:v>
      </x:c>
      <x:c r="B107" t="str">
        <x:v>seasonal_naive</x:v>
      </x:c>
      <x:c r="C107" s="25" t="n">
        <x:v>136.76190476190476</x:v>
      </x:c>
      <x:c r="D107" s="26" t="n">
        <x:v>0.905993690851735</x:v>
      </x:c>
      <x:c r="E107" s="26" t="n">
        <x:v>-0.1205047318611987</x:v>
      </x:c>
      <x:c r="F107" s="25" t="n">
        <x:v>6340</x:v>
      </x:c>
      <x:c r="G107" s="25" t="n">
        <x:v>3254</x:v>
      </x:c>
    </x:row>
    <x:row r="108">
      <x:c r="A108" t="str">
        <x:v>85099B</x:v>
      </x:c>
      <x:c r="B108" t="str">
        <x:v>croston_sba</x:v>
      </x:c>
      <x:c r="C108" s="25" t="n">
        <x:v>171.27064839700552</x:v>
      </x:c>
      <x:c r="D108" s="26" t="n">
        <x:v>1.0155819896476397</x:v>
      </x:c>
      <x:c r="E108" s="26" t="n">
        <x:v>0.0922254174956231</x:v>
      </x:c>
      <x:c r="F108" s="25" t="n">
        <x:v>7083</x:v>
      </x:c>
      <x:c r="G108" s="25" t="n">
        <x:v>3270.067300276366</x:v>
      </x:c>
    </x:row>
    <x:row r="109">
      <x:c r="A109" t="str">
        <x:v>85099B</x:v>
      </x:c>
      <x:c r="B109" t="str">
        <x:v>naive</x:v>
      </x:c>
      <x:c r="C109" s="25" t="n">
        <x:v>184.07142857142856</x:v>
      </x:c>
      <x:c r="D109" s="26" t="n">
        <x:v>1.0914866581956797</x:v>
      </x:c>
      <x:c r="E109" s="26" t="n">
        <x:v>0.2136100522377523</x:v>
      </x:c>
      <x:c r="F109" s="25" t="n">
        <x:v>7083</x:v>
      </x:c>
      <x:c r="G109" s="25" t="n">
        <x:v>3109</x:v>
      </x:c>
    </x:row>
    <x:row r="110">
      <x:c r="A110" t="str">
        <x:v>85099B</x:v>
      </x:c>
      <x:c r="B110" t="str">
        <x:v>ridge</x:v>
      </x:c>
      <x:c r="C110" s="25" t="n">
        <x:v>115.59366527266484</x:v>
      </x:c>
      <x:c r="D110" s="26" t="n">
        <x:v>0.6854346945435442</x:v>
      </x:c>
      <x:c r="E110" s="26" t="n">
        <x:v>-0.1561385236905856</x:v>
      </x:c>
      <x:c r="F110" s="25" t="n">
        <x:v>7083</x:v>
      </x:c>
      <x:c r="G110" s="25" t="n">
        <x:v>2980.431552376171</x:v>
      </x:c>
    </x:row>
    <x:row r="111">
      <x:c r="A111" t="str">
        <x:v>85099B</x:v>
      </x:c>
      <x:c r="B111" t="str">
        <x:v>seasonal_naive</x:v>
      </x:c>
      <x:c r="C111" s="25" t="n">
        <x:v>192.83333333333331</x:v>
      </x:c>
      <x:c r="D111" s="26" t="n">
        <x:v>1.143442044331498</x:v>
      </x:c>
      <x:c r="E111" s="26" t="n">
        <x:v>0.1509247493999717</x:v>
      </x:c>
      <x:c r="F111" s="25" t="n">
        <x:v>7083</x:v>
      </x:c>
      <x:c r="G111" s="25" t="n">
        <x:v>3515</x:v>
      </x:c>
    </x:row>
    <x:row r="112">
      <x:c r="A112" t="str">
        <x:v>85123A</x:v>
      </x:c>
      <x:c r="B112" t="str">
        <x:v>croston_sba</x:v>
      </x:c>
      <x:c r="C112" s="25" t="n">
        <x:v>99.63507772287718</x:v>
      </x:c>
      <x:c r="D112" s="26" t="n">
        <x:v>0.7471296669096308</x:v>
      </x:c>
      <x:c r="E112" s="26" t="n">
        <x:v>-0.31092766806934</x:v>
      </x:c>
      <x:c r="F112" s="25" t="n">
        <x:v>5601</x:v>
      </x:c>
      <x:c r="G112" s="25" t="n">
        <x:v>2963.089566608608</x:v>
      </x:c>
    </x:row>
    <x:row r="113">
      <x:c r="A113" t="str">
        <x:v>85123A</x:v>
      </x:c>
      <x:c r="B113" t="str">
        <x:v>naive</x:v>
      </x:c>
      <x:c r="C113" s="25" t="n">
        <x:v>96.83333333333331</x:v>
      </x:c>
      <x:c r="D113" s="26" t="n">
        <x:v>0.7261203356543474</x:v>
      </x:c>
      <x:c r="E113" s="26" t="n">
        <x:v>-0.3101231922870915</x:v>
      </x:c>
      <x:c r="F113" s="25" t="n">
        <x:v>5601</x:v>
      </x:c>
      <x:c r="G113" s="25" t="n">
        <x:v>2902</x:v>
      </x:c>
    </x:row>
    <x:row r="114">
      <x:c r="A114" t="str">
        <x:v>85123A</x:v>
      </x:c>
      <x:c r="B114" t="str">
        <x:v>ridge</x:v>
      </x:c>
      <x:c r="C114" s="25" t="n">
        <x:v>93.47961097121734</x:v>
      </x:c>
      <x:c r="D114" s="26" t="n">
        <x:v>0.7009719087289998</x:v>
      </x:c>
      <x:c r="E114" s="26" t="n">
        <x:v>-0.3092783945965758</x:v>
      </x:c>
      <x:c r="F114" s="25" t="n">
        <x:v>5601</x:v>
      </x:c>
      <x:c r="G114" s="25" t="n">
        <x:v>2829.2059744632747</x:v>
      </x:c>
    </x:row>
    <x:row r="115">
      <x:c r="A115" t="str">
        <x:v>85123A</x:v>
      </x:c>
      <x:c r="B115" t="str">
        <x:v>seasonal_naive</x:v>
      </x:c>
      <x:c r="C115" s="25" t="n">
        <x:v>113.02380952380952</x:v>
      </x:c>
      <x:c r="D115" s="26" t="n">
        <x:v>0.8475272272808427</x:v>
      </x:c>
      <x:c r="E115" s="26" t="n">
        <x:v>-0.1148009284056418</x:v>
      </x:c>
      <x:c r="F115" s="25" t="n">
        <x:v>5601</x:v>
      </x:c>
      <x:c r="G115" s="25" t="n">
        <x:v>2695</x:v>
      </x:c>
    </x:row>
  </x:sheetData>
  <x:pageMargins left="0.7" right="0.7" top="0.75" bottom="0.75" header="0.3" footer="0.3"/>
  <x:drawing xmlns:r="http://schemas.openxmlformats.org/officeDocument/2006/relationships" r:id="R6126478a4440418f"/>
  <x:tableParts count="1">
    <x:tablePart xmlns:r="http://schemas.openxmlformats.org/officeDocument/2006/relationships" r:id="R19a435266e4140d0"/>
  </x:tableParts>
</x:worksheet>
</file>